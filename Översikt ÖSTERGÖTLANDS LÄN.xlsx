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45513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45513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45513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45513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45513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45513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45513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45513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45513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45513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45513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45513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45513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45513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45513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45513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45513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45513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45513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45513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45513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45513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45513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45513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45513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45513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45513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45513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45513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45513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45513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45513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45513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45513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45513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45513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45513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45513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45513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45513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45513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45513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45513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45513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45513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45513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45513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45513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45513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45513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45513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45513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45513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45513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45513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45513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45513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45513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45513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45513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45513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45513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45513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45513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45513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45513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45513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45513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45513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45513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45513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18266-2024</t>
        </is>
      </c>
      <c r="B73" s="1" t="n">
        <v>45421</v>
      </c>
      <c r="C73" s="1" t="n">
        <v>45513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5</v>
      </c>
      <c r="R73" s="2" t="inlineStr">
        <is>
          <t>Gropticka
Kolflarnlav
Mörk kolflarnlav
Ullticka
Mindre märgborre</t>
        </is>
      </c>
      <c r="S73">
        <f>HYPERLINK("https://klasma.github.io/Logging_0581/artfynd/A 18266-2024 artfynd.xlsx", "A 18266-2024")</f>
        <v/>
      </c>
      <c r="T73">
        <f>HYPERLINK("https://klasma.github.io/Logging_0581/kartor/A 18266-2024 karta.png", "A 18266-2024")</f>
        <v/>
      </c>
      <c r="V73">
        <f>HYPERLINK("https://klasma.github.io/Logging_0581/klagomål/A 18266-2024 FSC-klagomål.docx", "A 18266-2024")</f>
        <v/>
      </c>
      <c r="W73">
        <f>HYPERLINK("https://klasma.github.io/Logging_0581/klagomålsmail/A 18266-2024 FSC-klagomål mail.docx", "A 18266-2024")</f>
        <v/>
      </c>
      <c r="X73">
        <f>HYPERLINK("https://klasma.github.io/Logging_0581/tillsyn/A 18266-2024 tillsynsbegäran.docx", "A 18266-2024")</f>
        <v/>
      </c>
      <c r="Y73">
        <f>HYPERLINK("https://klasma.github.io/Logging_0581/tillsynsmail/A 18266-2024 tillsynsbegäran mail.docx", "A 18266-2024")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45513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Strandviol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</row>
    <row r="75" ht="15" customHeight="1">
      <c r="A75" t="inlineStr">
        <is>
          <t>A 61056-2019</t>
        </is>
      </c>
      <c r="B75" s="1" t="n">
        <v>43782</v>
      </c>
      <c r="C75" s="1" t="n">
        <v>45513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1.9</v>
      </c>
      <c r="H75" t="n">
        <v>1</v>
      </c>
      <c r="I75" t="n">
        <v>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Fjällig taggsvamp s.str.
Gulnål
Rödbrun jordstjärna</t>
        </is>
      </c>
      <c r="S75">
        <f>HYPERLINK("https://klasma.github.io/Logging_0586/artfynd/A 61056-2019 artfynd.xlsx", "A 61056-2019")</f>
        <v/>
      </c>
      <c r="T75">
        <f>HYPERLINK("https://klasma.github.io/Logging_0586/kartor/A 61056-2019 karta.png", "A 61056-2019")</f>
        <v/>
      </c>
      <c r="U75">
        <f>HYPERLINK("https://klasma.github.io/Logging_0586/knärot/A 61056-2019 karta knärot.png", "A 61056-2019")</f>
        <v/>
      </c>
      <c r="V75">
        <f>HYPERLINK("https://klasma.github.io/Logging_0586/klagomål/A 61056-2019 FSC-klagomål.docx", "A 61056-2019")</f>
        <v/>
      </c>
      <c r="W75">
        <f>HYPERLINK("https://klasma.github.io/Logging_0586/klagomålsmail/A 61056-2019 FSC-klagomål mail.docx", "A 61056-2019")</f>
        <v/>
      </c>
      <c r="X75">
        <f>HYPERLINK("https://klasma.github.io/Logging_0586/tillsyn/A 61056-2019 tillsynsbegäran.docx", "A 61056-2019")</f>
        <v/>
      </c>
      <c r="Y75">
        <f>HYPERLINK("https://klasma.github.io/Logging_0586/tillsynsmail/A 61056-2019 tillsynsbegäran mail.docx", "A 61056-2019")</f>
        <v/>
      </c>
    </row>
    <row r="76" ht="15" customHeight="1">
      <c r="A76" t="inlineStr">
        <is>
          <t>A 63334-2019</t>
        </is>
      </c>
      <c r="B76" s="1" t="n">
        <v>43794</v>
      </c>
      <c r="C76" s="1" t="n">
        <v>45513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1.8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Skogsalm
Svart trolldruva
Grönvit nattviol
Blåsippa</t>
        </is>
      </c>
      <c r="S76">
        <f>HYPERLINK("https://klasma.github.io/Logging_0560/artfynd/A 63334-2019 artfynd.xlsx", "A 63334-2019")</f>
        <v/>
      </c>
      <c r="T76">
        <f>HYPERLINK("https://klasma.github.io/Logging_0560/kartor/A 63334-2019 karta.png", "A 63334-2019")</f>
        <v/>
      </c>
      <c r="V76">
        <f>HYPERLINK("https://klasma.github.io/Logging_0560/klagomål/A 63334-2019 FSC-klagomål.docx", "A 63334-2019")</f>
        <v/>
      </c>
      <c r="W76">
        <f>HYPERLINK("https://klasma.github.io/Logging_0560/klagomålsmail/A 63334-2019 FSC-klagomål mail.docx", "A 63334-2019")</f>
        <v/>
      </c>
      <c r="X76">
        <f>HYPERLINK("https://klasma.github.io/Logging_0560/tillsyn/A 63334-2019 tillsynsbegäran.docx", "A 63334-2019")</f>
        <v/>
      </c>
      <c r="Y76">
        <f>HYPERLINK("https://klasma.github.io/Logging_0560/tillsynsmail/A 63334-2019 tillsynsbegäran mail.docx", "A 63334-2019")</f>
        <v/>
      </c>
    </row>
    <row r="77" ht="15" customHeight="1">
      <c r="A77" t="inlineStr">
        <is>
          <t>A 3286-2020</t>
        </is>
      </c>
      <c r="B77" s="1" t="n">
        <v>43852</v>
      </c>
      <c r="C77" s="1" t="n">
        <v>45513</v>
      </c>
      <c r="D77" t="inlineStr">
        <is>
          <t>ÖSTERGÖTLANDS LÄN</t>
        </is>
      </c>
      <c r="E77" t="inlineStr">
        <is>
          <t>LINKÖPING</t>
        </is>
      </c>
      <c r="G77" t="n">
        <v>7.1</v>
      </c>
      <c r="H77" t="n">
        <v>1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Blekticka
Gul dropplav
Blanksvart trämyra
Ekoxe</t>
        </is>
      </c>
      <c r="S77">
        <f>HYPERLINK("https://klasma.github.io/Logging_0580/artfynd/A 3286-2020 artfynd.xlsx", "A 3286-2020")</f>
        <v/>
      </c>
      <c r="T77">
        <f>HYPERLINK("https://klasma.github.io/Logging_0580/kartor/A 3286-2020 karta.png", "A 3286-2020")</f>
        <v/>
      </c>
      <c r="V77">
        <f>HYPERLINK("https://klasma.github.io/Logging_0580/klagomål/A 3286-2020 FSC-klagomål.docx", "A 3286-2020")</f>
        <v/>
      </c>
      <c r="W77">
        <f>HYPERLINK("https://klasma.github.io/Logging_0580/klagomålsmail/A 3286-2020 FSC-klagomål mail.docx", "A 3286-2020")</f>
        <v/>
      </c>
      <c r="X77">
        <f>HYPERLINK("https://klasma.github.io/Logging_0580/tillsyn/A 3286-2020 tillsynsbegäran.docx", "A 3286-2020")</f>
        <v/>
      </c>
      <c r="Y77">
        <f>HYPERLINK("https://klasma.github.io/Logging_0580/tillsynsmail/A 3286-2020 tillsynsbegäran mail.docx", "A 3286-2020")</f>
        <v/>
      </c>
    </row>
    <row r="78" ht="15" customHeight="1">
      <c r="A78" t="inlineStr">
        <is>
          <t>A 8661-2020</t>
        </is>
      </c>
      <c r="B78" s="1" t="n">
        <v>43878</v>
      </c>
      <c r="C78" s="1" t="n">
        <v>45513</v>
      </c>
      <c r="D78" t="inlineStr">
        <is>
          <t>ÖSTERGÖTLANDS LÄN</t>
        </is>
      </c>
      <c r="E78" t="inlineStr">
        <is>
          <t>LINKÖPING</t>
        </is>
      </c>
      <c r="G78" t="n">
        <v>22.5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Svinrot
Ängsskära
Blåsippa
Gullviva</t>
        </is>
      </c>
      <c r="S78">
        <f>HYPERLINK("https://klasma.github.io/Logging_0580/artfynd/A 8661-2020 artfynd.xlsx", "A 8661-2020")</f>
        <v/>
      </c>
      <c r="T78">
        <f>HYPERLINK("https://klasma.github.io/Logging_0580/kartor/A 8661-2020 karta.png", "A 8661-2020")</f>
        <v/>
      </c>
      <c r="V78">
        <f>HYPERLINK("https://klasma.github.io/Logging_0580/klagomål/A 8661-2020 FSC-klagomål.docx", "A 8661-2020")</f>
        <v/>
      </c>
      <c r="W78">
        <f>HYPERLINK("https://klasma.github.io/Logging_0580/klagomålsmail/A 8661-2020 FSC-klagomål mail.docx", "A 8661-2020")</f>
        <v/>
      </c>
      <c r="X78">
        <f>HYPERLINK("https://klasma.github.io/Logging_0580/tillsyn/A 8661-2020 tillsynsbegäran.docx", "A 8661-2020")</f>
        <v/>
      </c>
      <c r="Y78">
        <f>HYPERLINK("https://klasma.github.io/Logging_0580/tillsynsmail/A 8661-2020 tillsynsbegäran mail.docx", "A 8661-2020")</f>
        <v/>
      </c>
    </row>
    <row r="79" ht="15" customHeight="1">
      <c r="A79" t="inlineStr">
        <is>
          <t>A 19094-2020</t>
        </is>
      </c>
      <c r="B79" s="1" t="n">
        <v>43936</v>
      </c>
      <c r="C79" s="1" t="n">
        <v>45513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1.3</v>
      </c>
      <c r="H79" t="n">
        <v>0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Gropticka
Torvbägarlav
Flagellkvastmossa
Skuggmossa</t>
        </is>
      </c>
      <c r="S79">
        <f>HYPERLINK("https://klasma.github.io/Logging_0583/artfynd/A 19094-2020 artfynd.xlsx", "A 19094-2020")</f>
        <v/>
      </c>
      <c r="T79">
        <f>HYPERLINK("https://klasma.github.io/Logging_0583/kartor/A 19094-2020 karta.png", "A 19094-2020")</f>
        <v/>
      </c>
      <c r="V79">
        <f>HYPERLINK("https://klasma.github.io/Logging_0583/klagomål/A 19094-2020 FSC-klagomål.docx", "A 19094-2020")</f>
        <v/>
      </c>
      <c r="W79">
        <f>HYPERLINK("https://klasma.github.io/Logging_0583/klagomålsmail/A 19094-2020 FSC-klagomål mail.docx", "A 19094-2020")</f>
        <v/>
      </c>
      <c r="X79">
        <f>HYPERLINK("https://klasma.github.io/Logging_0583/tillsyn/A 19094-2020 tillsynsbegäran.docx", "A 19094-2020")</f>
        <v/>
      </c>
      <c r="Y79">
        <f>HYPERLINK("https://klasma.github.io/Logging_0583/tillsynsmail/A 19094-2020 tillsynsbegäran mail.docx", "A 19094-2020")</f>
        <v/>
      </c>
    </row>
    <row r="80" ht="15" customHeight="1">
      <c r="A80" t="inlineStr">
        <is>
          <t>A 30913-2020</t>
        </is>
      </c>
      <c r="B80" s="1" t="n">
        <v>44011</v>
      </c>
      <c r="C80" s="1" t="n">
        <v>45513</v>
      </c>
      <c r="D80" t="inlineStr">
        <is>
          <t>ÖSTERGÖTLANDS LÄN</t>
        </is>
      </c>
      <c r="E80" t="inlineStr">
        <is>
          <t>FINSPÅNG</t>
        </is>
      </c>
      <c r="G80" t="n">
        <v>2.9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Svinrot
Blåmossa
Grönpyrola
Blåsippa</t>
        </is>
      </c>
      <c r="S80">
        <f>HYPERLINK("https://klasma.github.io/Logging_0562/artfynd/A 30913-2020 artfynd.xlsx", "A 30913-2020")</f>
        <v/>
      </c>
      <c r="T80">
        <f>HYPERLINK("https://klasma.github.io/Logging_0562/kartor/A 30913-2020 karta.png", "A 30913-2020")</f>
        <v/>
      </c>
      <c r="V80">
        <f>HYPERLINK("https://klasma.github.io/Logging_0562/klagomål/A 30913-2020 FSC-klagomål.docx", "A 30913-2020")</f>
        <v/>
      </c>
      <c r="W80">
        <f>HYPERLINK("https://klasma.github.io/Logging_0562/klagomålsmail/A 30913-2020 FSC-klagomål mail.docx", "A 30913-2020")</f>
        <v/>
      </c>
      <c r="X80">
        <f>HYPERLINK("https://klasma.github.io/Logging_0562/tillsyn/A 30913-2020 tillsynsbegäran.docx", "A 30913-2020")</f>
        <v/>
      </c>
      <c r="Y80">
        <f>HYPERLINK("https://klasma.github.io/Logging_0562/tillsynsmail/A 30913-2020 tillsynsbegäran mail.docx", "A 30913-2020")</f>
        <v/>
      </c>
    </row>
    <row r="81" ht="15" customHeight="1">
      <c r="A81" t="inlineStr">
        <is>
          <t>A 31109-2020</t>
        </is>
      </c>
      <c r="B81" s="1" t="n">
        <v>44012</v>
      </c>
      <c r="C81" s="1" t="n">
        <v>45513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Kommuner</t>
        </is>
      </c>
      <c r="G81" t="n">
        <v>4.3</v>
      </c>
      <c r="H81" t="n">
        <v>3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Gröngöling
Vanlig snok
Revlummer</t>
        </is>
      </c>
      <c r="S81">
        <f>HYPERLINK("https://klasma.github.io/Logging_0561/artfynd/A 31109-2020 artfynd.xlsx", "A 31109-2020")</f>
        <v/>
      </c>
      <c r="T81">
        <f>HYPERLINK("https://klasma.github.io/Logging_0561/kartor/A 31109-2020 karta.png", "A 31109-2020")</f>
        <v/>
      </c>
      <c r="V81">
        <f>HYPERLINK("https://klasma.github.io/Logging_0561/klagomål/A 31109-2020 FSC-klagomål.docx", "A 31109-2020")</f>
        <v/>
      </c>
      <c r="W81">
        <f>HYPERLINK("https://klasma.github.io/Logging_0561/klagomålsmail/A 31109-2020 FSC-klagomål mail.docx", "A 31109-2020")</f>
        <v/>
      </c>
      <c r="X81">
        <f>HYPERLINK("https://klasma.github.io/Logging_0561/tillsyn/A 31109-2020 tillsynsbegäran.docx", "A 31109-2020")</f>
        <v/>
      </c>
      <c r="Y81">
        <f>HYPERLINK("https://klasma.github.io/Logging_0561/tillsynsmail/A 31109-2020 tillsynsbegäran mail.docx", "A 31109-2020")</f>
        <v/>
      </c>
      <c r="Z81">
        <f>HYPERLINK("https://klasma.github.io/Logging_0561/fåglar/A 31109-2020 prioriterade fågelarter.docx", "A 31109-2020")</f>
        <v/>
      </c>
    </row>
    <row r="82" ht="15" customHeight="1">
      <c r="A82" t="inlineStr">
        <is>
          <t>A 40049-2020</t>
        </is>
      </c>
      <c r="B82" s="1" t="n">
        <v>44067</v>
      </c>
      <c r="C82" s="1" t="n">
        <v>45513</v>
      </c>
      <c r="D82" t="inlineStr">
        <is>
          <t>ÖSTERGÖTLANDS LÄN</t>
        </is>
      </c>
      <c r="E82" t="inlineStr">
        <is>
          <t>NORRKÖPING</t>
        </is>
      </c>
      <c r="G82" t="n">
        <v>10.5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Tallticka
Blomkålssvamp
Blåmossa
Grovticka</t>
        </is>
      </c>
      <c r="S82">
        <f>HYPERLINK("https://klasma.github.io/Logging_0581/artfynd/A 40049-2020 artfynd.xlsx", "A 40049-2020")</f>
        <v/>
      </c>
      <c r="T82">
        <f>HYPERLINK("https://klasma.github.io/Logging_0581/kartor/A 40049-2020 karta.png", "A 40049-2020")</f>
        <v/>
      </c>
      <c r="V82">
        <f>HYPERLINK("https://klasma.github.io/Logging_0581/klagomål/A 40049-2020 FSC-klagomål.docx", "A 40049-2020")</f>
        <v/>
      </c>
      <c r="W82">
        <f>HYPERLINK("https://klasma.github.io/Logging_0581/klagomålsmail/A 40049-2020 FSC-klagomål mail.docx", "A 40049-2020")</f>
        <v/>
      </c>
      <c r="X82">
        <f>HYPERLINK("https://klasma.github.io/Logging_0581/tillsyn/A 40049-2020 tillsynsbegäran.docx", "A 40049-2020")</f>
        <v/>
      </c>
      <c r="Y82">
        <f>HYPERLINK("https://klasma.github.io/Logging_0581/tillsynsmail/A 40049-2020 tillsynsbegäran mail.docx", "A 40049-2020")</f>
        <v/>
      </c>
    </row>
    <row r="83" ht="15" customHeight="1">
      <c r="A83" t="inlineStr">
        <is>
          <t>A 9383-2021</t>
        </is>
      </c>
      <c r="B83" s="1" t="n">
        <v>44250</v>
      </c>
      <c r="C83" s="1" t="n">
        <v>45513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2.4</v>
      </c>
      <c r="H83" t="n">
        <v>0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Vedtrappmossa
Fällmossa
Platt fjädermossa
Tibast</t>
        </is>
      </c>
      <c r="S83">
        <f>HYPERLINK("https://klasma.github.io/Logging_0561/artfynd/A 9383-2021 artfynd.xlsx", "A 9383-2021")</f>
        <v/>
      </c>
      <c r="T83">
        <f>HYPERLINK("https://klasma.github.io/Logging_0561/kartor/A 9383-2021 karta.png", "A 9383-2021")</f>
        <v/>
      </c>
      <c r="U83">
        <f>HYPERLINK("https://klasma.github.io/Logging_0561/knärot/A 9383-2021 karta knärot.png", "A 9383-2021")</f>
        <v/>
      </c>
      <c r="V83">
        <f>HYPERLINK("https://klasma.github.io/Logging_0561/klagomål/A 9383-2021 FSC-klagomål.docx", "A 9383-2021")</f>
        <v/>
      </c>
      <c r="W83">
        <f>HYPERLINK("https://klasma.github.io/Logging_0561/klagomålsmail/A 9383-2021 FSC-klagomål mail.docx", "A 9383-2021")</f>
        <v/>
      </c>
      <c r="X83">
        <f>HYPERLINK("https://klasma.github.io/Logging_0561/tillsyn/A 9383-2021 tillsynsbegäran.docx", "A 9383-2021")</f>
        <v/>
      </c>
      <c r="Y83">
        <f>HYPERLINK("https://klasma.github.io/Logging_0561/tillsynsmail/A 9383-2021 tillsynsbegäran mail.docx", "A 9383-2021")</f>
        <v/>
      </c>
    </row>
    <row r="84" ht="15" customHeight="1">
      <c r="A84" t="inlineStr">
        <is>
          <t>A 15475-2021</t>
        </is>
      </c>
      <c r="B84" s="1" t="n">
        <v>44285</v>
      </c>
      <c r="C84" s="1" t="n">
        <v>45513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10.2</v>
      </c>
      <c r="H84" t="n">
        <v>3</v>
      </c>
      <c r="I84" t="n">
        <v>0</v>
      </c>
      <c r="J84" t="n">
        <v>3</v>
      </c>
      <c r="K84" t="n">
        <v>0</v>
      </c>
      <c r="L84" t="n">
        <v>0</v>
      </c>
      <c r="M84" t="n">
        <v>1</v>
      </c>
      <c r="N84" t="n">
        <v>0</v>
      </c>
      <c r="O84" t="n">
        <v>4</v>
      </c>
      <c r="P84" t="n">
        <v>1</v>
      </c>
      <c r="Q84" t="n">
        <v>4</v>
      </c>
      <c r="R84" s="2" t="inlineStr">
        <is>
          <t>Skogsalm
Grönsångare
Gulsparv
Svartvit flugsnappare</t>
        </is>
      </c>
      <c r="S84">
        <f>HYPERLINK("https://klasma.github.io/Logging_0580/artfynd/A 15475-2021 artfynd.xlsx", "A 15475-2021")</f>
        <v/>
      </c>
      <c r="T84">
        <f>HYPERLINK("https://klasma.github.io/Logging_0580/kartor/A 15475-2021 karta.png", "A 15475-2021")</f>
        <v/>
      </c>
      <c r="V84">
        <f>HYPERLINK("https://klasma.github.io/Logging_0580/klagomål/A 15475-2021 FSC-klagomål.docx", "A 15475-2021")</f>
        <v/>
      </c>
      <c r="W84">
        <f>HYPERLINK("https://klasma.github.io/Logging_0580/klagomålsmail/A 15475-2021 FSC-klagomål mail.docx", "A 15475-2021")</f>
        <v/>
      </c>
      <c r="X84">
        <f>HYPERLINK("https://klasma.github.io/Logging_0580/tillsyn/A 15475-2021 tillsynsbegäran.docx", "A 15475-2021")</f>
        <v/>
      </c>
      <c r="Y84">
        <f>HYPERLINK("https://klasma.github.io/Logging_0580/tillsynsmail/A 15475-2021 tillsynsbegäran mail.docx", "A 15475-2021")</f>
        <v/>
      </c>
      <c r="Z84">
        <f>HYPERLINK("https://klasma.github.io/Logging_0580/fåglar/A 15475-2021 prioriterade fågelarter.docx", "A 15475-2021")</f>
        <v/>
      </c>
    </row>
    <row r="85" ht="15" customHeight="1">
      <c r="A85" t="inlineStr">
        <is>
          <t>A 40970-2021</t>
        </is>
      </c>
      <c r="B85" s="1" t="n">
        <v>44421</v>
      </c>
      <c r="C85" s="1" t="n">
        <v>45513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2.2</v>
      </c>
      <c r="H85" t="n">
        <v>2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Bombmurkla
Fjällig taggsvamp s.str.
Kryddspindling
Blåsippa</t>
        </is>
      </c>
      <c r="S85">
        <f>HYPERLINK("https://klasma.github.io/Logging_0580/artfynd/A 40970-2021 artfynd.xlsx", "A 40970-2021")</f>
        <v/>
      </c>
      <c r="T85">
        <f>HYPERLINK("https://klasma.github.io/Logging_0580/kartor/A 40970-2021 karta.png", "A 40970-2021")</f>
        <v/>
      </c>
      <c r="U85">
        <f>HYPERLINK("https://klasma.github.io/Logging_0580/knärot/A 40970-2021 karta knärot.png", "A 40970-2021")</f>
        <v/>
      </c>
      <c r="V85">
        <f>HYPERLINK("https://klasma.github.io/Logging_0580/klagomål/A 40970-2021 FSC-klagomål.docx", "A 40970-2021")</f>
        <v/>
      </c>
      <c r="W85">
        <f>HYPERLINK("https://klasma.github.io/Logging_0580/klagomålsmail/A 40970-2021 FSC-klagomål mail.docx", "A 40970-2021")</f>
        <v/>
      </c>
      <c r="X85">
        <f>HYPERLINK("https://klasma.github.io/Logging_0580/tillsyn/A 40970-2021 tillsynsbegäran.docx", "A 40970-2021")</f>
        <v/>
      </c>
      <c r="Y85">
        <f>HYPERLINK("https://klasma.github.io/Logging_0580/tillsynsmail/A 40970-2021 tillsynsbegäran mail.docx", "A 40970-2021")</f>
        <v/>
      </c>
    </row>
    <row r="86" ht="15" customHeight="1">
      <c r="A86" t="inlineStr">
        <is>
          <t>A 41742-2021</t>
        </is>
      </c>
      <c r="B86" s="1" t="n">
        <v>44425</v>
      </c>
      <c r="C86" s="1" t="n">
        <v>45513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4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Sandödla
Kopparödla
Skogsödla
Vanlig padda</t>
        </is>
      </c>
      <c r="S86">
        <f>HYPERLINK("https://klasma.github.io/Logging_0562/artfynd/A 41742-2021 artfynd.xlsx", "A 41742-2021")</f>
        <v/>
      </c>
      <c r="T86">
        <f>HYPERLINK("https://klasma.github.io/Logging_0562/kartor/A 41742-2021 karta.png", "A 41742-2021")</f>
        <v/>
      </c>
      <c r="V86">
        <f>HYPERLINK("https://klasma.github.io/Logging_0562/klagomål/A 41742-2021 FSC-klagomål.docx", "A 41742-2021")</f>
        <v/>
      </c>
      <c r="W86">
        <f>HYPERLINK("https://klasma.github.io/Logging_0562/klagomålsmail/A 41742-2021 FSC-klagomål mail.docx", "A 41742-2021")</f>
        <v/>
      </c>
      <c r="X86">
        <f>HYPERLINK("https://klasma.github.io/Logging_0562/tillsyn/A 41742-2021 tillsynsbegäran.docx", "A 41742-2021")</f>
        <v/>
      </c>
      <c r="Y86">
        <f>HYPERLINK("https://klasma.github.io/Logging_0562/tillsynsmail/A 41742-2021 tillsynsbegäran mail.docx", "A 41742-2021")</f>
        <v/>
      </c>
    </row>
    <row r="87" ht="15" customHeight="1">
      <c r="A87" t="inlineStr">
        <is>
          <t>A 56271-2021</t>
        </is>
      </c>
      <c r="B87" s="1" t="n">
        <v>44479</v>
      </c>
      <c r="C87" s="1" t="n">
        <v>45513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1.8</v>
      </c>
      <c r="H87" t="n">
        <v>2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Dårgräsfjäril
Ekticka
Fällmossa
Blåsippa</t>
        </is>
      </c>
      <c r="S87">
        <f>HYPERLINK("https://klasma.github.io/Logging_0580/artfynd/A 56271-2021 artfynd.xlsx", "A 56271-2021")</f>
        <v/>
      </c>
      <c r="T87">
        <f>HYPERLINK("https://klasma.github.io/Logging_0580/kartor/A 56271-2021 karta.png", "A 56271-2021")</f>
        <v/>
      </c>
      <c r="V87">
        <f>HYPERLINK("https://klasma.github.io/Logging_0580/klagomål/A 56271-2021 FSC-klagomål.docx", "A 56271-2021")</f>
        <v/>
      </c>
      <c r="W87">
        <f>HYPERLINK("https://klasma.github.io/Logging_0580/klagomålsmail/A 56271-2021 FSC-klagomål mail.docx", "A 56271-2021")</f>
        <v/>
      </c>
      <c r="X87">
        <f>HYPERLINK("https://klasma.github.io/Logging_0580/tillsyn/A 56271-2021 tillsynsbegäran.docx", "A 56271-2021")</f>
        <v/>
      </c>
      <c r="Y87">
        <f>HYPERLINK("https://klasma.github.io/Logging_0580/tillsynsmail/A 56271-2021 tillsynsbegäran mail.docx", "A 56271-2021")</f>
        <v/>
      </c>
    </row>
    <row r="88" ht="15" customHeight="1">
      <c r="A88" t="inlineStr">
        <is>
          <t>A 62483-2021</t>
        </is>
      </c>
      <c r="B88" s="1" t="n">
        <v>44503</v>
      </c>
      <c r="C88" s="1" t="n">
        <v>45513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1.4</v>
      </c>
      <c r="H88" t="n">
        <v>4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Järnsparv
Sparvuggla
Trana</t>
        </is>
      </c>
      <c r="S88">
        <f>HYPERLINK("https://klasma.github.io/Logging_0512/artfynd/A 62483-2021 artfynd.xlsx", "A 62483-2021")</f>
        <v/>
      </c>
      <c r="T88">
        <f>HYPERLINK("https://klasma.github.io/Logging_0512/kartor/A 62483-2021 karta.png", "A 62483-2021")</f>
        <v/>
      </c>
      <c r="V88">
        <f>HYPERLINK("https://klasma.github.io/Logging_0512/klagomål/A 62483-2021 FSC-klagomål.docx", "A 62483-2021")</f>
        <v/>
      </c>
      <c r="W88">
        <f>HYPERLINK("https://klasma.github.io/Logging_0512/klagomålsmail/A 62483-2021 FSC-klagomål mail.docx", "A 62483-2021")</f>
        <v/>
      </c>
      <c r="X88">
        <f>HYPERLINK("https://klasma.github.io/Logging_0512/tillsyn/A 62483-2021 tillsynsbegäran.docx", "A 62483-2021")</f>
        <v/>
      </c>
      <c r="Y88">
        <f>HYPERLINK("https://klasma.github.io/Logging_0512/tillsynsmail/A 62483-2021 tillsynsbegäran mail.docx", "A 62483-2021")</f>
        <v/>
      </c>
      <c r="Z88">
        <f>HYPERLINK("https://klasma.github.io/Logging_0512/fåglar/A 62483-2021 prioriterade fågelarter.docx", "A 62483-2021")</f>
        <v/>
      </c>
    </row>
    <row r="89" ht="15" customHeight="1">
      <c r="A89" t="inlineStr">
        <is>
          <t>A 65599-2021</t>
        </is>
      </c>
      <c r="B89" s="1" t="n">
        <v>44516</v>
      </c>
      <c r="C89" s="1" t="n">
        <v>45513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4</v>
      </c>
      <c r="R89" s="2" t="inlineStr">
        <is>
          <t>Blekticka
Ekticka
Korskovall
Oxtungssvamp</t>
        </is>
      </c>
      <c r="S89">
        <f>HYPERLINK("https://klasma.github.io/Logging_0561/artfynd/A 65599-2021 artfynd.xlsx", "A 65599-2021")</f>
        <v/>
      </c>
      <c r="T89">
        <f>HYPERLINK("https://klasma.github.io/Logging_0561/kartor/A 65599-2021 karta.png", "A 65599-2021")</f>
        <v/>
      </c>
      <c r="V89">
        <f>HYPERLINK("https://klasma.github.io/Logging_0561/klagomål/A 65599-2021 FSC-klagomål.docx", "A 65599-2021")</f>
        <v/>
      </c>
      <c r="W89">
        <f>HYPERLINK("https://klasma.github.io/Logging_0561/klagomålsmail/A 65599-2021 FSC-klagomål mail.docx", "A 65599-2021")</f>
        <v/>
      </c>
      <c r="X89">
        <f>HYPERLINK("https://klasma.github.io/Logging_0561/tillsyn/A 65599-2021 tillsynsbegäran.docx", "A 65599-2021")</f>
        <v/>
      </c>
      <c r="Y89">
        <f>HYPERLINK("https://klasma.github.io/Logging_0561/tillsynsmail/A 65599-2021 tillsynsbegäran mail.docx", "A 65599-2021")</f>
        <v/>
      </c>
    </row>
    <row r="90" ht="15" customHeight="1">
      <c r="A90" t="inlineStr">
        <is>
          <t>A 17502-2022</t>
        </is>
      </c>
      <c r="B90" s="1" t="n">
        <v>44679</v>
      </c>
      <c r="C90" s="1" t="n">
        <v>45513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4.5</v>
      </c>
      <c r="H90" t="n">
        <v>1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Långfotad murkla
Fjällig taggsvamp s.str.
Strimspindling
Blåsippa</t>
        </is>
      </c>
      <c r="S90">
        <f>HYPERLINK("https://klasma.github.io/Logging_0580/artfynd/A 17502-2022 artfynd.xlsx", "A 17502-2022")</f>
        <v/>
      </c>
      <c r="T90">
        <f>HYPERLINK("https://klasma.github.io/Logging_0580/kartor/A 17502-2022 karta.png", "A 17502-2022")</f>
        <v/>
      </c>
      <c r="V90">
        <f>HYPERLINK("https://klasma.github.io/Logging_0580/klagomål/A 17502-2022 FSC-klagomål.docx", "A 17502-2022")</f>
        <v/>
      </c>
      <c r="W90">
        <f>HYPERLINK("https://klasma.github.io/Logging_0580/klagomålsmail/A 17502-2022 FSC-klagomål mail.docx", "A 17502-2022")</f>
        <v/>
      </c>
      <c r="X90">
        <f>HYPERLINK("https://klasma.github.io/Logging_0580/tillsyn/A 17502-2022 tillsynsbegäran.docx", "A 17502-2022")</f>
        <v/>
      </c>
      <c r="Y90">
        <f>HYPERLINK("https://klasma.github.io/Logging_0580/tillsynsmail/A 17502-2022 tillsynsbegäran mail.docx", "A 17502-2022")</f>
        <v/>
      </c>
    </row>
    <row r="91" ht="15" customHeight="1">
      <c r="A91" t="inlineStr">
        <is>
          <t>A 32058-2022</t>
        </is>
      </c>
      <c r="B91" s="1" t="n">
        <v>44778</v>
      </c>
      <c r="C91" s="1" t="n">
        <v>45513</v>
      </c>
      <c r="D91" t="inlineStr">
        <is>
          <t>ÖSTERGÖTLANDS LÄN</t>
        </is>
      </c>
      <c r="E91" t="inlineStr">
        <is>
          <t>ÅTVIDABERG</t>
        </is>
      </c>
      <c r="G91" t="n">
        <v>0.2</v>
      </c>
      <c r="H91" t="n">
        <v>2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Talltita
Ullticka
Blomkålssvamp</t>
        </is>
      </c>
      <c r="S91">
        <f>HYPERLINK("https://klasma.github.io/Logging_0561/artfynd/A 32058-2022 artfynd.xlsx", "A 32058-2022")</f>
        <v/>
      </c>
      <c r="T91">
        <f>HYPERLINK("https://klasma.github.io/Logging_0561/kartor/A 32058-2022 karta.png", "A 32058-2022")</f>
        <v/>
      </c>
      <c r="U91">
        <f>HYPERLINK("https://klasma.github.io/Logging_0561/knärot/A 32058-2022 karta knärot.png", "A 32058-2022")</f>
        <v/>
      </c>
      <c r="V91">
        <f>HYPERLINK("https://klasma.github.io/Logging_0561/klagomål/A 32058-2022 FSC-klagomål.docx", "A 32058-2022")</f>
        <v/>
      </c>
      <c r="W91">
        <f>HYPERLINK("https://klasma.github.io/Logging_0561/klagomålsmail/A 32058-2022 FSC-klagomål mail.docx", "A 32058-2022")</f>
        <v/>
      </c>
      <c r="X91">
        <f>HYPERLINK("https://klasma.github.io/Logging_0561/tillsyn/A 32058-2022 tillsynsbegäran.docx", "A 32058-2022")</f>
        <v/>
      </c>
      <c r="Y91">
        <f>HYPERLINK("https://klasma.github.io/Logging_0561/tillsynsmail/A 32058-2022 tillsynsbegäran mail.docx", "A 32058-2022")</f>
        <v/>
      </c>
      <c r="Z91">
        <f>HYPERLINK("https://klasma.github.io/Logging_0561/fåglar/A 32058-2022 prioriterade fågelarter.docx", "A 32058-2022")</f>
        <v/>
      </c>
    </row>
    <row r="92" ht="15" customHeight="1">
      <c r="A92" t="inlineStr">
        <is>
          <t>A 40422-2022</t>
        </is>
      </c>
      <c r="B92" s="1" t="n">
        <v>44823</v>
      </c>
      <c r="C92" s="1" t="n">
        <v>45513</v>
      </c>
      <c r="D92" t="inlineStr">
        <is>
          <t>ÖSTERGÖTLANDS LÄN</t>
        </is>
      </c>
      <c r="E92" t="inlineStr">
        <is>
          <t>ÅTVIDABERG</t>
        </is>
      </c>
      <c r="G92" t="n">
        <v>11.3</v>
      </c>
      <c r="H92" t="n">
        <v>2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 sköldmossa
Korallrot
Stubbspretmossa
Tibast</t>
        </is>
      </c>
      <c r="S92">
        <f>HYPERLINK("https://klasma.github.io/Logging_0561/artfynd/A 40422-2022 artfynd.xlsx", "A 40422-2022")</f>
        <v/>
      </c>
      <c r="T92">
        <f>HYPERLINK("https://klasma.github.io/Logging_0561/kartor/A 40422-2022 karta.png", "A 40422-2022")</f>
        <v/>
      </c>
      <c r="V92">
        <f>HYPERLINK("https://klasma.github.io/Logging_0561/klagomål/A 40422-2022 FSC-klagomål.docx", "A 40422-2022")</f>
        <v/>
      </c>
      <c r="W92">
        <f>HYPERLINK("https://klasma.github.io/Logging_0561/klagomålsmail/A 40422-2022 FSC-klagomål mail.docx", "A 40422-2022")</f>
        <v/>
      </c>
      <c r="X92">
        <f>HYPERLINK("https://klasma.github.io/Logging_0561/tillsyn/A 40422-2022 tillsynsbegäran.docx", "A 40422-2022")</f>
        <v/>
      </c>
      <c r="Y92">
        <f>HYPERLINK("https://klasma.github.io/Logging_0561/tillsynsmail/A 40422-2022 tillsynsbegäran mail.docx", "A 40422-2022")</f>
        <v/>
      </c>
    </row>
    <row r="93" ht="15" customHeight="1">
      <c r="A93" t="inlineStr">
        <is>
          <t>A 6352-2023</t>
        </is>
      </c>
      <c r="B93" s="1" t="n">
        <v>44965</v>
      </c>
      <c r="C93" s="1" t="n">
        <v>45513</v>
      </c>
      <c r="D93" t="inlineStr">
        <is>
          <t>ÖSTERGÖTLANDS LÄN</t>
        </is>
      </c>
      <c r="E93" t="inlineStr">
        <is>
          <t>LINKÖPING</t>
        </is>
      </c>
      <c r="G93" t="n">
        <v>2.8</v>
      </c>
      <c r="H93" t="n">
        <v>3</v>
      </c>
      <c r="I93" t="n">
        <v>0</v>
      </c>
      <c r="J93" t="n">
        <v>2</v>
      </c>
      <c r="K93" t="n">
        <v>1</v>
      </c>
      <c r="L93" t="n">
        <v>1</v>
      </c>
      <c r="M93" t="n">
        <v>0</v>
      </c>
      <c r="N93" t="n">
        <v>0</v>
      </c>
      <c r="O93" t="n">
        <v>4</v>
      </c>
      <c r="P93" t="n">
        <v>2</v>
      </c>
      <c r="Q93" t="n">
        <v>4</v>
      </c>
      <c r="R93" s="2" t="inlineStr">
        <is>
          <t>Grönfink
Stare
Blekticka
Gulsparv</t>
        </is>
      </c>
      <c r="S93">
        <f>HYPERLINK("https://klasma.github.io/Logging_0580/artfynd/A 6352-2023 artfynd.xlsx", "A 6352-2023")</f>
        <v/>
      </c>
      <c r="T93">
        <f>HYPERLINK("https://klasma.github.io/Logging_0580/kartor/A 6352-2023 karta.png", "A 6352-2023")</f>
        <v/>
      </c>
      <c r="V93">
        <f>HYPERLINK("https://klasma.github.io/Logging_0580/klagomål/A 6352-2023 FSC-klagomål.docx", "A 6352-2023")</f>
        <v/>
      </c>
      <c r="W93">
        <f>HYPERLINK("https://klasma.github.io/Logging_0580/klagomålsmail/A 6352-2023 FSC-klagomål mail.docx", "A 6352-2023")</f>
        <v/>
      </c>
      <c r="X93">
        <f>HYPERLINK("https://klasma.github.io/Logging_0580/tillsyn/A 6352-2023 tillsynsbegäran.docx", "A 6352-2023")</f>
        <v/>
      </c>
      <c r="Y93">
        <f>HYPERLINK("https://klasma.github.io/Logging_0580/tillsynsmail/A 6352-2023 tillsynsbegäran mail.docx", "A 6352-2023")</f>
        <v/>
      </c>
      <c r="Z93">
        <f>HYPERLINK("https://klasma.github.io/Logging_0580/fåglar/A 6352-2023 prioriterade fågelarter.docx", "A 6352-2023")</f>
        <v/>
      </c>
    </row>
    <row r="94" ht="15" customHeight="1">
      <c r="A94" t="inlineStr">
        <is>
          <t>A 53690-2023</t>
        </is>
      </c>
      <c r="B94" s="1" t="n">
        <v>45230</v>
      </c>
      <c r="C94" s="1" t="n">
        <v>45513</v>
      </c>
      <c r="D94" t="inlineStr">
        <is>
          <t>ÖSTERGÖTLANDS LÄN</t>
        </is>
      </c>
      <c r="E94" t="inlineStr">
        <is>
          <t>BOXHOLM</t>
        </is>
      </c>
      <c r="F94" t="inlineStr">
        <is>
          <t>Kyrkan</t>
        </is>
      </c>
      <c r="G94" t="n">
        <v>4.5</v>
      </c>
      <c r="H94" t="n">
        <v>2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Kvällsmaskros
Dvärghäxört
Blåsippa
Lopplummer</t>
        </is>
      </c>
      <c r="S94">
        <f>HYPERLINK("https://klasma.github.io/Logging_0560/artfynd/A 53690-2023 artfynd.xlsx", "A 53690-2023")</f>
        <v/>
      </c>
      <c r="T94">
        <f>HYPERLINK("https://klasma.github.io/Logging_0560/kartor/A 53690-2023 karta.png", "A 53690-2023")</f>
        <v/>
      </c>
      <c r="U94">
        <f>HYPERLINK("https://klasma.github.io/Logging_0560/knärot/A 53690-2023 karta knärot.png", "A 53690-2023")</f>
        <v/>
      </c>
      <c r="V94">
        <f>HYPERLINK("https://klasma.github.io/Logging_0560/klagomål/A 53690-2023 FSC-klagomål.docx", "A 53690-2023")</f>
        <v/>
      </c>
      <c r="W94">
        <f>HYPERLINK("https://klasma.github.io/Logging_0560/klagomålsmail/A 53690-2023 FSC-klagomål mail.docx", "A 53690-2023")</f>
        <v/>
      </c>
      <c r="X94">
        <f>HYPERLINK("https://klasma.github.io/Logging_0560/tillsyn/A 53690-2023 tillsynsbegäran.docx", "A 53690-2023")</f>
        <v/>
      </c>
      <c r="Y94">
        <f>HYPERLINK("https://klasma.github.io/Logging_0560/tillsynsmail/A 53690-2023 tillsynsbegäran mail.docx", "A 53690-2023")</f>
        <v/>
      </c>
    </row>
    <row r="95" ht="15" customHeight="1">
      <c r="A95" t="inlineStr">
        <is>
          <t>A 60246-2023</t>
        </is>
      </c>
      <c r="B95" s="1" t="n">
        <v>45258</v>
      </c>
      <c r="C95" s="1" t="n">
        <v>45513</v>
      </c>
      <c r="D95" t="inlineStr">
        <is>
          <t>ÖSTERGÖTLANDS LÄN</t>
        </is>
      </c>
      <c r="E95" t="inlineStr">
        <is>
          <t>LINKÖPING</t>
        </is>
      </c>
      <c r="G95" t="n">
        <v>2.8</v>
      </c>
      <c r="H95" t="n">
        <v>4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Gulsparv
Svartvit flugsnappare
Järnsparv
Kungsfågel</t>
        </is>
      </c>
      <c r="S95">
        <f>HYPERLINK("https://klasma.github.io/Logging_0580/artfynd/A 60246-2023 artfynd.xlsx", "A 60246-2023")</f>
        <v/>
      </c>
      <c r="T95">
        <f>HYPERLINK("https://klasma.github.io/Logging_0580/kartor/A 60246-2023 karta.png", "A 60246-2023")</f>
        <v/>
      </c>
      <c r="V95">
        <f>HYPERLINK("https://klasma.github.io/Logging_0580/klagomål/A 60246-2023 FSC-klagomål.docx", "A 60246-2023")</f>
        <v/>
      </c>
      <c r="W95">
        <f>HYPERLINK("https://klasma.github.io/Logging_0580/klagomålsmail/A 60246-2023 FSC-klagomål mail.docx", "A 60246-2023")</f>
        <v/>
      </c>
      <c r="X95">
        <f>HYPERLINK("https://klasma.github.io/Logging_0580/tillsyn/A 60246-2023 tillsynsbegäran.docx", "A 60246-2023")</f>
        <v/>
      </c>
      <c r="Y95">
        <f>HYPERLINK("https://klasma.github.io/Logging_0580/tillsynsmail/A 60246-2023 tillsynsbegäran mail.docx", "A 60246-2023")</f>
        <v/>
      </c>
      <c r="Z95">
        <f>HYPERLINK("https://klasma.github.io/Logging_0580/fåglar/A 60246-2023 prioriterade fågelarter.docx", "A 60246-2023")</f>
        <v/>
      </c>
    </row>
    <row r="96" ht="15" customHeight="1">
      <c r="A96" t="inlineStr">
        <is>
          <t>A 11955-2024</t>
        </is>
      </c>
      <c r="B96" s="1" t="n">
        <v>45376</v>
      </c>
      <c r="C96" s="1" t="n">
        <v>45513</v>
      </c>
      <c r="D96" t="inlineStr">
        <is>
          <t>ÖSTERGÖTLANDS LÄN</t>
        </is>
      </c>
      <c r="E96" t="inlineStr">
        <is>
          <t>NORRKÖPING</t>
        </is>
      </c>
      <c r="G96" t="n">
        <v>6.6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Fällmossa
Platt fjädermossa
Traslav
Blåsippa</t>
        </is>
      </c>
      <c r="S96">
        <f>HYPERLINK("https://klasma.github.io/Logging_0581/artfynd/A 11955-2024 artfynd.xlsx", "A 11955-2024")</f>
        <v/>
      </c>
      <c r="T96">
        <f>HYPERLINK("https://klasma.github.io/Logging_0581/kartor/A 11955-2024 karta.png", "A 11955-2024")</f>
        <v/>
      </c>
      <c r="V96">
        <f>HYPERLINK("https://klasma.github.io/Logging_0581/klagomål/A 11955-2024 FSC-klagomål.docx", "A 11955-2024")</f>
        <v/>
      </c>
      <c r="W96">
        <f>HYPERLINK("https://klasma.github.io/Logging_0581/klagomålsmail/A 11955-2024 FSC-klagomål mail.docx", "A 11955-2024")</f>
        <v/>
      </c>
      <c r="X96">
        <f>HYPERLINK("https://klasma.github.io/Logging_0581/tillsyn/A 11955-2024 tillsynsbegäran.docx", "A 11955-2024")</f>
        <v/>
      </c>
      <c r="Y96">
        <f>HYPERLINK("https://klasma.github.io/Logging_0581/tillsynsmail/A 11955-2024 tillsynsbegäran mail.docx", "A 11955-2024")</f>
        <v/>
      </c>
    </row>
    <row r="97" ht="15" customHeight="1">
      <c r="A97" t="inlineStr">
        <is>
          <t>A 18268-2024</t>
        </is>
      </c>
      <c r="B97" s="1" t="n">
        <v>45421</v>
      </c>
      <c r="C97" s="1" t="n">
        <v>45513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5.1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Vedskivlav
Gullgröppa
Tjäder
Fläcknycklar</t>
        </is>
      </c>
      <c r="S97">
        <f>HYPERLINK("https://klasma.github.io/Logging_0581/artfynd/A 18268-2024 artfynd.xlsx", "A 18268-2024")</f>
        <v/>
      </c>
      <c r="T97">
        <f>HYPERLINK("https://klasma.github.io/Logging_0581/kartor/A 18268-2024 karta.png", "A 18268-2024")</f>
        <v/>
      </c>
      <c r="V97">
        <f>HYPERLINK("https://klasma.github.io/Logging_0581/klagomål/A 18268-2024 FSC-klagomål.docx", "A 18268-2024")</f>
        <v/>
      </c>
      <c r="W97">
        <f>HYPERLINK("https://klasma.github.io/Logging_0581/klagomålsmail/A 18268-2024 FSC-klagomål mail.docx", "A 18268-2024")</f>
        <v/>
      </c>
      <c r="X97">
        <f>HYPERLINK("https://klasma.github.io/Logging_0581/tillsyn/A 18268-2024 tillsynsbegäran.docx", "A 18268-2024")</f>
        <v/>
      </c>
      <c r="Y97">
        <f>HYPERLINK("https://klasma.github.io/Logging_0581/tillsynsmail/A 18268-2024 tillsynsbegäran mail.docx", "A 18268-2024")</f>
        <v/>
      </c>
      <c r="Z97">
        <f>HYPERLINK("https://klasma.github.io/Logging_0581/fåglar/A 18268-2024 prioriterade fågelarter.docx", "A 18268-2024")</f>
        <v/>
      </c>
    </row>
    <row r="98" ht="15" customHeight="1">
      <c r="A98" t="inlineStr">
        <is>
          <t>A 21960-2024</t>
        </is>
      </c>
      <c r="B98" s="1" t="n">
        <v>45443</v>
      </c>
      <c r="C98" s="1" t="n">
        <v>45513</v>
      </c>
      <c r="D98" t="inlineStr">
        <is>
          <t>ÖSTERGÖTLANDS LÄN</t>
        </is>
      </c>
      <c r="E98" t="inlineStr">
        <is>
          <t>ÖDESHÖG</t>
        </is>
      </c>
      <c r="G98" t="n">
        <v>7.5</v>
      </c>
      <c r="H98" t="n">
        <v>3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Reliktbock
Spillkråka
Revlummer</t>
        </is>
      </c>
      <c r="S98">
        <f>HYPERLINK("https://klasma.github.io/Logging_0509/artfynd/A 21960-2024 artfynd.xlsx", "A 21960-2024")</f>
        <v/>
      </c>
      <c r="T98">
        <f>HYPERLINK("https://klasma.github.io/Logging_0509/kartor/A 21960-2024 karta.png", "A 21960-2024")</f>
        <v/>
      </c>
      <c r="U98">
        <f>HYPERLINK("https://klasma.github.io/Logging_0509/knärot/A 21960-2024 karta knärot.png", "A 21960-2024")</f>
        <v/>
      </c>
      <c r="V98">
        <f>HYPERLINK("https://klasma.github.io/Logging_0509/klagomål/A 21960-2024 FSC-klagomål.docx", "A 21960-2024")</f>
        <v/>
      </c>
      <c r="W98">
        <f>HYPERLINK("https://klasma.github.io/Logging_0509/klagomålsmail/A 21960-2024 FSC-klagomål mail.docx", "A 21960-2024")</f>
        <v/>
      </c>
      <c r="X98">
        <f>HYPERLINK("https://klasma.github.io/Logging_0509/tillsyn/A 21960-2024 tillsynsbegäran.docx", "A 21960-2024")</f>
        <v/>
      </c>
      <c r="Y98">
        <f>HYPERLINK("https://klasma.github.io/Logging_0509/tillsynsmail/A 21960-2024 tillsynsbegäran mail.docx", "A 21960-2024")</f>
        <v/>
      </c>
      <c r="Z98">
        <f>HYPERLINK("https://klasma.github.io/Logging_0509/fåglar/A 21960-2024 prioriterade fågelarter.docx", "A 21960-2024")</f>
        <v/>
      </c>
    </row>
    <row r="99" ht="15" customHeight="1">
      <c r="A99" t="inlineStr">
        <is>
          <t>A 28424-2024</t>
        </is>
      </c>
      <c r="B99" s="1" t="n">
        <v>45477</v>
      </c>
      <c r="C99" s="1" t="n">
        <v>45513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Naturvårdsverket</t>
        </is>
      </c>
      <c r="G99" t="n">
        <v>8.699999999999999</v>
      </c>
      <c r="H99" t="n">
        <v>4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Grönsångare
Kråka
Spillkråka
Grön sköldmossa</t>
        </is>
      </c>
      <c r="S99">
        <f>HYPERLINK("https://klasma.github.io/Logging_0581/artfynd/A 28424-2024 artfynd.xlsx", "A 28424-2024")</f>
        <v/>
      </c>
      <c r="T99">
        <f>HYPERLINK("https://klasma.github.io/Logging_0581/kartor/A 28424-2024 karta.png", "A 28424-2024")</f>
        <v/>
      </c>
      <c r="U99">
        <f>HYPERLINK("https://klasma.github.io/Logging_0581/knärot/A 28424-2024 karta knärot.png", "A 28424-2024")</f>
        <v/>
      </c>
      <c r="V99">
        <f>HYPERLINK("https://klasma.github.io/Logging_0581/klagomål/A 28424-2024 FSC-klagomål.docx", "A 28424-2024")</f>
        <v/>
      </c>
      <c r="W99">
        <f>HYPERLINK("https://klasma.github.io/Logging_0581/klagomålsmail/A 28424-2024 FSC-klagomål mail.docx", "A 28424-2024")</f>
        <v/>
      </c>
      <c r="X99">
        <f>HYPERLINK("https://klasma.github.io/Logging_0581/tillsyn/A 28424-2024 tillsynsbegäran.docx", "A 28424-2024")</f>
        <v/>
      </c>
      <c r="Y99">
        <f>HYPERLINK("https://klasma.github.io/Logging_0581/tillsynsmail/A 28424-2024 tillsynsbegäran mail.docx", "A 28424-2024")</f>
        <v/>
      </c>
      <c r="Z99">
        <f>HYPERLINK("https://klasma.github.io/Logging_0581/fåglar/A 28424-2024 prioriterade fågelarter.docx", "A 28424-2024")</f>
        <v/>
      </c>
    </row>
    <row r="100" ht="15" customHeight="1">
      <c r="A100" t="inlineStr">
        <is>
          <t>A 20300-2019</t>
        </is>
      </c>
      <c r="B100" s="1" t="n">
        <v>43570</v>
      </c>
      <c r="C100" s="1" t="n">
        <v>45513</v>
      </c>
      <c r="D100" t="inlineStr">
        <is>
          <t>ÖSTERGÖTLANDS LÄN</t>
        </is>
      </c>
      <c r="E100" t="inlineStr">
        <is>
          <t>ÖDESHÖG</t>
        </is>
      </c>
      <c r="G100" t="n">
        <v>18.2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Skogsbräsma
Strutbräken
Grönvit nattviol</t>
        </is>
      </c>
      <c r="S100">
        <f>HYPERLINK("https://klasma.github.io/Logging_0509/artfynd/A 20300-2019 artfynd.xlsx", "A 20300-2019")</f>
        <v/>
      </c>
      <c r="T100">
        <f>HYPERLINK("https://klasma.github.io/Logging_0509/kartor/A 20300-2019 karta.png", "A 20300-2019")</f>
        <v/>
      </c>
      <c r="V100">
        <f>HYPERLINK("https://klasma.github.io/Logging_0509/klagomål/A 20300-2019 FSC-klagomål.docx", "A 20300-2019")</f>
        <v/>
      </c>
      <c r="W100">
        <f>HYPERLINK("https://klasma.github.io/Logging_0509/klagomålsmail/A 20300-2019 FSC-klagomål mail.docx", "A 20300-2019")</f>
        <v/>
      </c>
      <c r="X100">
        <f>HYPERLINK("https://klasma.github.io/Logging_0509/tillsyn/A 20300-2019 tillsynsbegäran.docx", "A 20300-2019")</f>
        <v/>
      </c>
      <c r="Y100">
        <f>HYPERLINK("https://klasma.github.io/Logging_0509/tillsynsmail/A 20300-2019 tillsynsbegäran mail.docx", "A 20300-2019")</f>
        <v/>
      </c>
    </row>
    <row r="101" ht="15" customHeight="1">
      <c r="A101" t="inlineStr">
        <is>
          <t>A 34176-2019</t>
        </is>
      </c>
      <c r="B101" s="1" t="n">
        <v>43655</v>
      </c>
      <c r="C101" s="1" t="n">
        <v>45513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8.800000000000001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Klippfrullania
Sårläka
Trädporella</t>
        </is>
      </c>
      <c r="S101">
        <f>HYPERLINK("https://klasma.github.io/Logging_0581/artfynd/A 34176-2019 artfynd.xlsx", "A 34176-2019")</f>
        <v/>
      </c>
      <c r="T101">
        <f>HYPERLINK("https://klasma.github.io/Logging_0581/kartor/A 34176-2019 karta.png", "A 34176-2019")</f>
        <v/>
      </c>
      <c r="V101">
        <f>HYPERLINK("https://klasma.github.io/Logging_0581/klagomål/A 34176-2019 FSC-klagomål.docx", "A 34176-2019")</f>
        <v/>
      </c>
      <c r="W101">
        <f>HYPERLINK("https://klasma.github.io/Logging_0581/klagomålsmail/A 34176-2019 FSC-klagomål mail.docx", "A 34176-2019")</f>
        <v/>
      </c>
      <c r="X101">
        <f>HYPERLINK("https://klasma.github.io/Logging_0581/tillsyn/A 34176-2019 tillsynsbegäran.docx", "A 34176-2019")</f>
        <v/>
      </c>
      <c r="Y101">
        <f>HYPERLINK("https://klasma.github.io/Logging_0581/tillsynsmail/A 34176-2019 tillsynsbegäran mail.docx", "A 34176-2019")</f>
        <v/>
      </c>
    </row>
    <row r="102" ht="15" customHeight="1">
      <c r="A102" t="inlineStr">
        <is>
          <t>A 35697-2019</t>
        </is>
      </c>
      <c r="B102" s="1" t="n">
        <v>43656</v>
      </c>
      <c r="C102" s="1" t="n">
        <v>45513</v>
      </c>
      <c r="D102" t="inlineStr">
        <is>
          <t>ÖSTERGÖTLANDS LÄN</t>
        </is>
      </c>
      <c r="E102" t="inlineStr">
        <is>
          <t>LINKÖPING</t>
        </is>
      </c>
      <c r="G102" t="n">
        <v>1.3</v>
      </c>
      <c r="H102" t="n">
        <v>3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Buskskvätta
Gulsparv
Gullviva</t>
        </is>
      </c>
      <c r="S102">
        <f>HYPERLINK("https://klasma.github.io/Logging_0580/artfynd/A 35697-2019 artfynd.xlsx", "A 35697-2019")</f>
        <v/>
      </c>
      <c r="T102">
        <f>HYPERLINK("https://klasma.github.io/Logging_0580/kartor/A 35697-2019 karta.png", "A 35697-2019")</f>
        <v/>
      </c>
      <c r="V102">
        <f>HYPERLINK("https://klasma.github.io/Logging_0580/klagomål/A 35697-2019 FSC-klagomål.docx", "A 35697-2019")</f>
        <v/>
      </c>
      <c r="W102">
        <f>HYPERLINK("https://klasma.github.io/Logging_0580/klagomålsmail/A 35697-2019 FSC-klagomål mail.docx", "A 35697-2019")</f>
        <v/>
      </c>
      <c r="X102">
        <f>HYPERLINK("https://klasma.github.io/Logging_0580/tillsyn/A 35697-2019 tillsynsbegäran.docx", "A 35697-2019")</f>
        <v/>
      </c>
      <c r="Y102">
        <f>HYPERLINK("https://klasma.github.io/Logging_0580/tillsynsmail/A 35697-2019 tillsynsbegäran mail.docx", "A 35697-2019")</f>
        <v/>
      </c>
      <c r="Z102">
        <f>HYPERLINK("https://klasma.github.io/Logging_0580/fåglar/A 35697-2019 prioriterade fågelarter.docx", "A 35697-2019")</f>
        <v/>
      </c>
    </row>
    <row r="103" ht="15" customHeight="1">
      <c r="A103" t="inlineStr">
        <is>
          <t>A 43487-2019</t>
        </is>
      </c>
      <c r="B103" s="1" t="n">
        <v>43706</v>
      </c>
      <c r="C103" s="1" t="n">
        <v>45513</v>
      </c>
      <c r="D103" t="inlineStr">
        <is>
          <t>ÖSTERGÖTLANDS LÄN</t>
        </is>
      </c>
      <c r="E103" t="inlineStr">
        <is>
          <t>LINKÖPING</t>
        </is>
      </c>
      <c r="G103" t="n">
        <v>5.2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Ullticka
Bronshjon
Skuggblåslav</t>
        </is>
      </c>
      <c r="S103">
        <f>HYPERLINK("https://klasma.github.io/Logging_0580/artfynd/A 43487-2019 artfynd.xlsx", "A 43487-2019")</f>
        <v/>
      </c>
      <c r="T103">
        <f>HYPERLINK("https://klasma.github.io/Logging_0580/kartor/A 43487-2019 karta.png", "A 43487-2019")</f>
        <v/>
      </c>
      <c r="V103">
        <f>HYPERLINK("https://klasma.github.io/Logging_0580/klagomål/A 43487-2019 FSC-klagomål.docx", "A 43487-2019")</f>
        <v/>
      </c>
      <c r="W103">
        <f>HYPERLINK("https://klasma.github.io/Logging_0580/klagomålsmail/A 43487-2019 FSC-klagomål mail.docx", "A 43487-2019")</f>
        <v/>
      </c>
      <c r="X103">
        <f>HYPERLINK("https://klasma.github.io/Logging_0580/tillsyn/A 43487-2019 tillsynsbegäran.docx", "A 43487-2019")</f>
        <v/>
      </c>
      <c r="Y103">
        <f>HYPERLINK("https://klasma.github.io/Logging_0580/tillsynsmail/A 43487-2019 tillsynsbegäran mail.docx", "A 43487-2019")</f>
        <v/>
      </c>
    </row>
    <row r="104" ht="15" customHeight="1">
      <c r="A104" t="inlineStr">
        <is>
          <t>A 50566-2019</t>
        </is>
      </c>
      <c r="B104" s="1" t="n">
        <v>43735</v>
      </c>
      <c r="C104" s="1" t="n">
        <v>45513</v>
      </c>
      <c r="D104" t="inlineStr">
        <is>
          <t>ÖSTERGÖTLANDS LÄN</t>
        </is>
      </c>
      <c r="E104" t="inlineStr">
        <is>
          <t>MOTALA</t>
        </is>
      </c>
      <c r="G104" t="n">
        <v>13.2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Skogsalm
Underviol
Vårärt</t>
        </is>
      </c>
      <c r="S104">
        <f>HYPERLINK("https://klasma.github.io/Logging_0583/artfynd/A 50566-2019 artfynd.xlsx", "A 50566-2019")</f>
        <v/>
      </c>
      <c r="T104">
        <f>HYPERLINK("https://klasma.github.io/Logging_0583/kartor/A 50566-2019 karta.png", "A 50566-2019")</f>
        <v/>
      </c>
      <c r="V104">
        <f>HYPERLINK("https://klasma.github.io/Logging_0583/klagomål/A 50566-2019 FSC-klagomål.docx", "A 50566-2019")</f>
        <v/>
      </c>
      <c r="W104">
        <f>HYPERLINK("https://klasma.github.io/Logging_0583/klagomålsmail/A 50566-2019 FSC-klagomål mail.docx", "A 50566-2019")</f>
        <v/>
      </c>
      <c r="X104">
        <f>HYPERLINK("https://klasma.github.io/Logging_0583/tillsyn/A 50566-2019 tillsynsbegäran.docx", "A 50566-2019")</f>
        <v/>
      </c>
      <c r="Y104">
        <f>HYPERLINK("https://klasma.github.io/Logging_0583/tillsynsmail/A 50566-2019 tillsynsbegäran mail.docx", "A 50566-2019")</f>
        <v/>
      </c>
    </row>
    <row r="105" ht="15" customHeight="1">
      <c r="A105" t="inlineStr">
        <is>
          <t>A 3682-2020</t>
        </is>
      </c>
      <c r="B105" s="1" t="n">
        <v>43853</v>
      </c>
      <c r="C105" s="1" t="n">
        <v>45513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Övriga Aktiebolag</t>
        </is>
      </c>
      <c r="G105" t="n">
        <v>13.4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Vedskivlav
Huggorm</t>
        </is>
      </c>
      <c r="S105">
        <f>HYPERLINK("https://klasma.github.io/Logging_0562/artfynd/A 3682-2020 artfynd.xlsx", "A 3682-2020")</f>
        <v/>
      </c>
      <c r="T105">
        <f>HYPERLINK("https://klasma.github.io/Logging_0562/kartor/A 3682-2020 karta.png", "A 3682-2020")</f>
        <v/>
      </c>
      <c r="V105">
        <f>HYPERLINK("https://klasma.github.io/Logging_0562/klagomål/A 3682-2020 FSC-klagomål.docx", "A 3682-2020")</f>
        <v/>
      </c>
      <c r="W105">
        <f>HYPERLINK("https://klasma.github.io/Logging_0562/klagomålsmail/A 3682-2020 FSC-klagomål mail.docx", "A 3682-2020")</f>
        <v/>
      </c>
      <c r="X105">
        <f>HYPERLINK("https://klasma.github.io/Logging_0562/tillsyn/A 3682-2020 tillsynsbegäran.docx", "A 3682-2020")</f>
        <v/>
      </c>
      <c r="Y105">
        <f>HYPERLINK("https://klasma.github.io/Logging_0562/tillsynsmail/A 3682-2020 tillsynsbegäran mail.docx", "A 3682-2020")</f>
        <v/>
      </c>
    </row>
    <row r="106" ht="15" customHeight="1">
      <c r="A106" t="inlineStr">
        <is>
          <t>A 5212-2020</t>
        </is>
      </c>
      <c r="B106" s="1" t="n">
        <v>43860</v>
      </c>
      <c r="C106" s="1" t="n">
        <v>45513</v>
      </c>
      <c r="D106" t="inlineStr">
        <is>
          <t>ÖSTERGÖTLANDS LÄN</t>
        </is>
      </c>
      <c r="E106" t="inlineStr">
        <is>
          <t>VALDEMARSVIK</t>
        </is>
      </c>
      <c r="G106" t="n">
        <v>1.7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Dvärgbägarlav
Blomkålssvamp
Mindre märgborre</t>
        </is>
      </c>
      <c r="S106">
        <f>HYPERLINK("https://klasma.github.io/Logging_0563/artfynd/A 5212-2020 artfynd.xlsx", "A 5212-2020")</f>
        <v/>
      </c>
      <c r="T106">
        <f>HYPERLINK("https://klasma.github.io/Logging_0563/kartor/A 5212-2020 karta.png", "A 5212-2020")</f>
        <v/>
      </c>
      <c r="V106">
        <f>HYPERLINK("https://klasma.github.io/Logging_0563/klagomål/A 5212-2020 FSC-klagomål.docx", "A 5212-2020")</f>
        <v/>
      </c>
      <c r="W106">
        <f>HYPERLINK("https://klasma.github.io/Logging_0563/klagomålsmail/A 5212-2020 FSC-klagomål mail.docx", "A 5212-2020")</f>
        <v/>
      </c>
      <c r="X106">
        <f>HYPERLINK("https://klasma.github.io/Logging_0563/tillsyn/A 5212-2020 tillsynsbegäran.docx", "A 5212-2020")</f>
        <v/>
      </c>
      <c r="Y106">
        <f>HYPERLINK("https://klasma.github.io/Logging_0563/tillsynsmail/A 5212-2020 tillsynsbegäran mail.docx", "A 5212-2020")</f>
        <v/>
      </c>
    </row>
    <row r="107" ht="15" customHeight="1">
      <c r="A107" t="inlineStr">
        <is>
          <t>A 44668-2020</t>
        </is>
      </c>
      <c r="B107" s="1" t="n">
        <v>44085</v>
      </c>
      <c r="C107" s="1" t="n">
        <v>45513</v>
      </c>
      <c r="D107" t="inlineStr">
        <is>
          <t>ÖSTERGÖTLANDS LÄN</t>
        </is>
      </c>
      <c r="E107" t="inlineStr">
        <is>
          <t>LINKÖPING</t>
        </is>
      </c>
      <c r="G107" t="n">
        <v>15.2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1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Skogsalm
Riddarsporre
Sommarfibbla</t>
        </is>
      </c>
      <c r="S107">
        <f>HYPERLINK("https://klasma.github.io/Logging_0580/artfynd/A 44668-2020 artfynd.xlsx", "A 44668-2020")</f>
        <v/>
      </c>
      <c r="T107">
        <f>HYPERLINK("https://klasma.github.io/Logging_0580/kartor/A 44668-2020 karta.png", "A 44668-2020")</f>
        <v/>
      </c>
      <c r="V107">
        <f>HYPERLINK("https://klasma.github.io/Logging_0580/klagomål/A 44668-2020 FSC-klagomål.docx", "A 44668-2020")</f>
        <v/>
      </c>
      <c r="W107">
        <f>HYPERLINK("https://klasma.github.io/Logging_0580/klagomålsmail/A 44668-2020 FSC-klagomål mail.docx", "A 44668-2020")</f>
        <v/>
      </c>
      <c r="X107">
        <f>HYPERLINK("https://klasma.github.io/Logging_0580/tillsyn/A 44668-2020 tillsynsbegäran.docx", "A 44668-2020")</f>
        <v/>
      </c>
      <c r="Y107">
        <f>HYPERLINK("https://klasma.github.io/Logging_0580/tillsynsmail/A 44668-2020 tillsynsbegäran mail.docx", "A 44668-2020")</f>
        <v/>
      </c>
    </row>
    <row r="108" ht="15" customHeight="1">
      <c r="A108" t="inlineStr">
        <is>
          <t>A 48663-2020</t>
        </is>
      </c>
      <c r="B108" s="1" t="n">
        <v>44103</v>
      </c>
      <c r="C108" s="1" t="n">
        <v>45513</v>
      </c>
      <c r="D108" t="inlineStr">
        <is>
          <t>ÖSTERGÖTLANDS LÄN</t>
        </is>
      </c>
      <c r="E108" t="inlineStr">
        <is>
          <t>FINSPÅNG</t>
        </is>
      </c>
      <c r="G108" t="n">
        <v>13.6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Entita
Kopparödla
Revlummer</t>
        </is>
      </c>
      <c r="S108">
        <f>HYPERLINK("https://klasma.github.io/Logging_0562/artfynd/A 48663-2020 artfynd.xlsx", "A 48663-2020")</f>
        <v/>
      </c>
      <c r="T108">
        <f>HYPERLINK("https://klasma.github.io/Logging_0562/kartor/A 48663-2020 karta.png", "A 48663-2020")</f>
        <v/>
      </c>
      <c r="V108">
        <f>HYPERLINK("https://klasma.github.io/Logging_0562/klagomål/A 48663-2020 FSC-klagomål.docx", "A 48663-2020")</f>
        <v/>
      </c>
      <c r="W108">
        <f>HYPERLINK("https://klasma.github.io/Logging_0562/klagomålsmail/A 48663-2020 FSC-klagomål mail.docx", "A 48663-2020")</f>
        <v/>
      </c>
      <c r="X108">
        <f>HYPERLINK("https://klasma.github.io/Logging_0562/tillsyn/A 48663-2020 tillsynsbegäran.docx", "A 48663-2020")</f>
        <v/>
      </c>
      <c r="Y108">
        <f>HYPERLINK("https://klasma.github.io/Logging_0562/tillsynsmail/A 48663-2020 tillsynsbegäran mail.docx", "A 48663-2020")</f>
        <v/>
      </c>
      <c r="Z108">
        <f>HYPERLINK("https://klasma.github.io/Logging_0562/fåglar/A 48663-2020 prioriterade fågelarter.docx", "A 48663-2020")</f>
        <v/>
      </c>
    </row>
    <row r="109" ht="15" customHeight="1">
      <c r="A109" t="inlineStr">
        <is>
          <t>A 55863-2020</t>
        </is>
      </c>
      <c r="B109" s="1" t="n">
        <v>44132</v>
      </c>
      <c r="C109" s="1" t="n">
        <v>45513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Sveaskog</t>
        </is>
      </c>
      <c r="G109" t="n">
        <v>0.5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Flagellkvastmossa
Tibast
Vårärt</t>
        </is>
      </c>
      <c r="S109">
        <f>HYPERLINK("https://klasma.github.io/Logging_0562/artfynd/A 55863-2020 artfynd.xlsx", "A 55863-2020")</f>
        <v/>
      </c>
      <c r="T109">
        <f>HYPERLINK("https://klasma.github.io/Logging_0562/kartor/A 55863-2020 karta.png", "A 55863-2020")</f>
        <v/>
      </c>
      <c r="V109">
        <f>HYPERLINK("https://klasma.github.io/Logging_0562/klagomål/A 55863-2020 FSC-klagomål.docx", "A 55863-2020")</f>
        <v/>
      </c>
      <c r="W109">
        <f>HYPERLINK("https://klasma.github.io/Logging_0562/klagomålsmail/A 55863-2020 FSC-klagomål mail.docx", "A 55863-2020")</f>
        <v/>
      </c>
      <c r="X109">
        <f>HYPERLINK("https://klasma.github.io/Logging_0562/tillsyn/A 55863-2020 tillsynsbegäran.docx", "A 55863-2020")</f>
        <v/>
      </c>
      <c r="Y109">
        <f>HYPERLINK("https://klasma.github.io/Logging_0562/tillsynsmail/A 55863-2020 tillsynsbegäran mail.docx", "A 55863-2020")</f>
        <v/>
      </c>
    </row>
    <row r="110" ht="15" customHeight="1">
      <c r="A110" t="inlineStr">
        <is>
          <t>A 8654-2021</t>
        </is>
      </c>
      <c r="B110" s="1" t="n">
        <v>44246</v>
      </c>
      <c r="C110" s="1" t="n">
        <v>45513</v>
      </c>
      <c r="D110" t="inlineStr">
        <is>
          <t>ÖSTERGÖTLANDS LÄN</t>
        </is>
      </c>
      <c r="E110" t="inlineStr">
        <is>
          <t>SÖDERKÖPING</t>
        </is>
      </c>
      <c r="G110" t="n">
        <v>1.5</v>
      </c>
      <c r="H110" t="n">
        <v>0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Gulvit blekspik
Ullticka
Granbarkgnagare</t>
        </is>
      </c>
      <c r="S110">
        <f>HYPERLINK("https://klasma.github.io/Logging_0582/artfynd/A 8654-2021 artfynd.xlsx", "A 8654-2021")</f>
        <v/>
      </c>
      <c r="T110">
        <f>HYPERLINK("https://klasma.github.io/Logging_0582/kartor/A 8654-2021 karta.png", "A 8654-2021")</f>
        <v/>
      </c>
      <c r="V110">
        <f>HYPERLINK("https://klasma.github.io/Logging_0582/klagomål/A 8654-2021 FSC-klagomål.docx", "A 8654-2021")</f>
        <v/>
      </c>
      <c r="W110">
        <f>HYPERLINK("https://klasma.github.io/Logging_0582/klagomålsmail/A 8654-2021 FSC-klagomål mail.docx", "A 8654-2021")</f>
        <v/>
      </c>
      <c r="X110">
        <f>HYPERLINK("https://klasma.github.io/Logging_0582/tillsyn/A 8654-2021 tillsynsbegäran.docx", "A 8654-2021")</f>
        <v/>
      </c>
      <c r="Y110">
        <f>HYPERLINK("https://klasma.github.io/Logging_0582/tillsynsmail/A 8654-2021 tillsynsbegäran mail.docx", "A 8654-2021")</f>
        <v/>
      </c>
    </row>
    <row r="111" ht="15" customHeight="1">
      <c r="A111" t="inlineStr">
        <is>
          <t>A 10275-2021</t>
        </is>
      </c>
      <c r="B111" s="1" t="n">
        <v>44256</v>
      </c>
      <c r="C111" s="1" t="n">
        <v>45513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1.9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Tallticka
Stenporella
Trubbfjädermossa</t>
        </is>
      </c>
      <c r="S111">
        <f>HYPERLINK("https://klasma.github.io/Logging_0561/artfynd/A 10275-2021 artfynd.xlsx", "A 10275-2021")</f>
        <v/>
      </c>
      <c r="T111">
        <f>HYPERLINK("https://klasma.github.io/Logging_0561/kartor/A 10275-2021 karta.png", "A 10275-2021")</f>
        <v/>
      </c>
      <c r="V111">
        <f>HYPERLINK("https://klasma.github.io/Logging_0561/klagomål/A 10275-2021 FSC-klagomål.docx", "A 10275-2021")</f>
        <v/>
      </c>
      <c r="W111">
        <f>HYPERLINK("https://klasma.github.io/Logging_0561/klagomålsmail/A 10275-2021 FSC-klagomål mail.docx", "A 10275-2021")</f>
        <v/>
      </c>
      <c r="X111">
        <f>HYPERLINK("https://klasma.github.io/Logging_0561/tillsyn/A 10275-2021 tillsynsbegäran.docx", "A 10275-2021")</f>
        <v/>
      </c>
      <c r="Y111">
        <f>HYPERLINK("https://klasma.github.io/Logging_0561/tillsynsmail/A 10275-2021 tillsynsbegäran mail.docx", "A 10275-2021")</f>
        <v/>
      </c>
    </row>
    <row r="112" ht="15" customHeight="1">
      <c r="A112" t="inlineStr">
        <is>
          <t>A 12419-2021</t>
        </is>
      </c>
      <c r="B112" s="1" t="n">
        <v>44267</v>
      </c>
      <c r="C112" s="1" t="n">
        <v>45513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5.8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Hållav
Plattlummer
Lopplummer</t>
        </is>
      </c>
      <c r="S112">
        <f>HYPERLINK("https://klasma.github.io/Logging_0581/artfynd/A 12419-2021 artfynd.xlsx", "A 12419-2021")</f>
        <v/>
      </c>
      <c r="T112">
        <f>HYPERLINK("https://klasma.github.io/Logging_0581/kartor/A 12419-2021 karta.png", "A 12419-2021")</f>
        <v/>
      </c>
      <c r="V112">
        <f>HYPERLINK("https://klasma.github.io/Logging_0581/klagomål/A 12419-2021 FSC-klagomål.docx", "A 12419-2021")</f>
        <v/>
      </c>
      <c r="W112">
        <f>HYPERLINK("https://klasma.github.io/Logging_0581/klagomålsmail/A 12419-2021 FSC-klagomål mail.docx", "A 12419-2021")</f>
        <v/>
      </c>
      <c r="X112">
        <f>HYPERLINK("https://klasma.github.io/Logging_0581/tillsyn/A 12419-2021 tillsynsbegäran.docx", "A 12419-2021")</f>
        <v/>
      </c>
      <c r="Y112">
        <f>HYPERLINK("https://klasma.github.io/Logging_0581/tillsynsmail/A 12419-2021 tillsynsbegäran mail.docx", "A 12419-2021")</f>
        <v/>
      </c>
    </row>
    <row r="113" ht="15" customHeight="1">
      <c r="A113" t="inlineStr">
        <is>
          <t>A 24837-2021</t>
        </is>
      </c>
      <c r="B113" s="1" t="n">
        <v>44340</v>
      </c>
      <c r="C113" s="1" t="n">
        <v>45513</v>
      </c>
      <c r="D113" t="inlineStr">
        <is>
          <t>ÖSTERGÖTLANDS LÄN</t>
        </is>
      </c>
      <c r="E113" t="inlineStr">
        <is>
          <t>KINDA</t>
        </is>
      </c>
      <c r="G113" t="n">
        <v>16.9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Björksplintborre
Blåmossa</t>
        </is>
      </c>
      <c r="S113">
        <f>HYPERLINK("https://klasma.github.io/Logging_0513/artfynd/A 24837-2021 artfynd.xlsx", "A 24837-2021")</f>
        <v/>
      </c>
      <c r="T113">
        <f>HYPERLINK("https://klasma.github.io/Logging_0513/kartor/A 24837-2021 karta.png", "A 24837-2021")</f>
        <v/>
      </c>
      <c r="U113">
        <f>HYPERLINK("https://klasma.github.io/Logging_0513/knärot/A 24837-2021 karta knärot.png", "A 24837-2021")</f>
        <v/>
      </c>
      <c r="V113">
        <f>HYPERLINK("https://klasma.github.io/Logging_0513/klagomål/A 24837-2021 FSC-klagomål.docx", "A 24837-2021")</f>
        <v/>
      </c>
      <c r="W113">
        <f>HYPERLINK("https://klasma.github.io/Logging_0513/klagomålsmail/A 24837-2021 FSC-klagomål mail.docx", "A 24837-2021")</f>
        <v/>
      </c>
      <c r="X113">
        <f>HYPERLINK("https://klasma.github.io/Logging_0513/tillsyn/A 24837-2021 tillsynsbegäran.docx", "A 24837-2021")</f>
        <v/>
      </c>
      <c r="Y113">
        <f>HYPERLINK("https://klasma.github.io/Logging_0513/tillsynsmail/A 24837-2021 tillsynsbegäran mail.docx", "A 24837-2021")</f>
        <v/>
      </c>
    </row>
    <row r="114" ht="15" customHeight="1">
      <c r="A114" t="inlineStr">
        <is>
          <t>A 67603-2021</t>
        </is>
      </c>
      <c r="B114" s="1" t="n">
        <v>44524</v>
      </c>
      <c r="C114" s="1" t="n">
        <v>45513</v>
      </c>
      <c r="D114" t="inlineStr">
        <is>
          <t>ÖSTERGÖTLANDS LÄN</t>
        </is>
      </c>
      <c r="E114" t="inlineStr">
        <is>
          <t>MJÖLBY</t>
        </is>
      </c>
      <c r="G114" t="n">
        <v>5.1</v>
      </c>
      <c r="H114" t="n">
        <v>1</v>
      </c>
      <c r="I114" t="n">
        <v>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Backsippa
Plattad jordtunga
Svart jordtunga</t>
        </is>
      </c>
      <c r="S114">
        <f>HYPERLINK("https://klasma.github.io/Logging_0586/artfynd/A 67603-2021 artfynd.xlsx", "A 67603-2021")</f>
        <v/>
      </c>
      <c r="T114">
        <f>HYPERLINK("https://klasma.github.io/Logging_0586/kartor/A 67603-2021 karta.png", "A 67603-2021")</f>
        <v/>
      </c>
      <c r="V114">
        <f>HYPERLINK("https://klasma.github.io/Logging_0586/klagomål/A 67603-2021 FSC-klagomål.docx", "A 67603-2021")</f>
        <v/>
      </c>
      <c r="W114">
        <f>HYPERLINK("https://klasma.github.io/Logging_0586/klagomålsmail/A 67603-2021 FSC-klagomål mail.docx", "A 67603-2021")</f>
        <v/>
      </c>
      <c r="X114">
        <f>HYPERLINK("https://klasma.github.io/Logging_0586/tillsyn/A 67603-2021 tillsynsbegäran.docx", "A 67603-2021")</f>
        <v/>
      </c>
      <c r="Y114">
        <f>HYPERLINK("https://klasma.github.io/Logging_0586/tillsynsmail/A 67603-2021 tillsynsbegäran mail.docx", "A 67603-2021")</f>
        <v/>
      </c>
    </row>
    <row r="115" ht="15" customHeight="1">
      <c r="A115" t="inlineStr">
        <is>
          <t>A 1075-2022</t>
        </is>
      </c>
      <c r="B115" s="1" t="n">
        <v>44571</v>
      </c>
      <c r="C115" s="1" t="n">
        <v>45513</v>
      </c>
      <c r="D115" t="inlineStr">
        <is>
          <t>ÖSTERGÖTLANDS LÄN</t>
        </is>
      </c>
      <c r="E115" t="inlineStr">
        <is>
          <t>VALDEMARSVIK</t>
        </is>
      </c>
      <c r="G115" t="n">
        <v>2.3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Grönpyrola</t>
        </is>
      </c>
      <c r="S115">
        <f>HYPERLINK("https://klasma.github.io/Logging_0563/artfynd/A 1075-2022 artfynd.xlsx", "A 1075-2022")</f>
        <v/>
      </c>
      <c r="T115">
        <f>HYPERLINK("https://klasma.github.io/Logging_0563/kartor/A 1075-2022 karta.png", "A 1075-2022")</f>
        <v/>
      </c>
      <c r="U115">
        <f>HYPERLINK("https://klasma.github.io/Logging_0563/knärot/A 1075-2022 karta knärot.png", "A 1075-2022")</f>
        <v/>
      </c>
      <c r="V115">
        <f>HYPERLINK("https://klasma.github.io/Logging_0563/klagomål/A 1075-2022 FSC-klagomål.docx", "A 1075-2022")</f>
        <v/>
      </c>
      <c r="W115">
        <f>HYPERLINK("https://klasma.github.io/Logging_0563/klagomålsmail/A 1075-2022 FSC-klagomål mail.docx", "A 1075-2022")</f>
        <v/>
      </c>
      <c r="X115">
        <f>HYPERLINK("https://klasma.github.io/Logging_0563/tillsyn/A 1075-2022 tillsynsbegäran.docx", "A 1075-2022")</f>
        <v/>
      </c>
      <c r="Y115">
        <f>HYPERLINK("https://klasma.github.io/Logging_0563/tillsynsmail/A 1075-2022 tillsynsbegäran mail.docx", "A 1075-2022")</f>
        <v/>
      </c>
    </row>
    <row r="116" ht="15" customHeight="1">
      <c r="A116" t="inlineStr">
        <is>
          <t>A 1541-2022</t>
        </is>
      </c>
      <c r="B116" s="1" t="n">
        <v>44573</v>
      </c>
      <c r="C116" s="1" t="n">
        <v>45513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Övriga Aktiebolag</t>
        </is>
      </c>
      <c r="G116" t="n">
        <v>12.8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Havsörn
Spillkråka
Blåmossa</t>
        </is>
      </c>
      <c r="S116">
        <f>HYPERLINK("https://klasma.github.io/Logging_0562/artfynd/A 1541-2022 artfynd.xlsx", "A 1541-2022")</f>
        <v/>
      </c>
      <c r="T116">
        <f>HYPERLINK("https://klasma.github.io/Logging_0562/kartor/A 1541-2022 karta.png", "A 1541-2022")</f>
        <v/>
      </c>
      <c r="V116">
        <f>HYPERLINK("https://klasma.github.io/Logging_0562/klagomål/A 1541-2022 FSC-klagomål.docx", "A 1541-2022")</f>
        <v/>
      </c>
      <c r="W116">
        <f>HYPERLINK("https://klasma.github.io/Logging_0562/klagomålsmail/A 1541-2022 FSC-klagomål mail.docx", "A 1541-2022")</f>
        <v/>
      </c>
      <c r="X116">
        <f>HYPERLINK("https://klasma.github.io/Logging_0562/tillsyn/A 1541-2022 tillsynsbegäran.docx", "A 1541-2022")</f>
        <v/>
      </c>
      <c r="Y116">
        <f>HYPERLINK("https://klasma.github.io/Logging_0562/tillsynsmail/A 1541-2022 tillsynsbegäran mail.docx", "A 1541-2022")</f>
        <v/>
      </c>
      <c r="Z116">
        <f>HYPERLINK("https://klasma.github.io/Logging_0562/fåglar/A 1541-2022 prioriterade fågelarter.docx", "A 1541-2022")</f>
        <v/>
      </c>
    </row>
    <row r="117" ht="15" customHeight="1">
      <c r="A117" t="inlineStr">
        <is>
          <t>A 17518-2022</t>
        </is>
      </c>
      <c r="B117" s="1" t="n">
        <v>44679</v>
      </c>
      <c r="C117" s="1" t="n">
        <v>45513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3</v>
      </c>
      <c r="H117" t="n">
        <v>1</v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Ask
Smal svampklubba
Blåsippa</t>
        </is>
      </c>
      <c r="S117">
        <f>HYPERLINK("https://klasma.github.io/Logging_0580/artfynd/A 17518-2022 artfynd.xlsx", "A 17518-2022")</f>
        <v/>
      </c>
      <c r="T117">
        <f>HYPERLINK("https://klasma.github.io/Logging_0580/kartor/A 17518-2022 karta.png", "A 17518-2022")</f>
        <v/>
      </c>
      <c r="V117">
        <f>HYPERLINK("https://klasma.github.io/Logging_0580/klagomål/A 17518-2022 FSC-klagomål.docx", "A 17518-2022")</f>
        <v/>
      </c>
      <c r="W117">
        <f>HYPERLINK("https://klasma.github.io/Logging_0580/klagomålsmail/A 17518-2022 FSC-klagomål mail.docx", "A 17518-2022")</f>
        <v/>
      </c>
      <c r="X117">
        <f>HYPERLINK("https://klasma.github.io/Logging_0580/tillsyn/A 17518-2022 tillsynsbegäran.docx", "A 17518-2022")</f>
        <v/>
      </c>
      <c r="Y117">
        <f>HYPERLINK("https://klasma.github.io/Logging_0580/tillsynsmail/A 17518-2022 tillsynsbegäran mail.docx", "A 17518-2022")</f>
        <v/>
      </c>
    </row>
    <row r="118" ht="15" customHeight="1">
      <c r="A118" t="inlineStr">
        <is>
          <t>A 22312-2022</t>
        </is>
      </c>
      <c r="B118" s="1" t="n">
        <v>44712</v>
      </c>
      <c r="C118" s="1" t="n">
        <v>45513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3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Brunlångöra
Nordfladdermus
Gråskimlig fladdermus</t>
        </is>
      </c>
      <c r="S118">
        <f>HYPERLINK("https://klasma.github.io/Logging_0563/artfynd/A 22312-2022 artfynd.xlsx", "A 22312-2022")</f>
        <v/>
      </c>
      <c r="T118">
        <f>HYPERLINK("https://klasma.github.io/Logging_0563/kartor/A 22312-2022 karta.png", "A 22312-2022")</f>
        <v/>
      </c>
      <c r="V118">
        <f>HYPERLINK("https://klasma.github.io/Logging_0563/klagomål/A 22312-2022 FSC-klagomål.docx", "A 22312-2022")</f>
        <v/>
      </c>
      <c r="W118">
        <f>HYPERLINK("https://klasma.github.io/Logging_0563/klagomålsmail/A 22312-2022 FSC-klagomål mail.docx", "A 22312-2022")</f>
        <v/>
      </c>
      <c r="X118">
        <f>HYPERLINK("https://klasma.github.io/Logging_0563/tillsyn/A 22312-2022 tillsynsbegäran.docx", "A 22312-2022")</f>
        <v/>
      </c>
      <c r="Y118">
        <f>HYPERLINK("https://klasma.github.io/Logging_0563/tillsynsmail/A 22312-2022 tillsynsbegäran mail.docx", "A 22312-2022")</f>
        <v/>
      </c>
    </row>
    <row r="119" ht="15" customHeight="1">
      <c r="A119" t="inlineStr">
        <is>
          <t>A 27667-2022</t>
        </is>
      </c>
      <c r="B119" s="1" t="n">
        <v>44743</v>
      </c>
      <c r="C119" s="1" t="n">
        <v>45513</v>
      </c>
      <c r="D119" t="inlineStr">
        <is>
          <t>ÖSTERGÖTLANDS LÄN</t>
        </is>
      </c>
      <c r="E119" t="inlineStr">
        <is>
          <t>KINDA</t>
        </is>
      </c>
      <c r="F119" t="inlineStr">
        <is>
          <t>Övriga Aktiebolag</t>
        </is>
      </c>
      <c r="G119" t="n">
        <v>28.5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Kattfotslav
Mindre märgborre
Fläcknycklar</t>
        </is>
      </c>
      <c r="S119">
        <f>HYPERLINK("https://klasma.github.io/Logging_0513/artfynd/A 27667-2022 artfynd.xlsx", "A 27667-2022")</f>
        <v/>
      </c>
      <c r="T119">
        <f>HYPERLINK("https://klasma.github.io/Logging_0513/kartor/A 27667-2022 karta.png", "A 27667-2022")</f>
        <v/>
      </c>
      <c r="V119">
        <f>HYPERLINK("https://klasma.github.io/Logging_0513/klagomål/A 27667-2022 FSC-klagomål.docx", "A 27667-2022")</f>
        <v/>
      </c>
      <c r="W119">
        <f>HYPERLINK("https://klasma.github.io/Logging_0513/klagomålsmail/A 27667-2022 FSC-klagomål mail.docx", "A 27667-2022")</f>
        <v/>
      </c>
      <c r="X119">
        <f>HYPERLINK("https://klasma.github.io/Logging_0513/tillsyn/A 27667-2022 tillsynsbegäran.docx", "A 27667-2022")</f>
        <v/>
      </c>
      <c r="Y119">
        <f>HYPERLINK("https://klasma.github.io/Logging_0513/tillsynsmail/A 27667-2022 tillsynsbegäran mail.docx", "A 27667-2022")</f>
        <v/>
      </c>
    </row>
    <row r="120" ht="15" customHeight="1">
      <c r="A120" t="inlineStr">
        <is>
          <t>A 32571-2022</t>
        </is>
      </c>
      <c r="B120" s="1" t="n">
        <v>44783</v>
      </c>
      <c r="C120" s="1" t="n">
        <v>45513</v>
      </c>
      <c r="D120" t="inlineStr">
        <is>
          <t>ÖSTERGÖTLANDS LÄN</t>
        </is>
      </c>
      <c r="E120" t="inlineStr">
        <is>
          <t>LINKÖPING</t>
        </is>
      </c>
      <c r="G120" t="n">
        <v>3.8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Granbarkgnagare
Skogsbräsma
Tibast</t>
        </is>
      </c>
      <c r="S120">
        <f>HYPERLINK("https://klasma.github.io/Logging_0580/artfynd/A 32571-2022 artfynd.xlsx", "A 32571-2022")</f>
        <v/>
      </c>
      <c r="T120">
        <f>HYPERLINK("https://klasma.github.io/Logging_0580/kartor/A 32571-2022 karta.png", "A 32571-2022")</f>
        <v/>
      </c>
      <c r="V120">
        <f>HYPERLINK("https://klasma.github.io/Logging_0580/klagomål/A 32571-2022 FSC-klagomål.docx", "A 32571-2022")</f>
        <v/>
      </c>
      <c r="W120">
        <f>HYPERLINK("https://klasma.github.io/Logging_0580/klagomålsmail/A 32571-2022 FSC-klagomål mail.docx", "A 32571-2022")</f>
        <v/>
      </c>
      <c r="X120">
        <f>HYPERLINK("https://klasma.github.io/Logging_0580/tillsyn/A 32571-2022 tillsynsbegäran.docx", "A 32571-2022")</f>
        <v/>
      </c>
      <c r="Y120">
        <f>HYPERLINK("https://klasma.github.io/Logging_0580/tillsynsmail/A 32571-2022 tillsynsbegäran mail.docx", "A 32571-2022")</f>
        <v/>
      </c>
    </row>
    <row r="121" ht="15" customHeight="1">
      <c r="A121" t="inlineStr">
        <is>
          <t>A 861-2023</t>
        </is>
      </c>
      <c r="B121" s="1" t="n">
        <v>44931</v>
      </c>
      <c r="C121" s="1" t="n">
        <v>45513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4.4</v>
      </c>
      <c r="H121" t="n">
        <v>3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Nordfladdermus
Dvärgpipistrell
Vattenfladdermus</t>
        </is>
      </c>
      <c r="S121">
        <f>HYPERLINK("https://klasma.github.io/Logging_0581/artfynd/A 861-2023 artfynd.xlsx", "A 861-2023")</f>
        <v/>
      </c>
      <c r="T121">
        <f>HYPERLINK("https://klasma.github.io/Logging_0581/kartor/A 861-2023 karta.png", "A 861-2023")</f>
        <v/>
      </c>
      <c r="V121">
        <f>HYPERLINK("https://klasma.github.io/Logging_0581/klagomål/A 861-2023 FSC-klagomål.docx", "A 861-2023")</f>
        <v/>
      </c>
      <c r="W121">
        <f>HYPERLINK("https://klasma.github.io/Logging_0581/klagomålsmail/A 861-2023 FSC-klagomål mail.docx", "A 861-2023")</f>
        <v/>
      </c>
      <c r="X121">
        <f>HYPERLINK("https://klasma.github.io/Logging_0581/tillsyn/A 861-2023 tillsynsbegäran.docx", "A 861-2023")</f>
        <v/>
      </c>
      <c r="Y121">
        <f>HYPERLINK("https://klasma.github.io/Logging_0581/tillsynsmail/A 861-2023 tillsynsbegäran mail.docx", "A 861-2023")</f>
        <v/>
      </c>
    </row>
    <row r="122" ht="15" customHeight="1">
      <c r="A122" t="inlineStr">
        <is>
          <t>A 5119-2023</t>
        </is>
      </c>
      <c r="B122" s="1" t="n">
        <v>44958</v>
      </c>
      <c r="C122" s="1" t="n">
        <v>45513</v>
      </c>
      <c r="D122" t="inlineStr">
        <is>
          <t>ÖSTERGÖTLANDS LÄN</t>
        </is>
      </c>
      <c r="E122" t="inlineStr">
        <is>
          <t>KINDA</t>
        </is>
      </c>
      <c r="F122" t="inlineStr">
        <is>
          <t>Allmännings- och besparingsskogar</t>
        </is>
      </c>
      <c r="G122" t="n">
        <v>7.9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Svinrot
Blåsippa
Gullviva</t>
        </is>
      </c>
      <c r="S122">
        <f>HYPERLINK("https://klasma.github.io/Logging_0513/artfynd/A 5119-2023 artfynd.xlsx", "A 5119-2023")</f>
        <v/>
      </c>
      <c r="T122">
        <f>HYPERLINK("https://klasma.github.io/Logging_0513/kartor/A 5119-2023 karta.png", "A 5119-2023")</f>
        <v/>
      </c>
      <c r="V122">
        <f>HYPERLINK("https://klasma.github.io/Logging_0513/klagomål/A 5119-2023 FSC-klagomål.docx", "A 5119-2023")</f>
        <v/>
      </c>
      <c r="W122">
        <f>HYPERLINK("https://klasma.github.io/Logging_0513/klagomålsmail/A 5119-2023 FSC-klagomål mail.docx", "A 5119-2023")</f>
        <v/>
      </c>
      <c r="X122">
        <f>HYPERLINK("https://klasma.github.io/Logging_0513/tillsyn/A 5119-2023 tillsynsbegäran.docx", "A 5119-2023")</f>
        <v/>
      </c>
      <c r="Y122">
        <f>HYPERLINK("https://klasma.github.io/Logging_0513/tillsynsmail/A 5119-2023 tillsynsbegäran mail.docx", "A 5119-2023")</f>
        <v/>
      </c>
    </row>
    <row r="123" ht="15" customHeight="1">
      <c r="A123" t="inlineStr">
        <is>
          <t>A 7691-2023</t>
        </is>
      </c>
      <c r="B123" s="1" t="n">
        <v>44972</v>
      </c>
      <c r="C123" s="1" t="n">
        <v>45513</v>
      </c>
      <c r="D123" t="inlineStr">
        <is>
          <t>ÖSTERGÖTLANDS LÄN</t>
        </is>
      </c>
      <c r="E123" t="inlineStr">
        <is>
          <t>KINDA</t>
        </is>
      </c>
      <c r="G123" t="n">
        <v>3.6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Hasselticka
Sårläka
Blåsippa</t>
        </is>
      </c>
      <c r="S123">
        <f>HYPERLINK("https://klasma.github.io/Logging_0513/artfynd/A 7691-2023 artfynd.xlsx", "A 7691-2023")</f>
        <v/>
      </c>
      <c r="T123">
        <f>HYPERLINK("https://klasma.github.io/Logging_0513/kartor/A 7691-2023 karta.png", "A 7691-2023")</f>
        <v/>
      </c>
      <c r="V123">
        <f>HYPERLINK("https://klasma.github.io/Logging_0513/klagomål/A 7691-2023 FSC-klagomål.docx", "A 7691-2023")</f>
        <v/>
      </c>
      <c r="W123">
        <f>HYPERLINK("https://klasma.github.io/Logging_0513/klagomålsmail/A 7691-2023 FSC-klagomål mail.docx", "A 7691-2023")</f>
        <v/>
      </c>
      <c r="X123">
        <f>HYPERLINK("https://klasma.github.io/Logging_0513/tillsyn/A 7691-2023 tillsynsbegäran.docx", "A 7691-2023")</f>
        <v/>
      </c>
      <c r="Y123">
        <f>HYPERLINK("https://klasma.github.io/Logging_0513/tillsynsmail/A 7691-2023 tillsynsbegäran mail.docx", "A 7691-2023")</f>
        <v/>
      </c>
    </row>
    <row r="124" ht="15" customHeight="1">
      <c r="A124" t="inlineStr">
        <is>
          <t>A 8468-2023</t>
        </is>
      </c>
      <c r="B124" s="1" t="n">
        <v>44977</v>
      </c>
      <c r="C124" s="1" t="n">
        <v>45513</v>
      </c>
      <c r="D124" t="inlineStr">
        <is>
          <t>ÖSTERGÖTLANDS LÄN</t>
        </is>
      </c>
      <c r="E124" t="inlineStr">
        <is>
          <t>NORRKÖPING</t>
        </is>
      </c>
      <c r="G124" t="n">
        <v>6.7</v>
      </c>
      <c r="H124" t="n">
        <v>1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Tallticka
Bronshjon
Blåsippa</t>
        </is>
      </c>
      <c r="S124">
        <f>HYPERLINK("https://klasma.github.io/Logging_0581/artfynd/A 8468-2023 artfynd.xlsx", "A 8468-2023")</f>
        <v/>
      </c>
      <c r="T124">
        <f>HYPERLINK("https://klasma.github.io/Logging_0581/kartor/A 8468-2023 karta.png", "A 8468-2023")</f>
        <v/>
      </c>
      <c r="V124">
        <f>HYPERLINK("https://klasma.github.io/Logging_0581/klagomål/A 8468-2023 FSC-klagomål.docx", "A 8468-2023")</f>
        <v/>
      </c>
      <c r="W124">
        <f>HYPERLINK("https://klasma.github.io/Logging_0581/klagomålsmail/A 8468-2023 FSC-klagomål mail.docx", "A 8468-2023")</f>
        <v/>
      </c>
      <c r="X124">
        <f>HYPERLINK("https://klasma.github.io/Logging_0581/tillsyn/A 8468-2023 tillsynsbegäran.docx", "A 8468-2023")</f>
        <v/>
      </c>
      <c r="Y124">
        <f>HYPERLINK("https://klasma.github.io/Logging_0581/tillsynsmail/A 8468-2023 tillsynsbegäran mail.docx", "A 8468-2023")</f>
        <v/>
      </c>
    </row>
    <row r="125" ht="15" customHeight="1">
      <c r="A125" t="inlineStr">
        <is>
          <t>A 14646-2023</t>
        </is>
      </c>
      <c r="B125" s="1" t="n">
        <v>45013</v>
      </c>
      <c r="C125" s="1" t="n">
        <v>45513</v>
      </c>
      <c r="D125" t="inlineStr">
        <is>
          <t>ÖSTERGÖTLANDS LÄN</t>
        </is>
      </c>
      <c r="E125" t="inlineStr">
        <is>
          <t>NORRKÖPING</t>
        </is>
      </c>
      <c r="G125" t="n">
        <v>5.4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Skogsalm
Vanlig backsmörblomma
Fläcknycklar</t>
        </is>
      </c>
      <c r="S125">
        <f>HYPERLINK("https://klasma.github.io/Logging_0581/artfynd/A 14646-2023 artfynd.xlsx", "A 14646-2023")</f>
        <v/>
      </c>
      <c r="T125">
        <f>HYPERLINK("https://klasma.github.io/Logging_0581/kartor/A 14646-2023 karta.png", "A 14646-2023")</f>
        <v/>
      </c>
      <c r="V125">
        <f>HYPERLINK("https://klasma.github.io/Logging_0581/klagomål/A 14646-2023 FSC-klagomål.docx", "A 14646-2023")</f>
        <v/>
      </c>
      <c r="W125">
        <f>HYPERLINK("https://klasma.github.io/Logging_0581/klagomålsmail/A 14646-2023 FSC-klagomål mail.docx", "A 14646-2023")</f>
        <v/>
      </c>
      <c r="X125">
        <f>HYPERLINK("https://klasma.github.io/Logging_0581/tillsyn/A 14646-2023 tillsynsbegäran.docx", "A 14646-2023")</f>
        <v/>
      </c>
      <c r="Y125">
        <f>HYPERLINK("https://klasma.github.io/Logging_0581/tillsynsmail/A 14646-2023 tillsynsbegäran mail.docx", "A 14646-2023")</f>
        <v/>
      </c>
    </row>
    <row r="126" ht="15" customHeight="1">
      <c r="A126" t="inlineStr">
        <is>
          <t>A 22259-2023</t>
        </is>
      </c>
      <c r="B126" s="1" t="n">
        <v>45070</v>
      </c>
      <c r="C126" s="1" t="n">
        <v>45513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2.8</v>
      </c>
      <c r="H126" t="n">
        <v>1</v>
      </c>
      <c r="I126" t="n">
        <v>0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Trumpetfibbla
Nubbfibbla
Talltita</t>
        </is>
      </c>
      <c r="S126">
        <f>HYPERLINK("https://klasma.github.io/Logging_0512/artfynd/A 22259-2023 artfynd.xlsx", "A 22259-2023")</f>
        <v/>
      </c>
      <c r="T126">
        <f>HYPERLINK("https://klasma.github.io/Logging_0512/kartor/A 22259-2023 karta.png", "A 22259-2023")</f>
        <v/>
      </c>
      <c r="V126">
        <f>HYPERLINK("https://klasma.github.io/Logging_0512/klagomål/A 22259-2023 FSC-klagomål.docx", "A 22259-2023")</f>
        <v/>
      </c>
      <c r="W126">
        <f>HYPERLINK("https://klasma.github.io/Logging_0512/klagomålsmail/A 22259-2023 FSC-klagomål mail.docx", "A 22259-2023")</f>
        <v/>
      </c>
      <c r="X126">
        <f>HYPERLINK("https://klasma.github.io/Logging_0512/tillsyn/A 22259-2023 tillsynsbegäran.docx", "A 22259-2023")</f>
        <v/>
      </c>
      <c r="Y126">
        <f>HYPERLINK("https://klasma.github.io/Logging_0512/tillsynsmail/A 22259-2023 tillsynsbegäran mail.docx", "A 22259-2023")</f>
        <v/>
      </c>
      <c r="Z126">
        <f>HYPERLINK("https://klasma.github.io/Logging_0512/fåglar/A 22259-2023 prioriterade fågelarter.docx", "A 22259-2023")</f>
        <v/>
      </c>
    </row>
    <row r="127" ht="15" customHeight="1">
      <c r="A127" t="inlineStr">
        <is>
          <t>A 26385-2023</t>
        </is>
      </c>
      <c r="B127" s="1" t="n">
        <v>45086</v>
      </c>
      <c r="C127" s="1" t="n">
        <v>45513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9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Hasselsnok
Vedskivlav
Fällmossa</t>
        </is>
      </c>
      <c r="S127">
        <f>HYPERLINK("https://klasma.github.io/Logging_0581/artfynd/A 26385-2023 artfynd.xlsx", "A 26385-2023")</f>
        <v/>
      </c>
      <c r="T127">
        <f>HYPERLINK("https://klasma.github.io/Logging_0581/kartor/A 26385-2023 karta.png", "A 26385-2023")</f>
        <v/>
      </c>
      <c r="V127">
        <f>HYPERLINK("https://klasma.github.io/Logging_0581/klagomål/A 26385-2023 FSC-klagomål.docx", "A 26385-2023")</f>
        <v/>
      </c>
      <c r="W127">
        <f>HYPERLINK("https://klasma.github.io/Logging_0581/klagomålsmail/A 26385-2023 FSC-klagomål mail.docx", "A 26385-2023")</f>
        <v/>
      </c>
      <c r="X127">
        <f>HYPERLINK("https://klasma.github.io/Logging_0581/tillsyn/A 26385-2023 tillsynsbegäran.docx", "A 26385-2023")</f>
        <v/>
      </c>
      <c r="Y127">
        <f>HYPERLINK("https://klasma.github.io/Logging_0581/tillsynsmail/A 26385-2023 tillsynsbegäran mail.docx", "A 26385-2023")</f>
        <v/>
      </c>
    </row>
    <row r="128" ht="15" customHeight="1">
      <c r="A128" t="inlineStr">
        <is>
          <t>A 30472-2023</t>
        </is>
      </c>
      <c r="B128" s="1" t="n">
        <v>45111</v>
      </c>
      <c r="C128" s="1" t="n">
        <v>45513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12.2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Utter
Åkergroda
Vanlig groda</t>
        </is>
      </c>
      <c r="S128">
        <f>HYPERLINK("https://klasma.github.io/Logging_0561/artfynd/A 30472-2023 artfynd.xlsx", "A 30472-2023")</f>
        <v/>
      </c>
      <c r="T128">
        <f>HYPERLINK("https://klasma.github.io/Logging_0561/kartor/A 30472-2023 karta.png", "A 30472-2023")</f>
        <v/>
      </c>
      <c r="V128">
        <f>HYPERLINK("https://klasma.github.io/Logging_0561/klagomål/A 30472-2023 FSC-klagomål.docx", "A 30472-2023")</f>
        <v/>
      </c>
      <c r="W128">
        <f>HYPERLINK("https://klasma.github.io/Logging_0561/klagomålsmail/A 30472-2023 FSC-klagomål mail.docx", "A 30472-2023")</f>
        <v/>
      </c>
      <c r="X128">
        <f>HYPERLINK("https://klasma.github.io/Logging_0561/tillsyn/A 30472-2023 tillsynsbegäran.docx", "A 30472-2023")</f>
        <v/>
      </c>
      <c r="Y128">
        <f>HYPERLINK("https://klasma.github.io/Logging_0561/tillsynsmail/A 30472-2023 tillsynsbegäran mail.docx", "A 30472-2023")</f>
        <v/>
      </c>
    </row>
    <row r="129" ht="15" customHeight="1">
      <c r="A129" t="inlineStr">
        <is>
          <t>A 37218-2023</t>
        </is>
      </c>
      <c r="B129" s="1" t="n">
        <v>45155</v>
      </c>
      <c r="C129" s="1" t="n">
        <v>45513</v>
      </c>
      <c r="D129" t="inlineStr">
        <is>
          <t>ÖSTERGÖTLANDS LÄN</t>
        </is>
      </c>
      <c r="E129" t="inlineStr">
        <is>
          <t>ÅTVIDABERG</t>
        </is>
      </c>
      <c r="G129" t="n">
        <v>0.6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Talltita
Ullticka
Barkticka</t>
        </is>
      </c>
      <c r="S129">
        <f>HYPERLINK("https://klasma.github.io/Logging_0561/artfynd/A 37218-2023 artfynd.xlsx", "A 37218-2023")</f>
        <v/>
      </c>
      <c r="T129">
        <f>HYPERLINK("https://klasma.github.io/Logging_0561/kartor/A 37218-2023 karta.png", "A 37218-2023")</f>
        <v/>
      </c>
      <c r="U129">
        <f>HYPERLINK("https://klasma.github.io/Logging_0561/knärot/A 37218-2023 karta knärot.png", "A 37218-2023")</f>
        <v/>
      </c>
      <c r="V129">
        <f>HYPERLINK("https://klasma.github.io/Logging_0561/klagomål/A 37218-2023 FSC-klagomål.docx", "A 37218-2023")</f>
        <v/>
      </c>
      <c r="W129">
        <f>HYPERLINK("https://klasma.github.io/Logging_0561/klagomålsmail/A 37218-2023 FSC-klagomål mail.docx", "A 37218-2023")</f>
        <v/>
      </c>
      <c r="X129">
        <f>HYPERLINK("https://klasma.github.io/Logging_0561/tillsyn/A 37218-2023 tillsynsbegäran.docx", "A 37218-2023")</f>
        <v/>
      </c>
      <c r="Y129">
        <f>HYPERLINK("https://klasma.github.io/Logging_0561/tillsynsmail/A 37218-2023 tillsynsbegäran mail.docx", "A 37218-2023")</f>
        <v/>
      </c>
      <c r="Z129">
        <f>HYPERLINK("https://klasma.github.io/Logging_0561/fåglar/A 37218-2023 prioriterade fågelarter.docx", "A 37218-2023")</f>
        <v/>
      </c>
    </row>
    <row r="130" ht="15" customHeight="1">
      <c r="A130" t="inlineStr">
        <is>
          <t>A 37278-2023</t>
        </is>
      </c>
      <c r="B130" s="1" t="n">
        <v>45156</v>
      </c>
      <c r="C130" s="1" t="n">
        <v>45513</v>
      </c>
      <c r="D130" t="inlineStr">
        <is>
          <t>ÖSTERGÖTLANDS LÄN</t>
        </is>
      </c>
      <c r="E130" t="inlineStr">
        <is>
          <t>ÅTVIDABERG</t>
        </is>
      </c>
      <c r="G130" t="n">
        <v>0.1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Järpe
Spillkråka
Talltita</t>
        </is>
      </c>
      <c r="S130">
        <f>HYPERLINK("https://klasma.github.io/Logging_0561/artfynd/A 37278-2023 artfynd.xlsx", "A 37278-2023")</f>
        <v/>
      </c>
      <c r="T130">
        <f>HYPERLINK("https://klasma.github.io/Logging_0561/kartor/A 37278-2023 karta.png", "A 37278-2023")</f>
        <v/>
      </c>
      <c r="U130">
        <f>HYPERLINK("https://klasma.github.io/Logging_0561/knärot/A 37278-2023 karta knärot.png", "A 37278-2023")</f>
        <v/>
      </c>
      <c r="V130">
        <f>HYPERLINK("https://klasma.github.io/Logging_0561/klagomål/A 37278-2023 FSC-klagomål.docx", "A 37278-2023")</f>
        <v/>
      </c>
      <c r="W130">
        <f>HYPERLINK("https://klasma.github.io/Logging_0561/klagomålsmail/A 37278-2023 FSC-klagomål mail.docx", "A 37278-2023")</f>
        <v/>
      </c>
      <c r="X130">
        <f>HYPERLINK("https://klasma.github.io/Logging_0561/tillsyn/A 37278-2023 tillsynsbegäran.docx", "A 37278-2023")</f>
        <v/>
      </c>
      <c r="Y130">
        <f>HYPERLINK("https://klasma.github.io/Logging_0561/tillsynsmail/A 37278-2023 tillsynsbegäran mail.docx", "A 37278-2023")</f>
        <v/>
      </c>
      <c r="Z130">
        <f>HYPERLINK("https://klasma.github.io/Logging_0561/fåglar/A 37278-2023 prioriterade fågelarter.docx", "A 37278-2023")</f>
        <v/>
      </c>
    </row>
    <row r="131" ht="15" customHeight="1">
      <c r="A131" t="inlineStr">
        <is>
          <t>A 43816-2023</t>
        </is>
      </c>
      <c r="B131" s="1" t="n">
        <v>45187</v>
      </c>
      <c r="C131" s="1" t="n">
        <v>45513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9.800000000000001</v>
      </c>
      <c r="H131" t="n">
        <v>0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Motaggsvamp
Vedskivlav
Blåmossa</t>
        </is>
      </c>
      <c r="S131">
        <f>HYPERLINK("https://klasma.github.io/Logging_0581/artfynd/A 43816-2023 artfynd.xlsx", "A 43816-2023")</f>
        <v/>
      </c>
      <c r="T131">
        <f>HYPERLINK("https://klasma.github.io/Logging_0581/kartor/A 43816-2023 karta.png", "A 43816-2023")</f>
        <v/>
      </c>
      <c r="V131">
        <f>HYPERLINK("https://klasma.github.io/Logging_0581/klagomål/A 43816-2023 FSC-klagomål.docx", "A 43816-2023")</f>
        <v/>
      </c>
      <c r="W131">
        <f>HYPERLINK("https://klasma.github.io/Logging_0581/klagomålsmail/A 43816-2023 FSC-klagomål mail.docx", "A 43816-2023")</f>
        <v/>
      </c>
      <c r="X131">
        <f>HYPERLINK("https://klasma.github.io/Logging_0581/tillsyn/A 43816-2023 tillsynsbegäran.docx", "A 43816-2023")</f>
        <v/>
      </c>
      <c r="Y131">
        <f>HYPERLINK("https://klasma.github.io/Logging_0581/tillsynsmail/A 43816-2023 tillsynsbegäran mail.docx", "A 43816-2023")</f>
        <v/>
      </c>
    </row>
    <row r="132" ht="15" customHeight="1">
      <c r="A132" t="inlineStr">
        <is>
          <t>A 43914-2023</t>
        </is>
      </c>
      <c r="B132" s="1" t="n">
        <v>45187</v>
      </c>
      <c r="C132" s="1" t="n">
        <v>45513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6.6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Blåmossa
Dropptaggsvamp
Mindre märgborre</t>
        </is>
      </c>
      <c r="S132">
        <f>HYPERLINK("https://klasma.github.io/Logging_0562/artfynd/A 43914-2023 artfynd.xlsx", "A 43914-2023")</f>
        <v/>
      </c>
      <c r="T132">
        <f>HYPERLINK("https://klasma.github.io/Logging_0562/kartor/A 43914-2023 karta.png", "A 43914-2023")</f>
        <v/>
      </c>
      <c r="V132">
        <f>HYPERLINK("https://klasma.github.io/Logging_0562/klagomål/A 43914-2023 FSC-klagomål.docx", "A 43914-2023")</f>
        <v/>
      </c>
      <c r="W132">
        <f>HYPERLINK("https://klasma.github.io/Logging_0562/klagomålsmail/A 43914-2023 FSC-klagomål mail.docx", "A 43914-2023")</f>
        <v/>
      </c>
      <c r="X132">
        <f>HYPERLINK("https://klasma.github.io/Logging_0562/tillsyn/A 43914-2023 tillsynsbegäran.docx", "A 43914-2023")</f>
        <v/>
      </c>
      <c r="Y132">
        <f>HYPERLINK("https://klasma.github.io/Logging_0562/tillsynsmail/A 43914-2023 tillsynsbegäran mail.docx", "A 43914-2023")</f>
        <v/>
      </c>
    </row>
    <row r="133" ht="15" customHeight="1">
      <c r="A133" t="inlineStr">
        <is>
          <t>A 46928-2023</t>
        </is>
      </c>
      <c r="B133" s="1" t="n">
        <v>45201</v>
      </c>
      <c r="C133" s="1" t="n">
        <v>45513</v>
      </c>
      <c r="D133" t="inlineStr">
        <is>
          <t>ÖSTERGÖTLANDS LÄN</t>
        </is>
      </c>
      <c r="E133" t="inlineStr">
        <is>
          <t>KINDA</t>
        </is>
      </c>
      <c r="G133" t="n">
        <v>1.3</v>
      </c>
      <c r="H133" t="n">
        <v>3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Mindre hackspett
Spillkråka
Talltita</t>
        </is>
      </c>
      <c r="S133">
        <f>HYPERLINK("https://klasma.github.io/Logging_0513/artfynd/A 46928-2023 artfynd.xlsx", "A 46928-2023")</f>
        <v/>
      </c>
      <c r="T133">
        <f>HYPERLINK("https://klasma.github.io/Logging_0513/kartor/A 46928-2023 karta.png", "A 46928-2023")</f>
        <v/>
      </c>
      <c r="V133">
        <f>HYPERLINK("https://klasma.github.io/Logging_0513/klagomål/A 46928-2023 FSC-klagomål.docx", "A 46928-2023")</f>
        <v/>
      </c>
      <c r="W133">
        <f>HYPERLINK("https://klasma.github.io/Logging_0513/klagomålsmail/A 46928-2023 FSC-klagomål mail.docx", "A 46928-2023")</f>
        <v/>
      </c>
      <c r="X133">
        <f>HYPERLINK("https://klasma.github.io/Logging_0513/tillsyn/A 46928-2023 tillsynsbegäran.docx", "A 46928-2023")</f>
        <v/>
      </c>
      <c r="Y133">
        <f>HYPERLINK("https://klasma.github.io/Logging_0513/tillsynsmail/A 46928-2023 tillsynsbegäran mail.docx", "A 46928-2023")</f>
        <v/>
      </c>
      <c r="Z133">
        <f>HYPERLINK("https://klasma.github.io/Logging_0513/fåglar/A 46928-2023 prioriterade fågelarter.docx", "A 46928-2023")</f>
        <v/>
      </c>
    </row>
    <row r="134" ht="15" customHeight="1">
      <c r="A134" t="inlineStr">
        <is>
          <t>A 47767-2023</t>
        </is>
      </c>
      <c r="B134" s="1" t="n">
        <v>45203</v>
      </c>
      <c r="C134" s="1" t="n">
        <v>45513</v>
      </c>
      <c r="D134" t="inlineStr">
        <is>
          <t>ÖSTERGÖTLANDS LÄN</t>
        </is>
      </c>
      <c r="E134" t="inlineStr">
        <is>
          <t>NORRKÖPING</t>
        </is>
      </c>
      <c r="G134" t="n">
        <v>3.8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Motaggsvamp
Blåmossa
Sotriska</t>
        </is>
      </c>
      <c r="S134">
        <f>HYPERLINK("https://klasma.github.io/Logging_0581/artfynd/A 47767-2023 artfynd.xlsx", "A 47767-2023")</f>
        <v/>
      </c>
      <c r="T134">
        <f>HYPERLINK("https://klasma.github.io/Logging_0581/kartor/A 47767-2023 karta.png", "A 47767-2023")</f>
        <v/>
      </c>
      <c r="V134">
        <f>HYPERLINK("https://klasma.github.io/Logging_0581/klagomål/A 47767-2023 FSC-klagomål.docx", "A 47767-2023")</f>
        <v/>
      </c>
      <c r="W134">
        <f>HYPERLINK("https://klasma.github.io/Logging_0581/klagomålsmail/A 47767-2023 FSC-klagomål mail.docx", "A 47767-2023")</f>
        <v/>
      </c>
      <c r="X134">
        <f>HYPERLINK("https://klasma.github.io/Logging_0581/tillsyn/A 47767-2023 tillsynsbegäran.docx", "A 47767-2023")</f>
        <v/>
      </c>
      <c r="Y134">
        <f>HYPERLINK("https://klasma.github.io/Logging_0581/tillsynsmail/A 47767-2023 tillsynsbegäran mail.docx", "A 47767-2023")</f>
        <v/>
      </c>
    </row>
    <row r="135" ht="15" customHeight="1">
      <c r="A135" t="inlineStr">
        <is>
          <t>A 60510-2023</t>
        </is>
      </c>
      <c r="B135" s="1" t="n">
        <v>45259</v>
      </c>
      <c r="C135" s="1" t="n">
        <v>45513</v>
      </c>
      <c r="D135" t="inlineStr">
        <is>
          <t>ÖSTERGÖTLANDS LÄN</t>
        </is>
      </c>
      <c r="E135" t="inlineStr">
        <is>
          <t>ÅTVIDABERG</t>
        </is>
      </c>
      <c r="G135" t="n">
        <v>2.8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Dvärgbägarlav
Vedskivlav
Blåmossa</t>
        </is>
      </c>
      <c r="S135">
        <f>HYPERLINK("https://klasma.github.io/Logging_0561/artfynd/A 60510-2023 artfynd.xlsx", "A 60510-2023")</f>
        <v/>
      </c>
      <c r="T135">
        <f>HYPERLINK("https://klasma.github.io/Logging_0561/kartor/A 60510-2023 karta.png", "A 60510-2023")</f>
        <v/>
      </c>
      <c r="V135">
        <f>HYPERLINK("https://klasma.github.io/Logging_0561/klagomål/A 60510-2023 FSC-klagomål.docx", "A 60510-2023")</f>
        <v/>
      </c>
      <c r="W135">
        <f>HYPERLINK("https://klasma.github.io/Logging_0561/klagomålsmail/A 60510-2023 FSC-klagomål mail.docx", "A 60510-2023")</f>
        <v/>
      </c>
      <c r="X135">
        <f>HYPERLINK("https://klasma.github.io/Logging_0561/tillsyn/A 60510-2023 tillsynsbegäran.docx", "A 60510-2023")</f>
        <v/>
      </c>
      <c r="Y135">
        <f>HYPERLINK("https://klasma.github.io/Logging_0561/tillsynsmail/A 60510-2023 tillsynsbegäran mail.docx", "A 60510-2023")</f>
        <v/>
      </c>
    </row>
    <row r="136" ht="15" customHeight="1">
      <c r="A136" t="inlineStr">
        <is>
          <t>A 6871-2024</t>
        </is>
      </c>
      <c r="B136" s="1" t="n">
        <v>45342</v>
      </c>
      <c r="C136" s="1" t="n">
        <v>45513</v>
      </c>
      <c r="D136" t="inlineStr">
        <is>
          <t>ÖSTERGÖTLANDS LÄN</t>
        </is>
      </c>
      <c r="E136" t="inlineStr">
        <is>
          <t>VALDEMARSVIK</t>
        </is>
      </c>
      <c r="G136" t="n">
        <v>7.8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Tallticka
Fällmossa</t>
        </is>
      </c>
      <c r="S136">
        <f>HYPERLINK("https://klasma.github.io/Logging_0563/artfynd/A 6871-2024 artfynd.xlsx", "A 6871-2024")</f>
        <v/>
      </c>
      <c r="T136">
        <f>HYPERLINK("https://klasma.github.io/Logging_0563/kartor/A 6871-2024 karta.png", "A 6871-2024")</f>
        <v/>
      </c>
      <c r="U136">
        <f>HYPERLINK("https://klasma.github.io/Logging_0563/knärot/A 6871-2024 karta knärot.png", "A 6871-2024")</f>
        <v/>
      </c>
      <c r="V136">
        <f>HYPERLINK("https://klasma.github.io/Logging_0563/klagomål/A 6871-2024 FSC-klagomål.docx", "A 6871-2024")</f>
        <v/>
      </c>
      <c r="W136">
        <f>HYPERLINK("https://klasma.github.io/Logging_0563/klagomålsmail/A 6871-2024 FSC-klagomål mail.docx", "A 6871-2024")</f>
        <v/>
      </c>
      <c r="X136">
        <f>HYPERLINK("https://klasma.github.io/Logging_0563/tillsyn/A 6871-2024 tillsynsbegäran.docx", "A 6871-2024")</f>
        <v/>
      </c>
      <c r="Y136">
        <f>HYPERLINK("https://klasma.github.io/Logging_0563/tillsynsmail/A 6871-2024 tillsynsbegäran mail.docx", "A 6871-2024")</f>
        <v/>
      </c>
    </row>
    <row r="137" ht="15" customHeight="1">
      <c r="A137" t="inlineStr">
        <is>
          <t>A 9317-2024</t>
        </is>
      </c>
      <c r="B137" s="1" t="n">
        <v>45358</v>
      </c>
      <c r="C137" s="1" t="n">
        <v>45513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12.9</v>
      </c>
      <c r="H137" t="n">
        <v>0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Lakritsmusseron
Vedskivlav
Dropptaggsvamp</t>
        </is>
      </c>
      <c r="S137">
        <f>HYPERLINK("https://klasma.github.io/Logging_0581/artfynd/A 9317-2024 artfynd.xlsx", "A 9317-2024")</f>
        <v/>
      </c>
      <c r="T137">
        <f>HYPERLINK("https://klasma.github.io/Logging_0581/kartor/A 9317-2024 karta.png", "A 9317-2024")</f>
        <v/>
      </c>
      <c r="V137">
        <f>HYPERLINK("https://klasma.github.io/Logging_0581/klagomål/A 9317-2024 FSC-klagomål.docx", "A 9317-2024")</f>
        <v/>
      </c>
      <c r="W137">
        <f>HYPERLINK("https://klasma.github.io/Logging_0581/klagomålsmail/A 9317-2024 FSC-klagomål mail.docx", "A 9317-2024")</f>
        <v/>
      </c>
      <c r="X137">
        <f>HYPERLINK("https://klasma.github.io/Logging_0581/tillsyn/A 9317-2024 tillsynsbegäran.docx", "A 9317-2024")</f>
        <v/>
      </c>
      <c r="Y137">
        <f>HYPERLINK("https://klasma.github.io/Logging_0581/tillsynsmail/A 9317-2024 tillsynsbegäran mail.docx", "A 9317-2024")</f>
        <v/>
      </c>
    </row>
    <row r="138" ht="15" customHeight="1">
      <c r="A138" t="inlineStr">
        <is>
          <t>A 9376-2024</t>
        </is>
      </c>
      <c r="B138" s="1" t="n">
        <v>45359</v>
      </c>
      <c r="C138" s="1" t="n">
        <v>45513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3.5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Svart trolldruva
Tibast
Blåsippa</t>
        </is>
      </c>
      <c r="S138">
        <f>HYPERLINK("https://klasma.github.io/Logging_0586/artfynd/A 9376-2024 artfynd.xlsx", "A 9376-2024")</f>
        <v/>
      </c>
      <c r="T138">
        <f>HYPERLINK("https://klasma.github.io/Logging_0586/kartor/A 9376-2024 karta.png", "A 9376-2024")</f>
        <v/>
      </c>
      <c r="V138">
        <f>HYPERLINK("https://klasma.github.io/Logging_0586/klagomål/A 9376-2024 FSC-klagomål.docx", "A 9376-2024")</f>
        <v/>
      </c>
      <c r="W138">
        <f>HYPERLINK("https://klasma.github.io/Logging_0586/klagomålsmail/A 9376-2024 FSC-klagomål mail.docx", "A 9376-2024")</f>
        <v/>
      </c>
      <c r="X138">
        <f>HYPERLINK("https://klasma.github.io/Logging_0586/tillsyn/A 9376-2024 tillsynsbegäran.docx", "A 9376-2024")</f>
        <v/>
      </c>
      <c r="Y138">
        <f>HYPERLINK("https://klasma.github.io/Logging_0586/tillsynsmail/A 9376-2024 tillsynsbegäran mail.docx", "A 9376-2024")</f>
        <v/>
      </c>
    </row>
    <row r="139" ht="15" customHeight="1">
      <c r="A139" t="inlineStr">
        <is>
          <t>A 13162-2024</t>
        </is>
      </c>
      <c r="B139" s="1" t="n">
        <v>45386</v>
      </c>
      <c r="C139" s="1" t="n">
        <v>45513</v>
      </c>
      <c r="D139" t="inlineStr">
        <is>
          <t>ÖSTERGÖTLANDS LÄN</t>
        </is>
      </c>
      <c r="E139" t="inlineStr">
        <is>
          <t>KINDA</t>
        </is>
      </c>
      <c r="G139" t="n">
        <v>2.3</v>
      </c>
      <c r="H139" t="n">
        <v>2</v>
      </c>
      <c r="I139" t="n">
        <v>0</v>
      </c>
      <c r="J139" t="n">
        <v>2</v>
      </c>
      <c r="K139" t="n">
        <v>0</v>
      </c>
      <c r="L139" t="n">
        <v>1</v>
      </c>
      <c r="M139" t="n">
        <v>0</v>
      </c>
      <c r="N139" t="n">
        <v>0</v>
      </c>
      <c r="O139" t="n">
        <v>3</v>
      </c>
      <c r="P139" t="n">
        <v>1</v>
      </c>
      <c r="Q139" t="n">
        <v>3</v>
      </c>
      <c r="R139" s="2" t="inlineStr">
        <is>
          <t>Ask
Järpe
Spillkråka</t>
        </is>
      </c>
      <c r="S139">
        <f>HYPERLINK("https://klasma.github.io/Logging_0513/artfynd/A 13162-2024 artfynd.xlsx", "A 13162-2024")</f>
        <v/>
      </c>
      <c r="T139">
        <f>HYPERLINK("https://klasma.github.io/Logging_0513/kartor/A 13162-2024 karta.png", "A 13162-2024")</f>
        <v/>
      </c>
      <c r="U139">
        <f>HYPERLINK("https://klasma.github.io/Logging_0513/knärot/A 13162-2024 karta knärot.png", "A 13162-2024")</f>
        <v/>
      </c>
      <c r="V139">
        <f>HYPERLINK("https://klasma.github.io/Logging_0513/klagomål/A 13162-2024 FSC-klagomål.docx", "A 13162-2024")</f>
        <v/>
      </c>
      <c r="W139">
        <f>HYPERLINK("https://klasma.github.io/Logging_0513/klagomålsmail/A 13162-2024 FSC-klagomål mail.docx", "A 13162-2024")</f>
        <v/>
      </c>
      <c r="X139">
        <f>HYPERLINK("https://klasma.github.io/Logging_0513/tillsyn/A 13162-2024 tillsynsbegäran.docx", "A 13162-2024")</f>
        <v/>
      </c>
      <c r="Y139">
        <f>HYPERLINK("https://klasma.github.io/Logging_0513/tillsynsmail/A 13162-2024 tillsynsbegäran mail.docx", "A 13162-2024")</f>
        <v/>
      </c>
      <c r="Z139">
        <f>HYPERLINK("https://klasma.github.io/Logging_0513/fåglar/A 13162-2024 prioriterade fågelarter.docx", "A 13162-2024")</f>
        <v/>
      </c>
    </row>
    <row r="140" ht="15" customHeight="1">
      <c r="A140" t="inlineStr">
        <is>
          <t>A 17634-2024</t>
        </is>
      </c>
      <c r="B140" s="1" t="n">
        <v>45418</v>
      </c>
      <c r="C140" s="1" t="n">
        <v>45513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2.2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Kandelabersvamp
Bårdlav
Lönnlav</t>
        </is>
      </c>
      <c r="S140">
        <f>HYPERLINK("https://klasma.github.io/Logging_0581/artfynd/A 17634-2024 artfynd.xlsx", "A 17634-2024")</f>
        <v/>
      </c>
      <c r="T140">
        <f>HYPERLINK("https://klasma.github.io/Logging_0581/kartor/A 17634-2024 karta.png", "A 17634-2024")</f>
        <v/>
      </c>
      <c r="V140">
        <f>HYPERLINK("https://klasma.github.io/Logging_0581/klagomål/A 17634-2024 FSC-klagomål.docx", "A 17634-2024")</f>
        <v/>
      </c>
      <c r="W140">
        <f>HYPERLINK("https://klasma.github.io/Logging_0581/klagomålsmail/A 17634-2024 FSC-klagomål mail.docx", "A 17634-2024")</f>
        <v/>
      </c>
      <c r="X140">
        <f>HYPERLINK("https://klasma.github.io/Logging_0581/tillsyn/A 17634-2024 tillsynsbegäran.docx", "A 17634-2024")</f>
        <v/>
      </c>
      <c r="Y140">
        <f>HYPERLINK("https://klasma.github.io/Logging_0581/tillsynsmail/A 17634-2024 tillsynsbegäran mail.docx", "A 17634-2024")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45513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45513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45513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45513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45513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45513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45513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45513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45513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45513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45513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45513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45513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45513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45513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45513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45513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45513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45513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45513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45513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45513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45513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45513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45513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45513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45513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45513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45513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45513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45513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45513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45513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45513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45513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45513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45513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45513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45513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45513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45513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45513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45513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45513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45513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45513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45513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45513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45513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45513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45513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45513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45513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45513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45513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45513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45513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45513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45513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45513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45513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45513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45513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45513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45513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45513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45513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45513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45513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45513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45513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45513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45513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45513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45513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45513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45513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45513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45513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45513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45513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45513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45513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45513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45513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28412-2024</t>
        </is>
      </c>
      <c r="B226" s="1" t="n">
        <v>45477</v>
      </c>
      <c r="C226" s="1" t="n">
        <v>45513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Naturvårdsverket</t>
        </is>
      </c>
      <c r="G226" t="n">
        <v>2.6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HYPERLINK("https://klasma.github.io/Logging_0581/artfynd/A 28412-2024 artfynd.xlsx", "A 28412-2024")</f>
        <v/>
      </c>
      <c r="T226">
        <f>HYPERLINK("https://klasma.github.io/Logging_0581/kartor/A 28412-2024 karta.png", "A 28412-2024")</f>
        <v/>
      </c>
      <c r="U226">
        <f>HYPERLINK("https://klasma.github.io/Logging_0581/knärot/A 28412-2024 karta knärot.png", "A 28412-2024")</f>
        <v/>
      </c>
      <c r="V226">
        <f>HYPERLINK("https://klasma.github.io/Logging_0581/klagomål/A 28412-2024 FSC-klagomål.docx", "A 28412-2024")</f>
        <v/>
      </c>
      <c r="W226">
        <f>HYPERLINK("https://klasma.github.io/Logging_0581/klagomålsmail/A 28412-2024 FSC-klagomål mail.docx", "A 28412-2024")</f>
        <v/>
      </c>
      <c r="X226">
        <f>HYPERLINK("https://klasma.github.io/Logging_0581/tillsyn/A 28412-2024 tillsynsbegäran.docx", "A 28412-2024")</f>
        <v/>
      </c>
      <c r="Y226">
        <f>HYPERLINK("https://klasma.github.io/Logging_0581/tillsynsmail/A 28412-2024 tillsynsbegäran mail.docx", "A 28412-2024")</f>
        <v/>
      </c>
    </row>
    <row r="227" ht="15" customHeight="1">
      <c r="A227" t="inlineStr">
        <is>
          <t>A 28395-2024</t>
        </is>
      </c>
      <c r="B227" s="1" t="n">
        <v>45477</v>
      </c>
      <c r="C227" s="1" t="n">
        <v>45513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0.6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Fläcknycklar</t>
        </is>
      </c>
      <c r="S227">
        <f>HYPERLINK("https://klasma.github.io/Logging_0562/artfynd/A 28395-2024 artfynd.xlsx", "A 28395-2024")</f>
        <v/>
      </c>
      <c r="T227">
        <f>HYPERLINK("https://klasma.github.io/Logging_0562/kartor/A 28395-2024 karta.png", "A 28395-2024")</f>
        <v/>
      </c>
      <c r="V227">
        <f>HYPERLINK("https://klasma.github.io/Logging_0562/klagomål/A 28395-2024 FSC-klagomål.docx", "A 28395-2024")</f>
        <v/>
      </c>
      <c r="W227">
        <f>HYPERLINK("https://klasma.github.io/Logging_0562/klagomålsmail/A 28395-2024 FSC-klagomål mail.docx", "A 28395-2024")</f>
        <v/>
      </c>
      <c r="X227">
        <f>HYPERLINK("https://klasma.github.io/Logging_0562/tillsyn/A 28395-2024 tillsynsbegäran.docx", "A 28395-2024")</f>
        <v/>
      </c>
      <c r="Y227">
        <f>HYPERLINK("https://klasma.github.io/Logging_0562/tillsynsmail/A 28395-2024 tillsynsbegäran mail.docx", "A 28395-2024")</f>
        <v/>
      </c>
      <c r="Z227">
        <f>HYPERLINK("https://klasma.github.io/Logging_0562/fåglar/A 28395-2024 prioriterade fågelarter.docx", "A 28395-2024")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45513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45513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45513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45513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45513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45513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45513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45513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45513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45513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45513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45513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45513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45513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45513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45513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45513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45513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45513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45513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45513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45513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45513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45513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45513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45513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45513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45513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45513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45513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45513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45513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45513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45513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45513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45513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45513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45513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45513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45513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45513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45513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45513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45513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45513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45513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45513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45513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45513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45513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45513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45513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45513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45513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45513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45513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45513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45513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45513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45513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45513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45513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45513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45513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45513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45513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45513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45513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45513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45513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45513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45513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45513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45513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45513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45513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45513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45513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45513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45513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45513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45513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45513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45513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45513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45513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45513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45513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45513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45513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45513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45513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45513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45513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45513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45513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45513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45513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45513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45513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45513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45513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45513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45513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45513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45513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45513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45513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45513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45513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45513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45513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45513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45513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45513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45513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45513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45513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45513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45513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45513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45513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45513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45513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45513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45513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45513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45513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45513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45513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45513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45513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45513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45513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45513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45513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45513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45513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45513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45513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45513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45513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45513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45513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45513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45513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45513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45513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45513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45513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45513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45513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45513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45513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45513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45513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45513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45513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45513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45513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45513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45513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45513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45513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45513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45513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45513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45513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45513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45513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45513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45513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45513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45513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45513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45513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45513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45513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45513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45513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45513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45513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45513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45513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45513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45513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45513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45513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45513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45513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45513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45513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45513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45513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45513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45513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45513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45513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45513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45513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45513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45513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45513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45513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45513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45513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45513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45513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45513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45513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45513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45513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45513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45513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45513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45513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45513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45513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45513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45513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45513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45513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45513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45513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45513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45513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45513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45513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45513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45513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45513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45513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45513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45513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45513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45513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45513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45513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45513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45513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45513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45513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45513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45513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45513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45513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45513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45513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45513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45513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45513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45513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45513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45513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45513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45513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45513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45513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45513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45513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45513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45513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45513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45513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45513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45513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45513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45513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45513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45513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45513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45513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45513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45513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45513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45513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45513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45513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45513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45513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45513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45513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45513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45513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45513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45513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45513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45513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45513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45513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45513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45513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45513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45513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45513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45513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45513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45513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45513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45513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45513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45513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45513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45513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45513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45513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45513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45513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45513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45513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45513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45513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29509-2024</t>
        </is>
      </c>
      <c r="B540" s="1" t="n">
        <v>45484</v>
      </c>
      <c r="C540" s="1" t="n">
        <v>45513</v>
      </c>
      <c r="D540" t="inlineStr">
        <is>
          <t>ÖSTERGÖTLANDS LÄN</t>
        </is>
      </c>
      <c r="E540" t="inlineStr">
        <is>
          <t>KINDA</t>
        </is>
      </c>
      <c r="G540" t="n">
        <v>10.4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Månlåsbräken</t>
        </is>
      </c>
      <c r="S540">
        <f>HYPERLINK("https://klasma.github.io/Logging_0513/artfynd/A 29509-2024 artfynd.xlsx", "A 29509-2024")</f>
        <v/>
      </c>
      <c r="T540">
        <f>HYPERLINK("https://klasma.github.io/Logging_0513/kartor/A 29509-2024 karta.png", "A 29509-2024")</f>
        <v/>
      </c>
      <c r="V540">
        <f>HYPERLINK("https://klasma.github.io/Logging_0513/klagomål/A 29509-2024 FSC-klagomål.docx", "A 29509-2024")</f>
        <v/>
      </c>
      <c r="W540">
        <f>HYPERLINK("https://klasma.github.io/Logging_0513/klagomålsmail/A 29509-2024 FSC-klagomål mail.docx", "A 29509-2024")</f>
        <v/>
      </c>
      <c r="X540">
        <f>HYPERLINK("https://klasma.github.io/Logging_0513/tillsyn/A 29509-2024 tillsynsbegäran.docx", "A 29509-2024")</f>
        <v/>
      </c>
      <c r="Y540">
        <f>HYPERLINK("https://klasma.github.io/Logging_0513/tillsynsmail/A 29509-2024 tillsynsbegäran mail.docx", "A 29509-2024")</f>
        <v/>
      </c>
    </row>
    <row r="541" ht="15" customHeight="1">
      <c r="A541" t="inlineStr">
        <is>
          <t>A 29590-2024</t>
        </is>
      </c>
      <c r="B541" s="1" t="n">
        <v>45484</v>
      </c>
      <c r="C541" s="1" t="n">
        <v>45513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Holmen skog AB</t>
        </is>
      </c>
      <c r="G541" t="n">
        <v>15.9</v>
      </c>
      <c r="H541" t="n">
        <v>1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Plattlummer</t>
        </is>
      </c>
      <c r="S541">
        <f>HYPERLINK("https://klasma.github.io/Logging_0583/artfynd/A 29590-2024 artfynd.xlsx", "A 29590-2024")</f>
        <v/>
      </c>
      <c r="T541">
        <f>HYPERLINK("https://klasma.github.io/Logging_0583/kartor/A 29590-2024 karta.png", "A 29590-2024")</f>
        <v/>
      </c>
      <c r="V541">
        <f>HYPERLINK("https://klasma.github.io/Logging_0583/klagomål/A 29590-2024 FSC-klagomål.docx", "A 29590-2024")</f>
        <v/>
      </c>
      <c r="W541">
        <f>HYPERLINK("https://klasma.github.io/Logging_0583/klagomålsmail/A 29590-2024 FSC-klagomål mail.docx", "A 29590-2024")</f>
        <v/>
      </c>
      <c r="X541">
        <f>HYPERLINK("https://klasma.github.io/Logging_0583/tillsyn/A 29590-2024 tillsynsbegäran.docx", "A 29590-2024")</f>
        <v/>
      </c>
      <c r="Y541">
        <f>HYPERLINK("https://klasma.github.io/Logging_0583/tillsynsmail/A 29590-2024 tillsynsbegäran mail.docx", "A 29590-2024")</f>
        <v/>
      </c>
    </row>
    <row r="542" ht="15" customHeight="1">
      <c r="A542" t="inlineStr">
        <is>
          <t>A 29514-2024</t>
        </is>
      </c>
      <c r="B542" s="1" t="n">
        <v>45484</v>
      </c>
      <c r="C542" s="1" t="n">
        <v>45513</v>
      </c>
      <c r="D542" t="inlineStr">
        <is>
          <t>ÖSTERGÖTLANDS LÄN</t>
        </is>
      </c>
      <c r="E542" t="inlineStr">
        <is>
          <t>KINDA</t>
        </is>
      </c>
      <c r="G542" t="n">
        <v>18.9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Aspelandsfibbla</t>
        </is>
      </c>
      <c r="S542">
        <f>HYPERLINK("https://klasma.github.io/Logging_0513/artfynd/A 29514-2024 artfynd.xlsx", "A 29514-2024")</f>
        <v/>
      </c>
      <c r="T542">
        <f>HYPERLINK("https://klasma.github.io/Logging_0513/kartor/A 29514-2024 karta.png", "A 29514-2024")</f>
        <v/>
      </c>
      <c r="V542">
        <f>HYPERLINK("https://klasma.github.io/Logging_0513/klagomål/A 29514-2024 FSC-klagomål.docx", "A 29514-2024")</f>
        <v/>
      </c>
      <c r="W542">
        <f>HYPERLINK("https://klasma.github.io/Logging_0513/klagomålsmail/A 29514-2024 FSC-klagomål mail.docx", "A 29514-2024")</f>
        <v/>
      </c>
      <c r="X542">
        <f>HYPERLINK("https://klasma.github.io/Logging_0513/tillsyn/A 29514-2024 tillsynsbegäran.docx", "A 29514-2024")</f>
        <v/>
      </c>
      <c r="Y542">
        <f>HYPERLINK("https://klasma.github.io/Logging_0513/tillsynsmail/A 29514-2024 tillsynsbegäran mail.docx", "A 29514-2024")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45513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45513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45513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45513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45513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45513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45513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45513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45513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45513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45513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45513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45513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45513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45513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45513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45513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45513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45513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45513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45513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45513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45513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45513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45513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45513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45513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45513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45513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45513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45513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45513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45513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45513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45513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45513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45513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45513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45513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45513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45513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45513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45513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45513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45513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45513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45513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45513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45513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45513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45513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45513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45513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45513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45513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45513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45513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45513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45513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45513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45513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45513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45513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45513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45513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45513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45513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45513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45513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45513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45513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45513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45513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45513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45513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45513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45513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45513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45513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45513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45513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45513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45513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45513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45513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45513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45513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45513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45513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45513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45513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45513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45513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45513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45513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45513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45513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45513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45513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45513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45513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45513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45513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45513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45513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45513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45513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45513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45513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45513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45513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45513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45513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45513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45513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45513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45513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45513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45513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45513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45513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45513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45513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45513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45513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45513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45513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45513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45513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45513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45513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45513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45513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45513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45513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45513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45513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45513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45513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45513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45513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45513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45513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45513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45513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45513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45513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45513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45513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45513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45513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45513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45513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45513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45513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45513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45513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45513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45513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45513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45513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45513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45513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45513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45513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45513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45513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45513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45513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45513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45513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45513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45513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45513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45513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45513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45513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45513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45513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45513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45513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45513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45513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45513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45513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45513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45513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45513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45513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45513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45513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45513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45513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45513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45513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45513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45513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45513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45513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45513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45513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45513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45513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45513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45513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45513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45513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45513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45513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45513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45513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45513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45513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45513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45513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45513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45513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45513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45513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45513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45513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45513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45513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45513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45513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45513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45513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45513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45513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45513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45513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45513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45513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45513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45513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45513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45513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45513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45513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45513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45513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45513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45513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45513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45513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45513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45513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45513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45513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45513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45513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45513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45513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45513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45513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45513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45513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45513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45513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45513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45513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45513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45513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45513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45513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45513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45513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45513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45513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45513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45513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45513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45513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45513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45513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45513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45513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45513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45513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45513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45513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45513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45513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45513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45513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45513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45513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45513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45513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45513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45513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45513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45513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45513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45513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45513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45513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45513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45513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45513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45513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45513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45513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45513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45513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45513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45513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45513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45513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45513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45513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45513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45513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45513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45513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45513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45513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45513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45513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45513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45513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45513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45513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45513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45513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45513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45513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45513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45513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45513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45513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45513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45513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45513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45513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45513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45513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45513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45513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45513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45513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45513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45513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45513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45513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45513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45513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45513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45513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45513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45513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45513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45513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45513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45513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45513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45513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45513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45513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45513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45513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45513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45513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45513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45513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45513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45513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45513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45513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45513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45513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45513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45513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45513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45513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45513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45513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45513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45513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45513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45513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45513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45513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45513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45513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45513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45513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45513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45513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45513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45513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45513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45513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45513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45513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45513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45513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45513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45513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45513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45513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45513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45513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45513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45513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45513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45513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45513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45513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45513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45513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45513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45513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45513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45513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45513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45513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45513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45513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45513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45513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45513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45513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45513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45513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45513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45513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45513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45513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45513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45513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45513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45513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45513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45513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45513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45513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45513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45513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45513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45513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45513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45513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45513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45513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45513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45513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45513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45513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45513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45513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45513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45513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45513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45513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45513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45513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45513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45513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45513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45513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45513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45513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45513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45513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45513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45513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45513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45513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45513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45513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45513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45513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45513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45513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45513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45513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45513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45513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45513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45513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45513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45513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45513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45513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45513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45513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45513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45513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45513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45513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45513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45513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45513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45513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45513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45513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45513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45513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45513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45513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45513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45513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45513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45513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45513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45513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45513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45513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45513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45513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45513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45513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45513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45513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45513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45513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45513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45513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45513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45513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45513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45513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45513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45513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45513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45513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45513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45513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45513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45513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45513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45513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45513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45513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45513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45513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45513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45513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45513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45513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45513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45513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45513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45513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45513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45513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45513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45513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45513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45513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45513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45513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45513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45513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45513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45513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45513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45513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45513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45513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45513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45513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45513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45513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45513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45513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45513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45513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45513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45513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45513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45513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45513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45513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45513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45513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45513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45513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45513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45513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45513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45513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45513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45513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45513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45513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45513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45513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45513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45513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45513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45513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45513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45513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45513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45513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45513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45513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45513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45513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45513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45513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45513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45513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45513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45513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45513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45513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45513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45513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45513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45513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45513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45513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45513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45513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45513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45513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45513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45513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45513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45513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45513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45513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45513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45513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45513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45513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45513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45513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45513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45513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45513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45513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45513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45513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45513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45513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45513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45513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45513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45513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45513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45513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45513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45513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45513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45513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45513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45513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45513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45513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45513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45513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45513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45513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45513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45513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45513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45513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45513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45513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45513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45513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45513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45513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45513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45513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45513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45513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45513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45513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45513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45513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45513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45513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45513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45513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45513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45513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45513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45513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45513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45513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45513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45513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45513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45513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45513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45513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45513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45513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45513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45513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45513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45513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45513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45513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45513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45513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45513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45513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45513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45513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45513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45513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45513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45513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45513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45513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45513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45513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45513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45513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45513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45513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45513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45513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45513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45513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45513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45513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45513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45513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45513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45513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45513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45513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45513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45513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45513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45513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45513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45513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45513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45513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45513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45513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45513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45513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45513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45513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45513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45513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45513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45513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45513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45513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45513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45513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45513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45513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45513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45513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45513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45513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45513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45513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45513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45513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45513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45513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45513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45513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45513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45513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45513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45513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45513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45513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45513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45513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45513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45513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45513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45513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45513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45513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45513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45513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45513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45513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45513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45513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45513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45513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45513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45513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45513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45513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45513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45513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45513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45513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45513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45513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45513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45513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45513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45513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45513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45513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45513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45513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45513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45513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45513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45513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45513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45513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45513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45513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45513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45513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45513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45513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45513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45513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45513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45513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45513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45513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45513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45513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45513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45513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45513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45513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45513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45513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45513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45513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45513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45513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45513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45513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45513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45513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45513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45513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45513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45513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45513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45513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45513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45513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45513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45513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45513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45513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45513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45513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45513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45513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45513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45513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45513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45513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45513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45513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45513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45513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45513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45513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45513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45513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45513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45513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45513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45513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45513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45513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45513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45513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45513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45513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45513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45513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45513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45513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45513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45513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45513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45513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45513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45513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45513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45513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45513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45513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45513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45513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45513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45513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45513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45513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45513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45513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45513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45513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45513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45513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45513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45513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45513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45513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45513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45513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45513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45513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45513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45513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45513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45513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45513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45513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45513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45513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45513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45513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45513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45513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45513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45513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45513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45513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45513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45513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45513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45513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45513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45513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45513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45513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45513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45513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45513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45513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45513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45513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45513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45513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45513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45513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45513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45513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45513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45513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45513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45513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45513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45513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45513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45513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45513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45513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45513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45513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45513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45513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45513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45513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45513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45513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45513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45513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45513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45513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45513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45513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45513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45513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45513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45513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45513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45513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45513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45513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45513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45513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45513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45513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45513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45513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45513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45513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45513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45513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45513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45513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45513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45513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45513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45513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45513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45513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45513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45513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45513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45513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45513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45513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45513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45513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45513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45513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45513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45513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45513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45513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45513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45513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45513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45513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45513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45513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45513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45513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45513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45513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45513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45513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45513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45513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45513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45513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45513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45513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45513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45513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45513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45513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45513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45513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45513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45513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45513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45513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45513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45513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45513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45513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45513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45513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45513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45513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45513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45513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45513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45513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45513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45513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45513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45513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45513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45513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45513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45513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45513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45513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45513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45513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45513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45513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45513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45513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45513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45513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45513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45513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45513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45513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45513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45513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45513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45513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45513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45513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45513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45513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45513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45513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45513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45513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45513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45513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45513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45513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45513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45513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45513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45513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45513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45513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45513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45513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45513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45513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45513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45513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45513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45513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45513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45513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45513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45513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45513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45513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45513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45513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45513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45513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45513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45513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45513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45513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45513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45513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45513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45513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45513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45513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45513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45513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45513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45513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45513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45513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45513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45513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45513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45513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45513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45513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45513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45513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45513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45513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45513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45513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45513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45513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45513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45513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45513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45513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45513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45513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45513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45513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45513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45513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45513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45513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45513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45513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45513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45513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45513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45513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45513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45513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45513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45513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45513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45513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45513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45513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45513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45513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45513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45513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45513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45513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45513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45513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45513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45513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45513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45513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45513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45513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45513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45513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45513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45513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45513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45513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45513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45513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45513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45513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45513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45513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45513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45513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45513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45513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45513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45513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45513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45513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45513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45513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45513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45513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45513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45513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45513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45513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45513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45513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45513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45513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45513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45513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45513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45513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45513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45513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45513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45513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45513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45513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45513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45513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45513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45513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45513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45513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45513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45513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45513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45513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45513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45513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45513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45513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45513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45513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45513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45513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45513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45513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45513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45513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45513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45513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45513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45513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45513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45513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45513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45513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45513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45513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45513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45513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45513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45513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45513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45513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45513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45513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45513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45513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45513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45513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45513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45513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45513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45513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45513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45513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45513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45513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45513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45513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45513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45513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45513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45513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45513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45513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45513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45513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45513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45513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45513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45513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45513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45513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45513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45513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45513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45513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45513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45513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45513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45513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45513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45513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45513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45513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45513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45513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45513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45513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45513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45513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45513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45513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45513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45513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45513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45513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45513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45513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45513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45513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45513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45513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45513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45513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45513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45513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45513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45513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45513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45513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45513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45513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45513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45513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45513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45513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45513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45513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45513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45513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45513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45513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45513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45513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45513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45513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45513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45513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45513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45513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45513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45513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45513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45513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45513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45513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45513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45513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45513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45513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45513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45513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45513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45513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45513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45513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45513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45513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45513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45513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45513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45513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45513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45513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45513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45513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45513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45513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45513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45513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45513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45513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45513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45513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45513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45513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45513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45513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45513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45513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45513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45513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45513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45513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45513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45513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45513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45513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45513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45513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45513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45513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45513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45513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45513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45513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45513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45513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45513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45513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45513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45513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45513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45513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45513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45513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45513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45513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45513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45513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45513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45513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45513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45513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45513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45513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45513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45513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45513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45513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45513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45513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45513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45513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45513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45513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45513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45513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45513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45513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45513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45513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45513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45513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45513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45513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45513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45513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45513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45513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45513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45513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45513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45513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45513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45513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45513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45513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45513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45513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45513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45513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45513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45513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45513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45513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45513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45513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45513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45513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45513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45513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45513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45513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45513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45513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45513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45513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45513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45513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45513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45513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45513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45513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45513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45513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45513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45513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45513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45513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45513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45513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45513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45513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45513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45513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45513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45513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45513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45513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45513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45513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45513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45513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45513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45513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45513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45513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45513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45513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45513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45513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45513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45513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45513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45513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45513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45513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45513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45513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45513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45513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45513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45513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45513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45513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45513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45513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45513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45513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45513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45513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45513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45513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45513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45513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45513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45513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45513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45513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45513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45513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45513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45513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45513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45513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45513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45513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45513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45513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45513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45513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45513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45513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45513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45513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45513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45513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45513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45513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45513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45513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45513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45513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45513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45513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45513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45513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45513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45513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45513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45513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45513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45513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45513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45513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45513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45513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45513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45513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45513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45513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45513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45513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45513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45513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45513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45513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45513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45513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45513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45513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45513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45513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45513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45513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45513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45513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45513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45513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45513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45513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45513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45513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45513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45513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45513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45513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45513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45513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45513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45513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45513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45513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45513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45513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45513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45513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45513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45513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45513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45513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45513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45513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45513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45513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45513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45513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45513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45513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45513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45513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45513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45513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45513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45513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45513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45513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45513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45513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45513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45513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45513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45513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45513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45513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45513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45513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45513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45513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45513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45513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45513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45513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45513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45513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45513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45513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45513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45513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45513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45513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45513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45513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45513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45513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45513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45513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45513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45513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45513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45513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45513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45513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45513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45513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45513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45513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45513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45513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45513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45513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45513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45513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45513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45513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45513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45513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45513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45513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45513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45513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45513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45513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45513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45513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45513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45513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45513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45513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45513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45513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45513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45513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45513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45513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45513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45513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45513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45513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45513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45513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45513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45513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45513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45513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45513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45513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45513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45513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45513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45513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45513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45513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45513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45513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45513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45513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45513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45513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45513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45513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45513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45513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45513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45513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45513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45513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45513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45513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45513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45513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45513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45513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45513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45513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45513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45513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45513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45513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45513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45513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45513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45513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45513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45513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45513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45513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45513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45513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45513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45513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45513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45513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45513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45513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45513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45513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45513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45513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45513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45513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45513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45513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45513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45513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45513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45513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45513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45513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45513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45513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45513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45513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45513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45513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45513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45513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45513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45513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45513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45513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45513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45513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45513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45513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45513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45513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45513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45513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45513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45513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45513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45513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45513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45513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45513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45513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45513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45513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45513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45513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45513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45513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45513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45513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45513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45513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45513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45513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45513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45513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45513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45513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45513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45513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45513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45513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45513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45513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45513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45513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45513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45513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45513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45513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45513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45513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45513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45513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45513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45513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45513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45513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45513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45513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45513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45513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45513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45513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45513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45513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45513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45513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45513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45513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45513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45513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45513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45513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45513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45513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45513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45513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45513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45513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45513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45513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45513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45513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45513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45513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45513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45513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45513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45513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45513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45513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45513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45513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45513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45513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45513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45513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45513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45513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45513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45513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45513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45513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45513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45513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45513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45513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45513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45513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45513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45513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45513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45513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45513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45513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45513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45513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45513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45513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45513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45513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45513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45513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45513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45513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45513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45513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45513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45513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45513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45513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45513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45513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45513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45513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45513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45513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45513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45513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45513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45513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45513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45513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45513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45513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45513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45513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45513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45513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45513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45513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45513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45513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45513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45513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45513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45513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45513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45513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45513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45513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45513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45513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45513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45513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45513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45513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45513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45513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45513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45513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45513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45513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45513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45513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45513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45513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45513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45513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45513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45513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45513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45513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45513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45513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45513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45513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45513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45513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45513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45513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45513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45513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45513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45513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45513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45513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45513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45513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45513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45513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45513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45513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45513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45513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45513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45513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45513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45513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45513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45513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45513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45513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45513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45513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45513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45513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45513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45513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45513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45513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45513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45513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45513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45513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45513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45513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45513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45513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45513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45513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45513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45513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45513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45513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45513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45513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45513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45513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45513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45513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45513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45513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45513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45513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45513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45513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45513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45513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45513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45513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45513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45513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45513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45513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45513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45513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45513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45513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45513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45513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45513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45513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45513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45513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45513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45513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45513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45513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45513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45513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45513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45513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45513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45513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45513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45513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45513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45513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45513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45513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45513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45513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45513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45513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45513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45513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45513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45513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45513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45513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45513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45513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45513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45513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45513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45513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45513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45513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45513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45513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45513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45513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45513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45513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45513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45513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45513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45513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45513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45513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45513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45513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45513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45513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45513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45513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45513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45513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45513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45513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45513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45513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45513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45513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45513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45513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45513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45513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45513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45513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45513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45513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45513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45513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45513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45513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45513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45513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45513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45513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45513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45513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45513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45513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45513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45513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45513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45513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45513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45513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45513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45513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45513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45513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45513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45513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45513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45513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45513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45513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45513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45513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45513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45513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45513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45513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45513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45513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45513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45513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45513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45513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45513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45513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45513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45513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45513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45513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45513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45513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45513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45513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45513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45513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45513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45513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45513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45513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45513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45513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45513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45513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45513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45513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45513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45513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45513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45513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45513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45513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45513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45513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45513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45513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45513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45513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45513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45513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45513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45513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45513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45513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45513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45513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45513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45513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45513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45513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45513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45513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45513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45513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45513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45513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45513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45513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45513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45513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45513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45513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45513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45513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45513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45513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45513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45513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45513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45513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45513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45513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45513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45513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45513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45513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45513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45513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45513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45513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45513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45513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45513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45513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45513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45513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45513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45513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45513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45513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45513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45513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45513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45513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45513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45513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45513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45513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45513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45513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45513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45513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45513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45513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45513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45513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45513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45513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45513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45513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45513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45513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45513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45513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45513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45513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45513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45513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45513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45513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45513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45513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45513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45513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45513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45513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45513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45513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45513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45513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45513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45513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45513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45513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45513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45513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45513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45513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45513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45513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45513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45513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45513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45513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45513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45513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45513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45513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45513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45513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45513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45513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45513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45513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45513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45513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45513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45513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45513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45513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45513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45513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45513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45513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45513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45513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45513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45513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45513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45513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45513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45513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45513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45513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45513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45513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45513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45513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45513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45513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45513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45513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45513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45513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45513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45513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45513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45513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45513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45513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45513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45513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45513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45513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45513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45513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45513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45513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45513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45513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45513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45513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45513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45513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45513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45513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45513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45513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45513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45513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45513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45513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45513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45513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45513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45513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45513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45513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45513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45513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45513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45513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45513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45513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45513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45513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45513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45513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45513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45513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45513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45513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45513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45513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45513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45513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45513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45513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45513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45513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45513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45513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45513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45513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45513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45513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45513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45513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45513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45513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45513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45513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45513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45513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45513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45513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45513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45513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45513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45513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45513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45513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45513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45513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45513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45513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45513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45513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45513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45513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45513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45513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45513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45513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45513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45513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45513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45513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45513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45513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45513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45513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45513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45513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45513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45513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45513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45513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45513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45513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45513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45513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45513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45513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45513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45513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45513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45513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45513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45513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45513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45513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45513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45513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45513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45513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45513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45513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45513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45513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45513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45513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45513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45513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45513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45513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45513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45513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45513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45513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45513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45513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45513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45513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45513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45513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45513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45513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45513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45513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45513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45513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45513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45513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45513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45513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45513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45513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45513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45513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45513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45513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45513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45513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45513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45513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45513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45513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45513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45513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45513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45513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45513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45513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45513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45513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45513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45513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45513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45513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45513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45513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45513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45513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45513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45513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45513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45513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45513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45513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45513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45513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45513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45513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45513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45513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45513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45513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45513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45513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45513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45513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45513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45513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45513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45513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45513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45513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45513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45513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45513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45513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45513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45513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45513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45513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45513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45513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45513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45513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45513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45513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45513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45513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45513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45513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45513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45513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45513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45513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45513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45513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45513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45513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45513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45513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45513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45513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45513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45513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45513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45513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45513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45513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45513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45513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45513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45513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45513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45513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45513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45513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45513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45513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45513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45513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45513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45513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45513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45513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45513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45513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45513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45513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45513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45513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45513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45513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45513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45513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45513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45513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45513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45513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45513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45513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45513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45513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45513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45513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45513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45513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45513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45513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45513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45513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45513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45513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45513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45513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45513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45513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45513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45513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45513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45513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45513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45513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45513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45513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45513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45513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45513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45513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45513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45513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45513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45513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45513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45513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45513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45513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45513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45513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45513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45513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45513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45513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45513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45513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45513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45513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45513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45513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45513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45513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45513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45513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45513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45513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45513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45513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45513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45513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45513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45513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45513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45513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45513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45513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45513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45513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45513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45513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45513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45513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45513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45513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45513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45513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45513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45513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45513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45513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45513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45513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45513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45513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45513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45513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45513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45513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45513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45513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45513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45513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45513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45513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45513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45513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45513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45513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45513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45513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45513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45513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45513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45513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45513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45513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45513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45513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45513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45513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45513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45513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45513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45513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45513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45513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45513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45513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45513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45513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45513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45513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45513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45513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45513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45513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45513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45513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45513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45513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45513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45513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45513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45513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45513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45513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45513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45513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45513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45513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45513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45513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45513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45513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45513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45513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45513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45513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45513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45513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45513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45513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45513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45513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45513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45513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45513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45513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45513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45513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45513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45513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45513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45513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45513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45513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45513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45513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45513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45513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45513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45513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45513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45513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45513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45513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45513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45513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45513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45513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45513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45513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45513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45513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45513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45513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45513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45513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45513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45513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45513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45513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45513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45513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45513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45513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45513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45513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45513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45513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45513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45513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45513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45513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45513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45513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45513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45513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45513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45513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45513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45513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45513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45513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45513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45513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45513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45513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45513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45513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45513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45513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45513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45513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45513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45513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45513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45513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45513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45513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45513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45513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45513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45513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45513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45513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45513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45513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45513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45513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45513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45513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45513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45513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45513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45513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45513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45513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45513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45513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45513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45513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45513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45513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45513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45513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45513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45513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45513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45513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45513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45513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45513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45513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45513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45513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45513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45513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45513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45513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45513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45513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45513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45513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45513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45513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45513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45513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45513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45513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45513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45513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45513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45513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45513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45513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45513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45513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45513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45513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45513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45513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45513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45513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45513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45513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45513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45513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45513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45513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45513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45513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45513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45513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45513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45513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45513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45513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45513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45513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45513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45513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45513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45513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45513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45513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45513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45513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45513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45513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45513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45513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45513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45513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45513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45513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45513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45513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45513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45513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45513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45513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45513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45513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45513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45513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45513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45513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45513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45513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45513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45513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45513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45513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45513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45513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45513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45513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45513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45513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45513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45513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45513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45513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45513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45513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45513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45513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45513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45513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45513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45513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45513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45513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45513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45513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45513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45513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45513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45513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45513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45513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45513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45513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45513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45513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45513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45513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45513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45513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45513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45513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45513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45513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45513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45513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45513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45513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45513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45513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45513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45513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45513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45513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45513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45513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45513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45513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45513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45513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45513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45513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45513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45513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45513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45513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45513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45513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45513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45513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45513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45513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45513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45513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45513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45513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45513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45513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45513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45513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45513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45513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45513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45513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45513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45513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45513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45513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45513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45513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45513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45513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45513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45513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45513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45513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45513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45513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45513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45513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45513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45513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45513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45513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45513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45513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45513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45513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45513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45513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45513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45513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45513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45513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45513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45513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45513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45513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45513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45513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45513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45513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45513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45513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45513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45513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45513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45513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45513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45513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45513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45513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45513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45513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45513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45513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45513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45513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45513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45513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45513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45513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45513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45513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45513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45513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45513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45513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45513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45513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45513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45513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45513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45513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45513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45513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45513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45513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45513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45513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45513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45513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45513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45513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45513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45513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45513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45513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45513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45513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45513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45513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45513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45513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45513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45513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45513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45513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45513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45513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45513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45513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45513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45513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45513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45513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45513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45513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45513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45513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45513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45513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45513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45513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45513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45513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45513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45513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45513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45513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45513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45513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45513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45513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45513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45513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45513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45513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45513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45513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45513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45513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45513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45513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45513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45513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45513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45513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45513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45513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45513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45513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45513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45513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45513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45513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45513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45513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45513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45513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45513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45513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45513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45513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45513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45513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45513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45513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45513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45513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45513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45513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45513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45513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45513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45513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45513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45513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45513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45513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45513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45513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45513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45513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45513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45513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45513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45513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45513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45513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45513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45513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45513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45513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45513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45513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45513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45513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45513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45513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45513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45513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45513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45513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45513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45513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45513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45513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45513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45513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45513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45513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45513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45513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45513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45513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45513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45513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45513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45513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45513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45513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45513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45513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45513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45513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45513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45513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45513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45513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45513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45513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45513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45513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45513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45513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45513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45513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45513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45513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45513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45513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45513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45513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45513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45513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45513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45513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45513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45513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45513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45513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45513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45513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45513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45513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45513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45513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45513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45513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45513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45513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45513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45513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45513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45513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45513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45513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45513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45513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45513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45513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45513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45513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45513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45513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45513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45513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45513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45513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45513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45513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45513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45513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45513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45513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45513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45513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45513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45513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45513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45513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45513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45513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45513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45513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45513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45513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45513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45513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45513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45513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45513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45513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45513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45513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45513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45513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45513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45513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45513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45513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45513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45513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45513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45513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45513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45513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45513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45513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45513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45513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45513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45513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45513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45513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45513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45513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45513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45513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45513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45513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45513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45513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45513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45513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45513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45513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45513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45513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45513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45513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45513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45513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45513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45513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45513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45513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45513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45513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45513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45513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45513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45513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45513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45513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45513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45513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45513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45513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45513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45513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45513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45513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45513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45513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45513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45513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45513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45513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45513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45513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45513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45513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45513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45513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45513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45513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45513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45513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45513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45513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45513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45513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45513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45513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45513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45513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45513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45513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45513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45513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45513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45513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45513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45513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45513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45513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45513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45513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45513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45513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45513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45513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45513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45513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45513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45513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45513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45513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45513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45513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45513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45513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45513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45513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45513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45513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45513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45513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45513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45513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45513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45513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45513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45513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45513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45513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45513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45513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45513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45513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45513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45513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45513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45513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45513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45513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45513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45513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45513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45513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45513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45513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45513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45513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45513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45513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45513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45513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45513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45513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45513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45513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45513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45513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45513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45513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45513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45513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45513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45513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45513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45513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45513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45513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45513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45513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45513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45513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45513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45513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45513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45513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45513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45513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45513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45513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45513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45513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45513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45513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45513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45513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45513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45513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45513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45513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45513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45513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45513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45513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45513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45513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45513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45513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45513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45513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45513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45513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45513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45513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45513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45513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45513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45513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45513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45513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45513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45513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45513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45513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45513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45513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45513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45513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45513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45513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45513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45513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45513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45513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45513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45513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45513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45513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45513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45513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45513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45513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45513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45513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45513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45513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45513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45513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45513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45513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45513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45513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45513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45513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45513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45513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45513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45513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45513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45513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45513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45513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45513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45513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45513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45513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45513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45513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45513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45513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45513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45513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45513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45513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45513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45513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45513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45513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45513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45513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45513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45513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45513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45513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45513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45513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45513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45513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45513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45513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45513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45513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45513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45513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45513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45513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45513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45513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45513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45513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45513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45513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45513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45513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45513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45513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45513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45513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45513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45513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45513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45513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45513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45513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45513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45513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45513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45513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45513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45513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45513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45513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45513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45513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45513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45513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45513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45513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45513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45513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45513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45513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45513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45513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45513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45513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45513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45513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45513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45513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45513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45513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45513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45513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45513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45513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45513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45513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45513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45513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45513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45513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45513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45513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45513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45513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45513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45513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45513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45513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45513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45513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45513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45513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45513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45513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45513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45513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45513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45513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45513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45513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45513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45513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45513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45513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45513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45513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45513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45513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45513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45513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45513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45513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45513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45513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45513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45513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45513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45513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45513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45513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45513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45513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45513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45513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45513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45513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45513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45513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45513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45513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45513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45513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45513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45513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45513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45513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45513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45513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45513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45513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45513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45513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45513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45513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45513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45513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45513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45513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45513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45513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45513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45513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45513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45513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45513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45513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45513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45513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45513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45513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45513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45513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45513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45513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45513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45513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45513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45513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45513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45513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45513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45513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45513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45513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45513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45513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45513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45513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45513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45513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45513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45513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45513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45513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45513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45513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45513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45513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45513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45513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45513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45513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45513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45513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45513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45513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45513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45513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45513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45513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45513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45513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45513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45513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45513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45513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45513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45513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45513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45513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45513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45513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45513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45513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45513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45513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45513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45513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45513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45513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45513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45513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45513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45513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45513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45513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45513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45513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45513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45513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45513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45513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45513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45513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45513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45513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45513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45513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45513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45513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45513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45513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45513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45513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45513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45513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45513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45513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45513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45513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45513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45513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45513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45513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45513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45513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45513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45513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45513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45513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45513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45513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45513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45513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45513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45513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45513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45513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45513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45513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45513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45513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45513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45513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45513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45513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45513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45513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45513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45513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45513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45513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45513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45513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45513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45513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45513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45513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45513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45513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45513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45513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45513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45513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45513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45513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45513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45513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45513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45513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45513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45513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45513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45513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45513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45513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45513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45513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45513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45513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45513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45513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45513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45513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45513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45513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45513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45513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45513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45513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45513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45513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45513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45513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45513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45513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45513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45513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45513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45513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45513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45513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45513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45513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45513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45513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45513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45513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45513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45513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45513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45513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45513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45513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45513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45513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45513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45513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45513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45513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45513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45513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45513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45513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45513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45513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45513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45513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45513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45513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45513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45513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45513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45513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45513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45513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45513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45513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45513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45513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45513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45513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45513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45513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45513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45513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45513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45513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45513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45513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45513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45513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45513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45513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45513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45513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45513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45513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45513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45513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45513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45513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45513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45513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45513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45513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45513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45513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45513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45513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45513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45513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45513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45513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45513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45513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45513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45513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45513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45513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45513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45513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45513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45513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45513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45513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45513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45513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45513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45513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45513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45513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45513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45513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45513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45513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45513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45513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45513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45513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45513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45513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45513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45513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45513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45513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45513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45513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45513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45513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45513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45513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45513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45513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45513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45513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45513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45513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45513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45513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45513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45513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45513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45513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45513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45513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45513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45513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45513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45513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45513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45513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45513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45513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45513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45513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45513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45513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45513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45513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45513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45513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45513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45513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45513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45513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45513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45513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45513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45513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45513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45513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45513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45513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45513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45513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45513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45513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45513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45513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45513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45513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45513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45513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45513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45513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45513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45513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45513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45513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45513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45513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45513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45513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45513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45513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45513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45513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45513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45513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45513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45513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45513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45513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45513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45513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45513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45513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45513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45513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45513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45513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45513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45513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45513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45513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45513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45513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45513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45513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45513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45513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45513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45513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45513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45513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45513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45513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45513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45513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45513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45513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45513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45513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45513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45513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45513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45513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45513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45513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45513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45513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45513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45513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45513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45513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45513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45513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45513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45513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45513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45513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45513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45513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45513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45513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45513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45513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45513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45513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45513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45513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45513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45513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45513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45513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45513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45513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45513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45513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45513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45513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45513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45513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45513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45513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45513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45513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45513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45513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45513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45513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45513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45513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45513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45513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45513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45513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45513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45513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45513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45513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45513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45513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45513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45513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45513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45513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45513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45513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45513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45513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45513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45513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45513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45513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45513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45513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45513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45513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45513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45513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45513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45513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45513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45513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45513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45513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45513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45513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45513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45513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45513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45513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45513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45513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45513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45513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45513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45513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45513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45513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45513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45513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45513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45513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45513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45513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45513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45513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45513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45513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45513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45513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45513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45513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45513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45513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45513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45513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45513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45513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45513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45513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45513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45513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45513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45513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45513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45513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45513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45513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45513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45513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45513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45513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45513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45513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45513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45513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45513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45513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45513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45513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45513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45513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45513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45513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45513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45513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45513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45513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45513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45513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45513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45513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45513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45513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45513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45513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45513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45513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45513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45513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45513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45513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45513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45513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45513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45513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45513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45513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45513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45513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45513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45513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45513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45513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45513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45513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45513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45513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45513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45513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45513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45513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45513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45513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45513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45513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45513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45513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45513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45513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45513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45513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45513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45513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45513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45513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45513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45513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45513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45513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45513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45513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45513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45513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45513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45513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45513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45513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45513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45513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45513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45513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45513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45513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45513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45513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45513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45513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45513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45513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45513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45513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45513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45513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45513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45513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45513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45513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45513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45513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45513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45513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45513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45513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45513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45513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45513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45513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45513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45513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45513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45513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45513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45513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45513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45513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45513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45513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45513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45513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45513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45513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45513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45513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45513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45513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45513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45513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45513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45513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45513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45513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45513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45513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45513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45513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45513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45513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45513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45513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45513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45513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45513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45513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45513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45513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45513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45513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45513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45513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45513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45513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45513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45513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45513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45513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45513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45513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45513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45513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45513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45513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45513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45513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45513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45513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45513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45513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45513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45513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45513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45513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45513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45513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45513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45513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45513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45513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45513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45513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45513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45513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45513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45513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45513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45513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45513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45513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45513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45513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45513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45513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45513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45513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45513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45513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45513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45513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45513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45513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45513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45513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45513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45513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45513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45513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45513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45513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45513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45513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45513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45513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45513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45513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45513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45513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45513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45513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45513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45513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45513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45513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45513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45513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45513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45513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45513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45513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45513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45513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45513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45513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45513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45513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45513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45513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45513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45513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45513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45513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45513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45513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45513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45513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45513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45513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45513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45513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45513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45513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45513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45513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45513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45513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45513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45513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45513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45513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45513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45513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45513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45513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45513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45513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45513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45513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45513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45513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45513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45513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45513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45513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45513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45513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45513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45513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45513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45513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45513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45513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45513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45513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45513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45513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45513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45513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45513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45513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45513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45513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45513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45513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45513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45513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45513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45513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45513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45513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45513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45513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45513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45513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45513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45513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45513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45513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45513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45513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45513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45513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45513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45513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45513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45513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45513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45513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45513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45513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45513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45513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45513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45513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45513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45513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45513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45513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45513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45513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45513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45513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45513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45513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45513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45513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45513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45513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45513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45513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45513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45513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45513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45513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45513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45513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45513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45513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45513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45513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45513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45513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45513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45513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45513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45513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45513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45513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45513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45513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45513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45513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45513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45513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45513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45513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45513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45513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45513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45513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45513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45513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45513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45513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45513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45513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45513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45513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45513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45513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45513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45513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45513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45513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45513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45513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45513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45513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45513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45513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45513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45513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45513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45513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45513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45513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45513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45513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45513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45513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45513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45513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45513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45513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45513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45513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45513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45513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45513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45513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45513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45513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45513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45513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45513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45513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45513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45513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45513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45513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45513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45513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45513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45513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45513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45513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45513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45513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45513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45513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45513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45513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45513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45513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45513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45513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45513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45513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45513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45513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45513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45513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45513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45513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45513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45513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45513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45513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45513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45513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45513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45513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45513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45513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45513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45513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45513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45513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45513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45513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45513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45513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45513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45513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45513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45513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45513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45513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45513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45513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45513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45513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45513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45513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45513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45513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45513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45513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45513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45513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45513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45513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45513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45513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45513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45513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45513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45513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45513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45513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45513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45513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45513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45513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45513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45513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45513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45513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45513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45513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45513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45513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45513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45513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45513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45513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45513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45513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45513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45513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45513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45513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45513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45513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45513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45513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45513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45513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45513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45513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45513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45513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45513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45513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45513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45513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45513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45513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45513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45513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45513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45513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45513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45513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45513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45513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45513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45513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45513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45513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45513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45513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45513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45513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45513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45513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45513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45513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45513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45513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45513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45513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45513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45513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45513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45513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45513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45513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45513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45513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45513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45513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45513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45513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45513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45513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45513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45513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45513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45513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45513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45513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45513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45513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45513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45513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45513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45513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45513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45513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45513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45513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45513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45513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45513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45513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45513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45513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45513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45513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45513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45513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45513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45513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45513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45513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45513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45513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45513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45513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45513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45513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45513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45513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45513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45513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45513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45513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45513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45513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45513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45513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45513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45513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45513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45513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45513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45513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45513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45513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45513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45513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45513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45513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45513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45513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45513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45513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45513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45513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45513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45513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45513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45513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45513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45513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45513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45513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45513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45513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45513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45513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45513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45513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45513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45513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45513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45513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45513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45513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45513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45513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45513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45513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45513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45513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45513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45513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45513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45513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45513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45513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45513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45513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45513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45513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45513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45513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45513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45513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45513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45513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45513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45513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45513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45513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45513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45513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45513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45513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45513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45513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45513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45513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45513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45513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45513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45513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45513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45513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45513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45513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45513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45513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45513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45513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45513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45513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45513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45513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45513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45513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45513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45513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45513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45513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45513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45513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45513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45513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45513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45513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45513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45513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45513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45513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45513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45513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45513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45513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45513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45513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45513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45513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45513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45513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45513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45513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45513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45513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45513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45513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45513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45513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45513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45513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45513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45513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45513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45513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45513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45513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45513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45513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45513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45513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45513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45513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45513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45513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45513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45513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45513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45513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45513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45513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45513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45513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45513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45513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45513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45513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45513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45513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45513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45513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45513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45513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45513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45513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45513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45513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45513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45513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45513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45513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45513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45513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45513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45513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45513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45513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45513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45513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45513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45513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45513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45513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45513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45513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45513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45513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45513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45513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45513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45513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45513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45513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45513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45513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45513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45513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45513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45513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45513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45513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45513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45513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45513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45513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45513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45513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45513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45513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45513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45513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45513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45513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45513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45513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45513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45513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45513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45513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45513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45513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45513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45513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45513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45513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45513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45513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45513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45513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45513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45513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45513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45513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45513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45513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45513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45513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45513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45513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45513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45513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45513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45513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45513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45513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45513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45513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45513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45513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45513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45513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45513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45513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45513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45513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45513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45513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45513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45513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45513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45513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45513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45513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45513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45513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45513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45513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45513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45513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45513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45513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45513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45513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45513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45513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45513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45513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45513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45513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45513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45513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45513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45513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45513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45513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45513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45513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45513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45513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45513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45513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45513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45513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45513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45513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45513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45513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45513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45513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45513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45513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45513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45513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45513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45513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45513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45513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45513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45513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45513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45513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45513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45513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45513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45513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45513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45513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45513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45513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45513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45513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45513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45513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45513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45513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45513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45513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45513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45513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45513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45513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45513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45513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45513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45513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45513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45513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45513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45513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45513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45513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45513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45513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45513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45513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45513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45513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45513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45513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45513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45513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45513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45513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45513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45513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45513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45513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45513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45513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45513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45513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45513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45513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45513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45513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45513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45513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45513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45513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45513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45513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45513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45513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45513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45513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45513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45513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45513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45513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45513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45513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45513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45513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45513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45513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45513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45513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45513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45513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45513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45513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45513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45513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45513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45513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45513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45513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45513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45513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45513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45513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45513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45513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45513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45513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45513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45513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45513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45513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45513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45513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45513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45513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45513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45513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45513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45513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45513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45513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45513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45513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45513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45513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45513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45513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45513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45513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45513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45513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45513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45513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45513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45513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45513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45513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45513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45513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45513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45513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45513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45513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45513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45513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45513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45513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45513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45513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45513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45513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45513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45513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45513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45513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45513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45513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45513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45513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45513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45513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45513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45513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45513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45513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45513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45513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45513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45513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45513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45513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45513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45513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45513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45513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45513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45513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45513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45513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45513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45513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45513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45513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45513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45513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45513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45513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45513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45513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45513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45513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45513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45513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45513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45513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45513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45513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45513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45513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45513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45513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45513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45513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45513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45513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45513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45513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45513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45513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45513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45513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45513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45513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45513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45513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45513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45513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45513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45513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45513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45513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45513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45513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45513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45513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45513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45513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45513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45513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45513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45513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45513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45513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45513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45513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45513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45513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45513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45513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45513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45513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45513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45513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45513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45513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45513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45513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45513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45513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45513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45513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45513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45513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45513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45513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45513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45513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45513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45513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45513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45513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45513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45513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45513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45513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45513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45513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45513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45513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45513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45513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45513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45513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45513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45513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45513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45513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45513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45513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45513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45513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45513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45513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45513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45513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45513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45513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45513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45513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45513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45513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45513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45513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45513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45513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45513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45513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45513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45513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45513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45513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45513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45513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45513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45513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45513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45513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45513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45513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45513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45513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45513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45513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45513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45513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45513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45513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45513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45513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45513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45513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45513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45513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45513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45513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45513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45513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45513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45513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45513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45513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45513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45513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45513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45513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45513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45513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45513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45513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45513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45513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45513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45513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45513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45513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45513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45513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45513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45513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45513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45513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45513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45513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45513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45513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45513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45513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45513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45513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45513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45513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45513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45513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45513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45513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45513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45513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45513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45513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45513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45513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45513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45513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45513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45513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45513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45513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45513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45513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45513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45513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45513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45513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45513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45513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45513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45513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45513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45513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45513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45513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45513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45513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45513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45513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45513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45513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45513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45513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45513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45513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45513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45513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45513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45513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45513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45513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45513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45513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45513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45513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45513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45513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45513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45513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45513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45513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45513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45513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45513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45513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45513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45513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45513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45513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45513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45513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45513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45513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45513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45513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45513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45513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45513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45513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45513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45513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45513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45513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45513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45513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45513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45513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45513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45513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45513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45513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45513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45513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45513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45513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45513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45513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45513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45513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45513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45513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45513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45513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45513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45513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45513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45513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45513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45513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45513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45513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45513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45513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45513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45513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45513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45513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45513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45513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45513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45513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45513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45513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45513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45513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45513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45513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45513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45513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45513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45513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45513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45513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45513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45513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45513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45513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45513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45513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45513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45513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45513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45513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45513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45513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45513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45513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45513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45513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45513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45513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45513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45513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45513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45513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45513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45513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45513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45513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45513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45513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45513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45513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45513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45513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45513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45513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45513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45513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45513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45513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45513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45513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45513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45513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45513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45513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45513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45513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45513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45513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45513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45513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45513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45513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45513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45513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45513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45513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45513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45513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45513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45513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45513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45513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45513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45513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45513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45513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45513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45513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45513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45513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45513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45513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45513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45513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45513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45513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45513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45513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45513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45513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45513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45513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45513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45513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45513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45513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45513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45513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45513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45513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45513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45513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45513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45513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45513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45513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45513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45513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45513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45513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45513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45513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45513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45513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45513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45513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45513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45513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45513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45513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45513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45513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45513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45513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45513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45513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45513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45513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45513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45513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45513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45513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45513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45513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45513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45513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45513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45513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45513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45513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45513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45513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45513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45513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45513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45513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45513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45513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45513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45513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45513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45513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45513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45513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45513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45513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45513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45513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45513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45513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45513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45513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45513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45513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45513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45513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45513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45513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45513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45513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45513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45513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45513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45513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45513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45513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45513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45513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45513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45513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45513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45513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45513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45513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45513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45513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45513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45513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45513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45513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45513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45513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45513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45513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45513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45513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45513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45513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45513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45513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45513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45513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45513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45513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45513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45513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45513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45513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45513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45513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45513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45513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45513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45513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45513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45513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45513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45513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45513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45513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45513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45513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45513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45513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45513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45513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45513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45513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45513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45513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45513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45513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45513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45513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45513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45513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45513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45513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45513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45513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45513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45513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45513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45513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45513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45513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45513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45513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45513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45513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45513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45513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45513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45513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45513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45513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45513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45513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45513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45513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45513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45513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45513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45513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45513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45513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45513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45513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45513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45513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45513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45513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45513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45513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45513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45513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45513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45513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45513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45513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45513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45513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45513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45513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45513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45513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45513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45513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45513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45513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45513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45513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45513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45513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45513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45513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45513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45513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45513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45513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45513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45513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45513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45513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45513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45513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45513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45513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45513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45513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45513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45513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45513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45513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45513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45513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45513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45513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45513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45513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45513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45513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45513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45513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45513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45513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45513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45513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45513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45513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45513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45513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45513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45513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45513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45513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45513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45513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45513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45513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45513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45513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45513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45513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45513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45513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45513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45513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45513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45513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45513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45513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45513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45513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45513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45513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45513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45513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45513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45513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45513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45513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45513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45513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45513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45513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45513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45513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45513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45513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45513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45513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45513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45513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45513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45513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45513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45513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45513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45513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45513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45513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45513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45513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45513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45513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45513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45513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45513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45513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45513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45513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45513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45513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45513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45513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45513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45513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45513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45513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45513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45513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45513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45513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45513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45513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45513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45513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45513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45513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45513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45513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45513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45513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45513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45513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45513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45513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45513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45513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45513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45513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45513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45513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45513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45513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45513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45513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45513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45513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45513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45513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45513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45513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45513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45513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45513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45513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45513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45513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45513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45513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45513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45513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45513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45513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45513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45513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45513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45513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45513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45513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45513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45513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45513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45513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45513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45513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45513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45513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45513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45513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45513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45513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45513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45513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45513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45513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45513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45513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45513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45513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45513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45513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45513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45513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45513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45513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45513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45513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45513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45513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45513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45513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45513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45513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45513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45513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45513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45513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45513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45513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45513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45513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45513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45513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45513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45513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45513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45513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45513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45513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45513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45513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45513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45513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45513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45513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45513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45513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45513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45513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45513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45513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45513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45513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45513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45513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45513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45513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45513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45513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45513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45513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45513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45513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45513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45513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45513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45513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45513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45513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45513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45513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45513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45513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45513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45513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45513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45513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45513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45513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45513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45513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45513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45513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45513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45513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45513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45513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45513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45513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45513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45513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45513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45513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45513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45513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45513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45513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45513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45513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45513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45513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45513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45513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45513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45513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45513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45513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45513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45513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45513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45513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45513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45513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45513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45513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45513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45513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45513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45513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45513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45513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45513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45513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45513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45513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45513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45513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45513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45513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45513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45513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45513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45513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45513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45513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45513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45513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45513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45513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45513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45513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45513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45513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45513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45513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45513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45513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45513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45513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45513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45513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45513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45513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45513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45513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45513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45513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45513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45513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45513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45513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45513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45513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45513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45513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45513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45513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45513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45513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45513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45513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45513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45513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45513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45513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45513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45513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45513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45513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45513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45513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45513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45513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45513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45513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45513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45513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45513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45513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45513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45513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45513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45513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45513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45513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45513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45513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45513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45513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45513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45513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45513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45513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45513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45513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45513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45513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45513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45513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45513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45513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45513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45513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45513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45513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45513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45513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45513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45513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45513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45513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45513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45513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45513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45513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45513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45513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45513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45513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45513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45513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45513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45513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45513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45513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45513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45513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45513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45513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45513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45513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45513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45513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45513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45513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45513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45513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45513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45513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45513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45513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45513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45513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45513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45513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45513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45513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45513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45513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45513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45513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45513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45513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45513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45513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45513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45513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45513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45513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45513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45513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45513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45513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45513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45513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45513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45513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45513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45513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45513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45513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45513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45513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45513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45513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45513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45513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45513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45513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45513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45513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45513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45513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45513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45513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45513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45513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45513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45513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45513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45513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45513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45513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45513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45513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45513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45513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45513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45513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45513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45513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45513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45513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45513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45513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45513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45513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45513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45513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45513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45513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45513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45513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45513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45513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45513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45513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45513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45513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45513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45513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45513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45513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45513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45513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45513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45513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45513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45513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45513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45513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45513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45513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45513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45513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45513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45513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45513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45513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45513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45513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45513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45513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45513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45513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45513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45513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45513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45513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45513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45513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45513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45513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45513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45513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45513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45513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45513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45513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45513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45513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45513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45513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45513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45513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45513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45513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45513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45513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45513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45513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45513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45513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45513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45513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45513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45513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45513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45513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45513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45513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45513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45513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45513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45513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45513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45513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45513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45513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45513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45513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45513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45513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45513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45513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45513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45513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45513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45513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45513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45513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45513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45513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45513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45513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45513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45513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45513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45513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45513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45513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45513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45513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45513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45513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45513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45513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45513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45513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45513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45513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45513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45513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45513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45513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45513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45513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45513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45513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45513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45513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45513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45513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45513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45513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45513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45513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45513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45513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45513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45513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45513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45513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45513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45513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45513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45513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45513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45513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45513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45513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45513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45513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45513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45513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45513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45513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45513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45513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45513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45513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45513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45513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45513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45513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45513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45513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45513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45513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45513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45513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45513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45513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45513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45513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45513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45513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45513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45513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45513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45513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45513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45513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45513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45513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45513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45513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45513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45513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45513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45513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45513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45513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45513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45513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45513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45513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45513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45513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45513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45513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45513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45513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45513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45513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45513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45513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45513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45513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45513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45513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45513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45513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45513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45513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45513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45513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45513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45513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45513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45513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45513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45513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45513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45513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45513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45513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45513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45513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45513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45513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45513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45513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45513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45513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45513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45513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45513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45513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45513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45513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45513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45513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45513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45513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45513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45513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45513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45513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45513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45513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45513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45513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45513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45513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45513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45513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45513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45513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45513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45513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45513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45513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45513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45513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45513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45513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45513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45513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45513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45513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45513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45513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45513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45513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45513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45513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45513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45513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45513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45513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45513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45513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45513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45513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45513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45513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45513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45513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45513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45513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45513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45513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45513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45513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45513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45513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45513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45513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45513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45513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45513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45513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45513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45513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45513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45513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45513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45513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45513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45513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45513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45513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45513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45513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45513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45513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45513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45513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45513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45513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45513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45513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45513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45513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45513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45513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45513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45513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45513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45513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45513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45513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45513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45513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45513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45513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45513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45513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45513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45513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45513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45513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45513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45513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45513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45513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45513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45513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45513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45513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45513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45513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45513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45513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45513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45513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45513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45513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45513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45513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45513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45513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45513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45513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45513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45513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45513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45513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45513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45513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45513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45513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45513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45513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45513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45513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45513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45513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45513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45513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45513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45513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45513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45513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45513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45513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45513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45513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45513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45513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45513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45513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45513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45513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45513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45513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45513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45513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45513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45513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45513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45513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45513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45513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45513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45513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45513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45513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45513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45513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45513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45513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45513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45513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45513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45513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45513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45513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45513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45513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45513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45513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45513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45513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45513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45513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45513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45513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45513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45513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45513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45513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45513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45513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45513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45513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45513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45513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45513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45513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45513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45513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45513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45513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45513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45513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45513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45513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45513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45513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45513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45513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45513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45513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45513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45513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45513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45513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45513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45513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45513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45513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45513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45513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45513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45513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45513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45513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45513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45513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45513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45513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45513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45513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45513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45513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45513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45513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45513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45513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45513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45513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45513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45513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45513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45513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45513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45513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45513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45513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45513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45513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45513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45513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45513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45513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45513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45513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45513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45513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45513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45513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45513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45513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45513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45513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45513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45513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45513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45513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45513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45513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45513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45513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45513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45513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45513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45513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45513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45513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45513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45513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45513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45513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45513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45513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45513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45513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45513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45513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45513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45513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45513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45513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45513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45513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45513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45513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45513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45513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45513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45513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45513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45513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45513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45513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45513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45513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45513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45513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45513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45513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45513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45513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45513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45513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45513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45513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45513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45513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45513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45513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45513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45513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45513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45513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45513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45513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45513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45513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45513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45513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45513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45513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45513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45513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45513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45513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45513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45513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45513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45513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45513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45513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45513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45513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45513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45513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45513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45513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45513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45513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45513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45513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45513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45513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45513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45513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45513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45513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45513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45513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45513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45513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45513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45513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45513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45513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45513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45513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45513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45513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45513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45513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45513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45513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45513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45513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45513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45513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45513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45513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45513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45513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45513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45513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45513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45513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45513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45513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45513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45513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45513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45513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45513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45513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45513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45513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45513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45513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45513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45513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45513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45513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45513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45513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45513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45513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45513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45513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45513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45513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45513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45513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45513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45513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45513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45513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45513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45513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45513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45513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45513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45513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45513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45513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45513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45513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45513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45513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45513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45513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45513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45513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45513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45513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45513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45513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45513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45513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45513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45513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45513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45513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45513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45513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45513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45513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45513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45513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45513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45513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45513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45513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45513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45513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45513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45513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45513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45513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45513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45513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45513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45513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45513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45513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45513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45513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45513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45513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45513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45513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45513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45513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45513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45513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45513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45513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45513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45513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45513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45513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45513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45513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45513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45513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45513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45513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45513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45513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45513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45513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45513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45513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45513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45513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45513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45513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45513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45513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45513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45513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45513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45513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45513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45513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45513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45513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45513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45513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45513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45513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45513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45513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45513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45513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45513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45513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45513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45513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45513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45513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45513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45513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45513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45513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45513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45513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45513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45513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45513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45513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45513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45513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45513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45513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45513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45513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45513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45513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45513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45513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45513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45513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45513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45513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45513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45513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45513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45513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45513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45513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45513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45513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45513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45513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45513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45513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45513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45513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45513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45513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45513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45513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45513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45513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45513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45513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45513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45513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45513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45513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45513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45513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45513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45513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45513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45513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45513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45513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45513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45513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45513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45513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45513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45513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45513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45513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45513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45513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45513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45513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45513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45513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45513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45513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45513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45513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45513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45513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45513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45513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45513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45513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45513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45513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45513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45513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45513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45513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45513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45513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45513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45513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45513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45513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45513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45513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45513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45513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45513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45513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45513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45513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45513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45513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45513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45513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45513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45513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45513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45513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45513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45513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45513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45513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45513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45513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45513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45513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45513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45513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45513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45513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45513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45513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45513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45513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45513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45513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45513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45513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45513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45513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45513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45513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45513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45513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45513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45513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45513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45513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45513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45513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45513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45513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45513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45513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45513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45513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45513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45513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45513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45513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45513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45513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45513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45513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45513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45513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45513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45513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45513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45513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45513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45513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45513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45513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45513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45513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45513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45513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45513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45513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45513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45513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45513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45513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45513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45513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45513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45513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45513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45513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45513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45513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45513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45513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45513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45513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45513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45513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45513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45513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45513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45513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45513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45513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45513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45513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45513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45513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45513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45513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45513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45513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45513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45513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45513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45513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45513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45513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45513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45513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45513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45513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45513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45513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45513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45513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45513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45513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45513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45513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45513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45513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45513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45513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45513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45513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45513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45513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45513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45513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45513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45513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45513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45513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45513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45513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45513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45513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45513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45513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45513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45513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45513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45513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45513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45513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45513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45513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45513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45513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45513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45513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45513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45513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45513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45513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45513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45513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45513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45513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45513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45513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45513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45513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45513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45513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45513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45513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45513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45513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45513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45513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45513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45513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45513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45513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45513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45513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45513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45513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45513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45513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45513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45513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45513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45513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45513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45513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45513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45513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45513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45513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45513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45513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45513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45513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45513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45513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45513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45513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45513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45513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45513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45513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45513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45513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45513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45513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45513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45513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45513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45513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45513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45513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45513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45513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45513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45513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45513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45513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45513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45513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45513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45513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45513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45513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45513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45513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45513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45513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45513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45513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45513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45513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45513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45513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45513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45513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45513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45513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45513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45513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45513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45513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45513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45513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45513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45513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45513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45513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45513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45513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45513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45513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45513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45513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45513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45513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45513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45513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45513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45513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45513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45513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45513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45513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45513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45513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45513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45513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45513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45513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45513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45513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45513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45513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45513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45513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45513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45513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45513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45513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45513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45513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45513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45513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45513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45513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45513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45513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45513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45513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45513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45513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45513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45513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45513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45513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45513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45513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45513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45513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45513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45513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45513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45513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45513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45513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45513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45513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45513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45513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45513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45513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45513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45513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45513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45513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45513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45513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45513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45513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45513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45513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45513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45513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45513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45513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45513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45513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45513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45513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45513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45513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45513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45513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45513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45513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45513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45513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45513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45513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45513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45513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45513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45513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45513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45513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45513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45513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45513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45513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45513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45513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45513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45513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45513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45513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45513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45513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45513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45513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45513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45513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45513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45513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45513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45513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45513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45513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45513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45513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45513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45513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45513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45513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45513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45513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45513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45513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45513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45513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45513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45513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45513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45513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45513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45513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45513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45513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45513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45513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45513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45513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45513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45513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45513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45513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45513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45513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45513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45513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45513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45513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45513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45513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45513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45513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45513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45513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45513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45513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45513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45513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45513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45513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45513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45513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45513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45513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45513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45513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45513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45513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45513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45513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45513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45513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45513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45513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45513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45513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45513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45513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45513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45513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45513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45513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45513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45513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45513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45513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45513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45513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45513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45513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45513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45513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45513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45513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45513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45513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45513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45513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45513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45513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45513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45513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45513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45513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45513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45513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45513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45513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45513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45513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45513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45513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45513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45513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45513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45513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45513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45513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45513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45513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45513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45513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45513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45513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45513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45513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45513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45513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45513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45513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45513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45513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45513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45513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45513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45513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45513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45513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45513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45513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45513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45513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45513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45513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45513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45513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45513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45513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45513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45513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45513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45513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45513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45513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45513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45513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45513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45513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45513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45513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45513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45513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45513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45513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45513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45513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45513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45513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45513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45513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45513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45513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45513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45513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45513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45513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45513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45513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45513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45513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45513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45513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45513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45513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45513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45513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45513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45513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45513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45513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45513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45513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45513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45513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45513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45513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45513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45513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45513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45513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45513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45513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45513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45513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45513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45513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45513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45513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45513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45513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45513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45513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45513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45513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45513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45513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45513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45513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45513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45513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45513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45513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45513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45513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45513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45513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45513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45513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45513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45513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45513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45513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45513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45513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45513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45513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45513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45513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45513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45513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45513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45513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45513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45513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45513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45513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45513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45513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45513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45513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45513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45513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45513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45513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45513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45513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45513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45513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45513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45513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45513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45513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45513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45513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45513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45513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45513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45513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45513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45513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45513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45513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45513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45513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45513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45513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45513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45513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45513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45513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45513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45513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45513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45513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45513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45513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45513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45513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45513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45513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45513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45513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45513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45513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45513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45513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45513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45513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45513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45513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45513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45513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45513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45513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45513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45513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45513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45513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45513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45513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45513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45513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45513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45513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45513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45513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45513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45513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45513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45513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45513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45513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45513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45513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45513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45513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45513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45513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45513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45513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45513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45513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45513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45513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45513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45513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45513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45513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45513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45513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45513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45513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45513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45513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45513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45513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45513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45513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45513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45513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45513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45513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45513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45513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45513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45513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45513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45513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45513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45513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45513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45513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45513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45513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45513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45513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45513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45513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45513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45513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45513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45513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45513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45513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45513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45513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45513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45513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45513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45513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45513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45513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45513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45513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45513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45513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45513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45513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45513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45513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45513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45513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45513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45513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45513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45513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45513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45513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45513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45513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45513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45513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45513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45513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45513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45513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45513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45513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45513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45513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45513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45513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45513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45513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45513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45513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45513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45513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45513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45513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45513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45513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45513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45513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45513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45513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45513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45513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45513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45513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45513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45513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45513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45513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45513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45513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45513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45513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45513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45513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45513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45513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45513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45513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45513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45513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45513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45513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45513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45513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45513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45513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45513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45513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45513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45513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45513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45513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45513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45513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45513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45513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45513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45513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45513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45513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45513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45513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45513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45513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45513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45513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45513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45513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45513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45513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45513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45513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45513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45513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45513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45513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45513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45513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45513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45513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45513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45513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45513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45513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45513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45513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45513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45513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45513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45513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45513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45513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45513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45513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45513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45513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45513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45513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45513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45513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45513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45513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45513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45513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45513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45513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45513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45513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45513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45513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45513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45513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45513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45513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45513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45513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45513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45513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45513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45513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45513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45513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45513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45513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45513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45513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45513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45513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45513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45513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45513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45513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45513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45513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45513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45513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45513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45513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45513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45513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45513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45513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45513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45513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45513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45513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45513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45513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45513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45513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45513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45513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45513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45513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45513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45513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45513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45513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45513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45513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45513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45513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45513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45513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45513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45513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45513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45513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45513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45513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45513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45513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45513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45513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45513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45513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45513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45513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45513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45513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45513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45513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45513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45513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45513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45513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45513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45513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45513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45513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45513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45513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45513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45513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45513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45513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45513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45513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45513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45513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45513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45513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45513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45513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45513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45513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45513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45513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45513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45513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45513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45513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45513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45513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45513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45513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45513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45513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45513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45513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45513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45513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45513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45513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45513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45513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45513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45513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45513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45513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45513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45513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45513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45513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45513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45513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45513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45513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45513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45513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45513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45513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45513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45513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45513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45513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45513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45513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45513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45513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45513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45513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45513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45513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45513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45513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45513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45513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45513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45513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45513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45513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45513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45513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45513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45513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45513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45513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45513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45513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45513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45513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45513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45513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45513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45513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45513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45513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45513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45513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45513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45513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45513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45513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45513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45513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45513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45513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45513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45513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45513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45513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45513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45513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45513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45513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45513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45513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45513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45513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45513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45513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45513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45513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45513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45513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45513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45513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45513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45513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45513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45513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45513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45513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45513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45513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45513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45513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45513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45513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45513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45513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45513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45513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45513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45513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45513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45513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45513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45513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45513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45513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45513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45513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45513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45513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45513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45513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45513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45513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45513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45513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45513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45513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45513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45513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45513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45513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45513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45513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45513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45513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45513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45513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45513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45513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45513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45513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45513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45513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45513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45513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45513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45513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45513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45513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45513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45513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45513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45513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45513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45513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45513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45513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45513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45513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45513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45513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45513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45513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45513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45513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45513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45513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45513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45513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45513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45513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45513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45513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45513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45513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45513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45513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45513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45513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45513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45513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45513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45513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45513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45513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45513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45513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45513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45513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45513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45513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45513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45513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45513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45513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45513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45513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45513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45513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45513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45513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45513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45513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45513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45513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45513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45513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45513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45513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45513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45513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45513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45513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45513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45513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45513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45513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45513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45513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45513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45513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45513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45513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45513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45513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45513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45513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45513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45513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45513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45513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45513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45513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45513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45513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45513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45513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45513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45513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45513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45513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45513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45513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45513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45513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45513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45513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45513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45513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45513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45513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45513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45513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45513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45513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45513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45513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45513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45513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45513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45513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45513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45513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45513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45513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45513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45513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45513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45513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45513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45513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45513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45513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45513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45513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45513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45513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45513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45513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45513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45513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45513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45513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45513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45513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45513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45513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45513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45513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45513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45513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45513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45513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45513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45513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45513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45513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45513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45513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45513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45513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45513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45513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45513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45513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45513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45513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45513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45513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45513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45513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45513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45513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45513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45513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45513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45513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45513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45513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45513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45513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45513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45513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45513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45513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45513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45513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45513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45513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45513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45513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45513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45513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45513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45513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45513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45513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45513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45513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45513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45513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45513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45513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45513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45513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45513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45513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45513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45513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45513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45513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45513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45513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45513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45513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45513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45513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45513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45513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45513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45513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45513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45513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45513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45513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45513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45513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45513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45513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45513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45513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45513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45513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45513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45513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45513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45513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45513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45513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45513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45513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45513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45513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45513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45513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45513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45513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45513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45513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45513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45513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45513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45513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45513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45513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45513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45513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45513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45513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45513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45513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45513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45513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45513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45513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45513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45513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45513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45513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45513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45513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45513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45513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45513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45513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45513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45513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45513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45513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45513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45513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45513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45513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45513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45513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45513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45513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45513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45513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45513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45513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45513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45513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45513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45513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45513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45513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45513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45513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45513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45513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45513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45513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45513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45513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45513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45513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45513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45513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45513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45513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45513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45513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45513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45513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45513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45513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45513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45513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45513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45513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45513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45513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45513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45513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45513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45513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45513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45513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45513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45513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45513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45513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45513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45513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45513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45513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45513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45513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45513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45513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45513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45513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45513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45513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45513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45513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45513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45513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45513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45513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45513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45513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45513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45513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45513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45513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45513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45513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45513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45513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45513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45513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45513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45513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45513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45513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45513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45513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45513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45513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45513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45513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45513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45513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45513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45513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45513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45513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45513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45513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45513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45513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45513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45513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45513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45513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45513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45513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45513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45513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45513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45513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45513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45513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45513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45513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45513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45513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45513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45513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45513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45513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45513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45513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45513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45513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45513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45513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45513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45513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45513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45513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45513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45513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45513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45513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45513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45513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45513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45513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45513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45513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45513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45513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45513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45513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45513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45513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45513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45513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45513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45513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45513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45513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45513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45513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45513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45513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45513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45513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45513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45513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45513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45513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45513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45513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45513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45513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45513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45513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45513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45513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45513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45513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45513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45513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45513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45513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45513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45513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45513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45513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45513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45513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45513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45513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45513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45513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45513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45513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45513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45513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45513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45513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45513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45513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45513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45513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45513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45513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45513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45513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45513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45513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45513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45513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45513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45513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45513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45513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45513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45513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45513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45513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45513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45513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45513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45513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45513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45513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45513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45513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45513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45513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45513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45513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45513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45513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45513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45513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45513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45513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45513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45513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45513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45513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45513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45513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45513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45513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45513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45513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45513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45513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45513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45513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45513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45513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45513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45513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45513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45513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45513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45513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45513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45513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45513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45513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45513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45513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45513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45513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45513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45513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45513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45513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45513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45513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45513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45513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45513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45513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45513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45513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45513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45513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45513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45513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45513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45513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45513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45513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45513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45513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45513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45513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45513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45513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45513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45513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45513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45513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45513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45513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45513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45513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45513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45513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45513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45513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45513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45513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45513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45513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45513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45513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45513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45513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45513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45513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45513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45513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45513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45513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45513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45513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45513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45513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45513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45513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45513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45513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45513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45513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45513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45513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45513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45513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45513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45513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45513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45513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45513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45513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45513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45513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45513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45513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45513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45513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45513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45513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45513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45513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45513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45513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45513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45513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45513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45513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45513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45513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45513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45513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45513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45513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45513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45513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45513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45513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45513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45513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45513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45513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45513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45513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45513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45513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45513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45513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45513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45513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27982-2024</t>
        </is>
      </c>
      <c r="B9588" s="1" t="n">
        <v>45476</v>
      </c>
      <c r="C9588" s="1" t="n">
        <v>45513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28068-2024</t>
        </is>
      </c>
      <c r="B9589" s="1" t="n">
        <v>45476</v>
      </c>
      <c r="C9589" s="1" t="n">
        <v>45513</v>
      </c>
      <c r="D9589" t="inlineStr">
        <is>
          <t>ÖSTERGÖTLANDS LÄN</t>
        </is>
      </c>
      <c r="E9589" t="inlineStr">
        <is>
          <t>KINDA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45513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28045-2024</t>
        </is>
      </c>
      <c r="B9591" s="1" t="n">
        <v>45476</v>
      </c>
      <c r="C9591" s="1" t="n">
        <v>45513</v>
      </c>
      <c r="D9591" t="inlineStr">
        <is>
          <t>ÖSTERGÖTLANDS LÄN</t>
        </is>
      </c>
      <c r="E9591" t="inlineStr">
        <is>
          <t>KINDA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28059-2024</t>
        </is>
      </c>
      <c r="B9592" s="1" t="n">
        <v>45476</v>
      </c>
      <c r="C9592" s="1" t="n">
        <v>45513</v>
      </c>
      <c r="D9592" t="inlineStr">
        <is>
          <t>ÖSTERGÖTLANDS LÄN</t>
        </is>
      </c>
      <c r="E9592" t="inlineStr">
        <is>
          <t>KINDA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45513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27959-2024</t>
        </is>
      </c>
      <c r="B9594" s="1" t="n">
        <v>45476</v>
      </c>
      <c r="C9594" s="1" t="n">
        <v>45513</v>
      </c>
      <c r="D9594" t="inlineStr">
        <is>
          <t>ÖSTERGÖTLANDS LÄN</t>
        </is>
      </c>
      <c r="E9594" t="inlineStr">
        <is>
          <t>KINDA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27965-2024</t>
        </is>
      </c>
      <c r="B9595" s="1" t="n">
        <v>45476</v>
      </c>
      <c r="C9595" s="1" t="n">
        <v>45513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28480-2024</t>
        </is>
      </c>
      <c r="B9596" s="1" t="n">
        <v>45477</v>
      </c>
      <c r="C9596" s="1" t="n">
        <v>45513</v>
      </c>
      <c r="D9596" t="inlineStr">
        <is>
          <t>ÖSTERGÖTLANDS LÄN</t>
        </is>
      </c>
      <c r="E9596" t="inlineStr">
        <is>
          <t>LINKÖPING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28464-2024</t>
        </is>
      </c>
      <c r="B9597" s="1" t="n">
        <v>45477</v>
      </c>
      <c r="C9597" s="1" t="n">
        <v>45513</v>
      </c>
      <c r="D9597" t="inlineStr">
        <is>
          <t>ÖSTERGÖTLANDS LÄN</t>
        </is>
      </c>
      <c r="E9597" t="inlineStr">
        <is>
          <t>LINKÖPING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28295-2024</t>
        </is>
      </c>
      <c r="B9598" s="1" t="n">
        <v>45477</v>
      </c>
      <c r="C9598" s="1" t="n">
        <v>45513</v>
      </c>
      <c r="D9598" t="inlineStr">
        <is>
          <t>ÖSTERGÖTLANDS LÄN</t>
        </is>
      </c>
      <c r="E9598" t="inlineStr">
        <is>
          <t>NORRKÖPING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28398-2024</t>
        </is>
      </c>
      <c r="B9599" s="1" t="n">
        <v>45477</v>
      </c>
      <c r="C9599" s="1" t="n">
        <v>45513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Naturvårdsverket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28313-2024</t>
        </is>
      </c>
      <c r="B9600" s="1" t="n">
        <v>45477</v>
      </c>
      <c r="C9600" s="1" t="n">
        <v>45513</v>
      </c>
      <c r="D9600" t="inlineStr">
        <is>
          <t>ÖSTERGÖTLANDS LÄN</t>
        </is>
      </c>
      <c r="E9600" t="inlineStr">
        <is>
          <t>NORRKÖPING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28362-2024</t>
        </is>
      </c>
      <c r="B9601" s="1" t="n">
        <v>45477</v>
      </c>
      <c r="C9601" s="1" t="n">
        <v>45513</v>
      </c>
      <c r="D9601" t="inlineStr">
        <is>
          <t>ÖSTERGÖTLANDS LÄN</t>
        </is>
      </c>
      <c r="E9601" t="inlineStr">
        <is>
          <t>ÅTVIDABERG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28286-2024</t>
        </is>
      </c>
      <c r="B9602" s="1" t="n">
        <v>45477</v>
      </c>
      <c r="C9602" s="1" t="n">
        <v>45513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Övriga Aktiebolag</t>
        </is>
      </c>
      <c r="G9602" t="n">
        <v>10.5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28486-2024</t>
        </is>
      </c>
      <c r="B9603" s="1" t="n">
        <v>45477</v>
      </c>
      <c r="C9603" s="1" t="n">
        <v>45513</v>
      </c>
      <c r="D9603" t="inlineStr">
        <is>
          <t>ÖSTERGÖTLANDS LÄN</t>
        </is>
      </c>
      <c r="E9603" t="inlineStr">
        <is>
          <t>LINKÖPING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28482-2024</t>
        </is>
      </c>
      <c r="B9604" s="1" t="n">
        <v>45477</v>
      </c>
      <c r="C9604" s="1" t="n">
        <v>45513</v>
      </c>
      <c r="D9604" t="inlineStr">
        <is>
          <t>ÖSTERGÖTLANDS LÄN</t>
        </is>
      </c>
      <c r="E9604" t="inlineStr">
        <is>
          <t>LINKÖPING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28178-2024</t>
        </is>
      </c>
      <c r="B9605" s="1" t="n">
        <v>45477</v>
      </c>
      <c r="C9605" s="1" t="n">
        <v>45513</v>
      </c>
      <c r="D9605" t="inlineStr">
        <is>
          <t>ÖSTERGÖTLANDS LÄN</t>
        </is>
      </c>
      <c r="E9605" t="inlineStr">
        <is>
          <t>KINDA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28266-2024</t>
        </is>
      </c>
      <c r="B9606" s="1" t="n">
        <v>45477</v>
      </c>
      <c r="C9606" s="1" t="n">
        <v>45513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28255-2024</t>
        </is>
      </c>
      <c r="B9607" s="1" t="n">
        <v>45477</v>
      </c>
      <c r="C9607" s="1" t="n">
        <v>45513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8.800000000000001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28252-2024</t>
        </is>
      </c>
      <c r="B9608" s="1" t="n">
        <v>45477</v>
      </c>
      <c r="C9608" s="1" t="n">
        <v>45513</v>
      </c>
      <c r="D9608" t="inlineStr">
        <is>
          <t>ÖSTERGÖTLANDS LÄN</t>
        </is>
      </c>
      <c r="E9608" t="inlineStr">
        <is>
          <t>ÖDESHÖG</t>
        </is>
      </c>
      <c r="F9608" t="inlineStr">
        <is>
          <t>Sveaskog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28198-2024</t>
        </is>
      </c>
      <c r="B9609" s="1" t="n">
        <v>45477</v>
      </c>
      <c r="C9609" s="1" t="n">
        <v>45513</v>
      </c>
      <c r="D9609" t="inlineStr">
        <is>
          <t>ÖSTERGÖTLANDS LÄN</t>
        </is>
      </c>
      <c r="E9609" t="inlineStr">
        <is>
          <t>KINDA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28551-2024</t>
        </is>
      </c>
      <c r="B9610" s="1" t="n">
        <v>45478</v>
      </c>
      <c r="C9610" s="1" t="n">
        <v>45513</v>
      </c>
      <c r="D9610" t="inlineStr">
        <is>
          <t>ÖSTERGÖTLANDS LÄN</t>
        </is>
      </c>
      <c r="E9610" t="inlineStr">
        <is>
          <t>SÖDERKÖPING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28578-2024</t>
        </is>
      </c>
      <c r="B9611" s="1" t="n">
        <v>45478</v>
      </c>
      <c r="C9611" s="1" t="n">
        <v>45513</v>
      </c>
      <c r="D9611" t="inlineStr">
        <is>
          <t>ÖSTERGÖTLANDS LÄN</t>
        </is>
      </c>
      <c r="E9611" t="inlineStr">
        <is>
          <t>SÖDERKÖPING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28606-2024</t>
        </is>
      </c>
      <c r="B9612" s="1" t="n">
        <v>45478</v>
      </c>
      <c r="C9612" s="1" t="n">
        <v>45513</v>
      </c>
      <c r="D9612" t="inlineStr">
        <is>
          <t>ÖSTERGÖTLANDS LÄN</t>
        </is>
      </c>
      <c r="E9612" t="inlineStr">
        <is>
          <t>SÖDERKÖPING</t>
        </is>
      </c>
      <c r="G9612" t="n">
        <v>3.8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28663-2024</t>
        </is>
      </c>
      <c r="B9613" s="1" t="n">
        <v>45478</v>
      </c>
      <c r="C9613" s="1" t="n">
        <v>45513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28756-2024</t>
        </is>
      </c>
      <c r="B9614" s="1" t="n">
        <v>45478</v>
      </c>
      <c r="C9614" s="1" t="n">
        <v>45513</v>
      </c>
      <c r="D9614" t="inlineStr">
        <is>
          <t>ÖSTERGÖTLANDS LÄN</t>
        </is>
      </c>
      <c r="E9614" t="inlineStr">
        <is>
          <t>ÅTVIDABERG</t>
        </is>
      </c>
      <c r="G9614" t="n">
        <v>12.6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28585-2024</t>
        </is>
      </c>
      <c r="B9615" s="1" t="n">
        <v>45478</v>
      </c>
      <c r="C9615" s="1" t="n">
        <v>45513</v>
      </c>
      <c r="D9615" t="inlineStr">
        <is>
          <t>ÖSTERGÖTLANDS LÄN</t>
        </is>
      </c>
      <c r="E9615" t="inlineStr">
        <is>
          <t>SÖDERKÖPING</t>
        </is>
      </c>
      <c r="G9615" t="n">
        <v>7.5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28600-2024</t>
        </is>
      </c>
      <c r="B9616" s="1" t="n">
        <v>45478</v>
      </c>
      <c r="C9616" s="1" t="n">
        <v>45513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Holmen skog AB</t>
        </is>
      </c>
      <c r="G9616" t="n">
        <v>0.4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28842-2024</t>
        </is>
      </c>
      <c r="B9617" s="1" t="n">
        <v>45478</v>
      </c>
      <c r="C9617" s="1" t="n">
        <v>45513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28665-2024</t>
        </is>
      </c>
      <c r="B9618" s="1" t="n">
        <v>45478</v>
      </c>
      <c r="C9618" s="1" t="n">
        <v>45513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Holmen skog AB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28689-2024</t>
        </is>
      </c>
      <c r="B9619" s="1" t="n">
        <v>45478</v>
      </c>
      <c r="C9619" s="1" t="n">
        <v>45513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28693-2024</t>
        </is>
      </c>
      <c r="B9620" s="1" t="n">
        <v>45478</v>
      </c>
      <c r="C9620" s="1" t="n">
        <v>45513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28601-2024</t>
        </is>
      </c>
      <c r="B9621" s="1" t="n">
        <v>45478</v>
      </c>
      <c r="C9621" s="1" t="n">
        <v>45513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28625-2024</t>
        </is>
      </c>
      <c r="B9622" s="1" t="n">
        <v>45478</v>
      </c>
      <c r="C9622" s="1" t="n">
        <v>45513</v>
      </c>
      <c r="D9622" t="inlineStr">
        <is>
          <t>ÖSTERGÖTLANDS LÄN</t>
        </is>
      </c>
      <c r="E9622" t="inlineStr">
        <is>
          <t>SÖDERKÖPING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28844-2024</t>
        </is>
      </c>
      <c r="B9623" s="1" t="n">
        <v>45478</v>
      </c>
      <c r="C9623" s="1" t="n">
        <v>45513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4.5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29044-2024</t>
        </is>
      </c>
      <c r="B9624" s="1" t="n">
        <v>45481</v>
      </c>
      <c r="C9624" s="1" t="n">
        <v>45513</v>
      </c>
      <c r="D9624" t="inlineStr">
        <is>
          <t>ÖSTERGÖTLANDS LÄN</t>
        </is>
      </c>
      <c r="E9624" t="inlineStr">
        <is>
          <t>VALDEMARSVIK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29047-2024</t>
        </is>
      </c>
      <c r="B9625" s="1" t="n">
        <v>45481</v>
      </c>
      <c r="C9625" s="1" t="n">
        <v>45513</v>
      </c>
      <c r="D9625" t="inlineStr">
        <is>
          <t>ÖSTERGÖTLANDS LÄN</t>
        </is>
      </c>
      <c r="E9625" t="inlineStr">
        <is>
          <t>SÖDERKÖPING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29041-2024</t>
        </is>
      </c>
      <c r="B9626" s="1" t="n">
        <v>45481</v>
      </c>
      <c r="C9626" s="1" t="n">
        <v>45513</v>
      </c>
      <c r="D9626" t="inlineStr">
        <is>
          <t>ÖSTERGÖTLANDS LÄN</t>
        </is>
      </c>
      <c r="E9626" t="inlineStr">
        <is>
          <t>VALDEMARSVIK</t>
        </is>
      </c>
      <c r="G9626" t="n">
        <v>3.9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28994-2024</t>
        </is>
      </c>
      <c r="B9627" s="1" t="n">
        <v>45481</v>
      </c>
      <c r="C9627" s="1" t="n">
        <v>45513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29050-2024</t>
        </is>
      </c>
      <c r="B9628" s="1" t="n">
        <v>45481</v>
      </c>
      <c r="C9628" s="1" t="n">
        <v>45513</v>
      </c>
      <c r="D9628" t="inlineStr">
        <is>
          <t>ÖSTERGÖTLANDS LÄN</t>
        </is>
      </c>
      <c r="E9628" t="inlineStr">
        <is>
          <t>KINDA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28967-2024</t>
        </is>
      </c>
      <c r="B9629" s="1" t="n">
        <v>45481</v>
      </c>
      <c r="C9629" s="1" t="n">
        <v>45513</v>
      </c>
      <c r="D9629" t="inlineStr">
        <is>
          <t>ÖSTERGÖTLANDS LÄN</t>
        </is>
      </c>
      <c r="E9629" t="inlineStr">
        <is>
          <t>KINDA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29052-2024</t>
        </is>
      </c>
      <c r="B9630" s="1" t="n">
        <v>45481</v>
      </c>
      <c r="C9630" s="1" t="n">
        <v>45513</v>
      </c>
      <c r="D9630" t="inlineStr">
        <is>
          <t>ÖSTERGÖTLANDS LÄN</t>
        </is>
      </c>
      <c r="E9630" t="inlineStr">
        <is>
          <t>NORRKÖPING</t>
        </is>
      </c>
      <c r="G9630" t="n">
        <v>9.5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29226-2024</t>
        </is>
      </c>
      <c r="B9631" s="1" t="n">
        <v>45482</v>
      </c>
      <c r="C9631" s="1" t="n">
        <v>45513</v>
      </c>
      <c r="D9631" t="inlineStr">
        <is>
          <t>ÖSTERGÖTLANDS LÄN</t>
        </is>
      </c>
      <c r="E9631" t="inlineStr">
        <is>
          <t>MOTALA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29222-2024</t>
        </is>
      </c>
      <c r="B9632" s="1" t="n">
        <v>45482</v>
      </c>
      <c r="C9632" s="1" t="n">
        <v>45513</v>
      </c>
      <c r="D9632" t="inlineStr">
        <is>
          <t>ÖSTERGÖTLANDS LÄN</t>
        </is>
      </c>
      <c r="E9632" t="inlineStr">
        <is>
          <t>MOTALA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29228-2024</t>
        </is>
      </c>
      <c r="B9633" s="1" t="n">
        <v>45482</v>
      </c>
      <c r="C9633" s="1" t="n">
        <v>45513</v>
      </c>
      <c r="D9633" t="inlineStr">
        <is>
          <t>ÖSTERGÖTLANDS LÄN</t>
        </is>
      </c>
      <c r="E9633" t="inlineStr">
        <is>
          <t>MOTALA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29303-2024</t>
        </is>
      </c>
      <c r="B9634" s="1" t="n">
        <v>45483</v>
      </c>
      <c r="C9634" s="1" t="n">
        <v>45513</v>
      </c>
      <c r="D9634" t="inlineStr">
        <is>
          <t>ÖSTERGÖTLANDS LÄN</t>
        </is>
      </c>
      <c r="E9634" t="inlineStr">
        <is>
          <t>LINKÖPING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29309-2024</t>
        </is>
      </c>
      <c r="B9635" s="1" t="n">
        <v>45483</v>
      </c>
      <c r="C9635" s="1" t="n">
        <v>45513</v>
      </c>
      <c r="D9635" t="inlineStr">
        <is>
          <t>ÖSTERGÖTLANDS LÄN</t>
        </is>
      </c>
      <c r="E9635" t="inlineStr">
        <is>
          <t>LINKÖPING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29325-2024</t>
        </is>
      </c>
      <c r="B9636" s="1" t="n">
        <v>45483</v>
      </c>
      <c r="C9636" s="1" t="n">
        <v>45513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5.9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29349-2024</t>
        </is>
      </c>
      <c r="B9637" s="1" t="n">
        <v>45483</v>
      </c>
      <c r="C9637" s="1" t="n">
        <v>45513</v>
      </c>
      <c r="D9637" t="inlineStr">
        <is>
          <t>ÖSTERGÖTLANDS LÄN</t>
        </is>
      </c>
      <c r="E9637" t="inlineStr">
        <is>
          <t>ÅTVIDABERG</t>
        </is>
      </c>
      <c r="G9637" t="n">
        <v>2.8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29445-2024</t>
        </is>
      </c>
      <c r="B9638" s="1" t="n">
        <v>45483</v>
      </c>
      <c r="C9638" s="1" t="n">
        <v>45513</v>
      </c>
      <c r="D9638" t="inlineStr">
        <is>
          <t>ÖSTERGÖTLANDS LÄN</t>
        </is>
      </c>
      <c r="E9638" t="inlineStr">
        <is>
          <t>KINDA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29443-2024</t>
        </is>
      </c>
      <c r="B9639" s="1" t="n">
        <v>45483</v>
      </c>
      <c r="C9639" s="1" t="n">
        <v>45513</v>
      </c>
      <c r="D9639" t="inlineStr">
        <is>
          <t>ÖSTERGÖTLANDS LÄN</t>
        </is>
      </c>
      <c r="E9639" t="inlineStr">
        <is>
          <t>KINDA</t>
        </is>
      </c>
      <c r="G9639" t="n">
        <v>5.4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29447-2024</t>
        </is>
      </c>
      <c r="B9640" s="1" t="n">
        <v>45483</v>
      </c>
      <c r="C9640" s="1" t="n">
        <v>45513</v>
      </c>
      <c r="D9640" t="inlineStr">
        <is>
          <t>ÖSTERGÖTLANDS LÄN</t>
        </is>
      </c>
      <c r="E9640" t="inlineStr">
        <is>
          <t>KINDA</t>
        </is>
      </c>
      <c r="G9640" t="n">
        <v>2.5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29324-2024</t>
        </is>
      </c>
      <c r="B9641" s="1" t="n">
        <v>45483</v>
      </c>
      <c r="C9641" s="1" t="n">
        <v>45513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5.4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29442-2024</t>
        </is>
      </c>
      <c r="B9642" s="1" t="n">
        <v>45483</v>
      </c>
      <c r="C9642" s="1" t="n">
        <v>45513</v>
      </c>
      <c r="D9642" t="inlineStr">
        <is>
          <t>ÖSTERGÖTLANDS LÄN</t>
        </is>
      </c>
      <c r="E9642" t="inlineStr">
        <is>
          <t>KINDA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29312-2024</t>
        </is>
      </c>
      <c r="B9643" s="1" t="n">
        <v>45483</v>
      </c>
      <c r="C9643" s="1" t="n">
        <v>45513</v>
      </c>
      <c r="D9643" t="inlineStr">
        <is>
          <t>ÖSTERGÖTLANDS LÄN</t>
        </is>
      </c>
      <c r="E9643" t="inlineStr">
        <is>
          <t>LINKÖPING</t>
        </is>
      </c>
      <c r="G9643" t="n">
        <v>2.1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29307-2024</t>
        </is>
      </c>
      <c r="B9644" s="1" t="n">
        <v>45483</v>
      </c>
      <c r="C9644" s="1" t="n">
        <v>45513</v>
      </c>
      <c r="D9644" t="inlineStr">
        <is>
          <t>ÖSTERGÖTLANDS LÄN</t>
        </is>
      </c>
      <c r="E9644" t="inlineStr">
        <is>
          <t>LINKÖPING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29446-2024</t>
        </is>
      </c>
      <c r="B9645" s="1" t="n">
        <v>45483</v>
      </c>
      <c r="C9645" s="1" t="n">
        <v>45513</v>
      </c>
      <c r="D9645" t="inlineStr">
        <is>
          <t>ÖSTERGÖTLANDS LÄN</t>
        </is>
      </c>
      <c r="E9645" t="inlineStr">
        <is>
          <t>KINDA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29525-2024</t>
        </is>
      </c>
      <c r="B9646" s="1" t="n">
        <v>45484</v>
      </c>
      <c r="C9646" s="1" t="n">
        <v>45513</v>
      </c>
      <c r="D9646" t="inlineStr">
        <is>
          <t>ÖSTERGÖTLANDS LÄN</t>
        </is>
      </c>
      <c r="E9646" t="inlineStr">
        <is>
          <t>MOTALA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29507-2024</t>
        </is>
      </c>
      <c r="B9647" s="1" t="n">
        <v>45484</v>
      </c>
      <c r="C9647" s="1" t="n">
        <v>45513</v>
      </c>
      <c r="D9647" t="inlineStr">
        <is>
          <t>ÖSTERGÖTLANDS LÄN</t>
        </is>
      </c>
      <c r="E9647" t="inlineStr">
        <is>
          <t>KINDA</t>
        </is>
      </c>
      <c r="G9647" t="n">
        <v>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29523-2024</t>
        </is>
      </c>
      <c r="B9648" s="1" t="n">
        <v>45484</v>
      </c>
      <c r="C9648" s="1" t="n">
        <v>45513</v>
      </c>
      <c r="D9648" t="inlineStr">
        <is>
          <t>ÖSTERGÖTLANDS LÄN</t>
        </is>
      </c>
      <c r="E9648" t="inlineStr">
        <is>
          <t>MOTALA</t>
        </is>
      </c>
      <c r="G9648" t="n">
        <v>4.8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29516-2024</t>
        </is>
      </c>
      <c r="B9649" s="1" t="n">
        <v>45484</v>
      </c>
      <c r="C9649" s="1" t="n">
        <v>45513</v>
      </c>
      <c r="D9649" t="inlineStr">
        <is>
          <t>ÖSTERGÖTLANDS LÄN</t>
        </is>
      </c>
      <c r="E9649" t="inlineStr">
        <is>
          <t>KINDA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29628-2024</t>
        </is>
      </c>
      <c r="B9650" s="1" t="n">
        <v>45484</v>
      </c>
      <c r="C9650" s="1" t="n">
        <v>45513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Holmen skog AB</t>
        </is>
      </c>
      <c r="G9650" t="n">
        <v>6.4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29607-2024</t>
        </is>
      </c>
      <c r="B9651" s="1" t="n">
        <v>45484</v>
      </c>
      <c r="C9651" s="1" t="n">
        <v>45513</v>
      </c>
      <c r="D9651" t="inlineStr">
        <is>
          <t>ÖSTERGÖTLANDS LÄN</t>
        </is>
      </c>
      <c r="E9651" t="inlineStr">
        <is>
          <t>YDRE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29615-2024</t>
        </is>
      </c>
      <c r="B9652" s="1" t="n">
        <v>45484</v>
      </c>
      <c r="C9652" s="1" t="n">
        <v>45513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Holmen skog AB</t>
        </is>
      </c>
      <c r="G9652" t="n">
        <v>7.3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29605-2024</t>
        </is>
      </c>
      <c r="B9653" s="1" t="n">
        <v>45484</v>
      </c>
      <c r="C9653" s="1" t="n">
        <v>45513</v>
      </c>
      <c r="D9653" t="inlineStr">
        <is>
          <t>ÖSTERGÖTLANDS LÄN</t>
        </is>
      </c>
      <c r="E9653" t="inlineStr">
        <is>
          <t>YDRE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29703-2024</t>
        </is>
      </c>
      <c r="B9654" s="1" t="n">
        <v>45485</v>
      </c>
      <c r="C9654" s="1" t="n">
        <v>45513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Holmen skog AB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29727-2024</t>
        </is>
      </c>
      <c r="B9655" s="1" t="n">
        <v>45485</v>
      </c>
      <c r="C9655" s="1" t="n">
        <v>45513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Holmen skog AB</t>
        </is>
      </c>
      <c r="G9655" t="n">
        <v>5.2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29794-2024</t>
        </is>
      </c>
      <c r="B9656" s="1" t="n">
        <v>45485</v>
      </c>
      <c r="C9656" s="1" t="n">
        <v>45513</v>
      </c>
      <c r="D9656" t="inlineStr">
        <is>
          <t>ÖSTERGÖTLANDS LÄN</t>
        </is>
      </c>
      <c r="E9656" t="inlineStr">
        <is>
          <t>KINDA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29806-2024</t>
        </is>
      </c>
      <c r="B9657" s="1" t="n">
        <v>45485</v>
      </c>
      <c r="C9657" s="1" t="n">
        <v>45513</v>
      </c>
      <c r="D9657" t="inlineStr">
        <is>
          <t>ÖSTERGÖTLANDS LÄN</t>
        </is>
      </c>
      <c r="E9657" t="inlineStr">
        <is>
          <t>NORRKÖPING</t>
        </is>
      </c>
      <c r="G9657" t="n">
        <v>7.3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29741-2024</t>
        </is>
      </c>
      <c r="B9658" s="1" t="n">
        <v>45485</v>
      </c>
      <c r="C9658" s="1" t="n">
        <v>45513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2.9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29777-2024</t>
        </is>
      </c>
      <c r="B9659" s="1" t="n">
        <v>45485</v>
      </c>
      <c r="C9659" s="1" t="n">
        <v>45513</v>
      </c>
      <c r="D9659" t="inlineStr">
        <is>
          <t>ÖSTERGÖTLANDS LÄN</t>
        </is>
      </c>
      <c r="E9659" t="inlineStr">
        <is>
          <t>VALDEMARSVIK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29825-2024</t>
        </is>
      </c>
      <c r="B9660" s="1" t="n">
        <v>45485</v>
      </c>
      <c r="C9660" s="1" t="n">
        <v>45513</v>
      </c>
      <c r="D9660" t="inlineStr">
        <is>
          <t>ÖSTERGÖTLANDS LÄN</t>
        </is>
      </c>
      <c r="E9660" t="inlineStr">
        <is>
          <t>ÅTVIDABERG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29716-2024</t>
        </is>
      </c>
      <c r="B9661" s="1" t="n">
        <v>45485</v>
      </c>
      <c r="C9661" s="1" t="n">
        <v>45513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11.4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29776-2024</t>
        </is>
      </c>
      <c r="B9662" s="1" t="n">
        <v>45485</v>
      </c>
      <c r="C9662" s="1" t="n">
        <v>45513</v>
      </c>
      <c r="D9662" t="inlineStr">
        <is>
          <t>ÖSTERGÖTLANDS LÄN</t>
        </is>
      </c>
      <c r="E9662" t="inlineStr">
        <is>
          <t>VALDEMARSVIK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29792-2024</t>
        </is>
      </c>
      <c r="B9663" s="1" t="n">
        <v>45485</v>
      </c>
      <c r="C9663" s="1" t="n">
        <v>45513</v>
      </c>
      <c r="D9663" t="inlineStr">
        <is>
          <t>ÖSTERGÖTLANDS LÄN</t>
        </is>
      </c>
      <c r="E9663" t="inlineStr">
        <is>
          <t>KINDA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29822-2024</t>
        </is>
      </c>
      <c r="B9664" s="1" t="n">
        <v>45485</v>
      </c>
      <c r="C9664" s="1" t="n">
        <v>45513</v>
      </c>
      <c r="D9664" t="inlineStr">
        <is>
          <t>ÖSTERGÖTLANDS LÄN</t>
        </is>
      </c>
      <c r="E9664" t="inlineStr">
        <is>
          <t>ÅTVIDABERG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29826-2024</t>
        </is>
      </c>
      <c r="B9665" s="1" t="n">
        <v>45485</v>
      </c>
      <c r="C9665" s="1" t="n">
        <v>45513</v>
      </c>
      <c r="D9665" t="inlineStr">
        <is>
          <t>ÖSTERGÖTLANDS LÄN</t>
        </is>
      </c>
      <c r="E9665" t="inlineStr">
        <is>
          <t>ÅTVIDABERG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29846-2024</t>
        </is>
      </c>
      <c r="B9666" s="1" t="n">
        <v>45485</v>
      </c>
      <c r="C9666" s="1" t="n">
        <v>45513</v>
      </c>
      <c r="D9666" t="inlineStr">
        <is>
          <t>ÖSTERGÖTLANDS LÄN</t>
        </is>
      </c>
      <c r="E9666" t="inlineStr">
        <is>
          <t>NORRKÖPING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29858-2024</t>
        </is>
      </c>
      <c r="B9667" s="1" t="n">
        <v>45485</v>
      </c>
      <c r="C9667" s="1" t="n">
        <v>45513</v>
      </c>
      <c r="D9667" t="inlineStr">
        <is>
          <t>ÖSTERGÖTLANDS LÄN</t>
        </is>
      </c>
      <c r="E9667" t="inlineStr">
        <is>
          <t>LINKÖPING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29859-2024</t>
        </is>
      </c>
      <c r="B9668" s="1" t="n">
        <v>45485</v>
      </c>
      <c r="C9668" s="1" t="n">
        <v>45513</v>
      </c>
      <c r="D9668" t="inlineStr">
        <is>
          <t>ÖSTERGÖTLANDS LÄN</t>
        </is>
      </c>
      <c r="E9668" t="inlineStr">
        <is>
          <t>LINKÖPING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29857-2024</t>
        </is>
      </c>
      <c r="B9669" s="1" t="n">
        <v>45485</v>
      </c>
      <c r="C9669" s="1" t="n">
        <v>45513</v>
      </c>
      <c r="D9669" t="inlineStr">
        <is>
          <t>ÖSTERGÖTLANDS LÄN</t>
        </is>
      </c>
      <c r="E9669" t="inlineStr">
        <is>
          <t>NORRKÖPING</t>
        </is>
      </c>
      <c r="F9669" t="inlineStr">
        <is>
          <t>Kommuner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30088-2024</t>
        </is>
      </c>
      <c r="B9670" s="1" t="n">
        <v>45485</v>
      </c>
      <c r="C9670" s="1" t="n">
        <v>45513</v>
      </c>
      <c r="D9670" t="inlineStr">
        <is>
          <t>ÖSTERGÖTLANDS LÄN</t>
        </is>
      </c>
      <c r="E9670" t="inlineStr">
        <is>
          <t>YDRE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30084-2024</t>
        </is>
      </c>
      <c r="B9671" s="1" t="n">
        <v>45485</v>
      </c>
      <c r="C9671" s="1" t="n">
        <v>45513</v>
      </c>
      <c r="D9671" t="inlineStr">
        <is>
          <t>ÖSTERGÖTLANDS LÄN</t>
        </is>
      </c>
      <c r="E9671" t="inlineStr">
        <is>
          <t>YDRE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30085-2024</t>
        </is>
      </c>
      <c r="B9672" s="1" t="n">
        <v>45485</v>
      </c>
      <c r="C9672" s="1" t="n">
        <v>45513</v>
      </c>
      <c r="D9672" t="inlineStr">
        <is>
          <t>ÖSTERGÖTLANDS LÄN</t>
        </is>
      </c>
      <c r="E9672" t="inlineStr">
        <is>
          <t>YDRE</t>
        </is>
      </c>
      <c r="G9672" t="n">
        <v>4.2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29976-2024</t>
        </is>
      </c>
      <c r="B9673" s="1" t="n">
        <v>45488</v>
      </c>
      <c r="C9673" s="1" t="n">
        <v>45513</v>
      </c>
      <c r="D9673" t="inlineStr">
        <is>
          <t>ÖSTERGÖTLANDS LÄN</t>
        </is>
      </c>
      <c r="E9673" t="inlineStr">
        <is>
          <t>MOTALA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30030-2024</t>
        </is>
      </c>
      <c r="B9674" s="1" t="n">
        <v>45488</v>
      </c>
      <c r="C9674" s="1" t="n">
        <v>45513</v>
      </c>
      <c r="D9674" t="inlineStr">
        <is>
          <t>ÖSTERGÖTLANDS LÄN</t>
        </is>
      </c>
      <c r="E9674" t="inlineStr">
        <is>
          <t>NORRKÖPING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30111-2024</t>
        </is>
      </c>
      <c r="B9675" s="1" t="n">
        <v>45489</v>
      </c>
      <c r="C9675" s="1" t="n">
        <v>45513</v>
      </c>
      <c r="D9675" t="inlineStr">
        <is>
          <t>ÖSTERGÖTLANDS LÄN</t>
        </is>
      </c>
      <c r="E9675" t="inlineStr">
        <is>
          <t>LINKÖPING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30119-2024</t>
        </is>
      </c>
      <c r="B9676" s="1" t="n">
        <v>45489</v>
      </c>
      <c r="C9676" s="1" t="n">
        <v>45513</v>
      </c>
      <c r="D9676" t="inlineStr">
        <is>
          <t>ÖSTERGÖTLANDS LÄN</t>
        </is>
      </c>
      <c r="E9676" t="inlineStr">
        <is>
          <t>LINKÖPING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30114-2024</t>
        </is>
      </c>
      <c r="B9677" s="1" t="n">
        <v>45489</v>
      </c>
      <c r="C9677" s="1" t="n">
        <v>45513</v>
      </c>
      <c r="D9677" t="inlineStr">
        <is>
          <t>ÖSTERGÖTLANDS LÄN</t>
        </is>
      </c>
      <c r="E9677" t="inlineStr">
        <is>
          <t>SÖDERKÖPING</t>
        </is>
      </c>
      <c r="G9677" t="n">
        <v>0.3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30169-2024</t>
        </is>
      </c>
      <c r="B9678" s="1" t="n">
        <v>45489</v>
      </c>
      <c r="C9678" s="1" t="n">
        <v>45513</v>
      </c>
      <c r="D9678" t="inlineStr">
        <is>
          <t>ÖSTERGÖTLANDS LÄN</t>
        </is>
      </c>
      <c r="E9678" t="inlineStr">
        <is>
          <t>MOTALA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30210-2024</t>
        </is>
      </c>
      <c r="B9679" s="1" t="n">
        <v>45490</v>
      </c>
      <c r="C9679" s="1" t="n">
        <v>45513</v>
      </c>
      <c r="D9679" t="inlineStr">
        <is>
          <t>ÖSTERGÖTLANDS LÄN</t>
        </is>
      </c>
      <c r="E9679" t="inlineStr">
        <is>
          <t>BOXHOLM</t>
        </is>
      </c>
      <c r="F9679" t="inlineStr">
        <is>
          <t>Övriga Aktiebolag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30324-2024</t>
        </is>
      </c>
      <c r="B9680" s="1" t="n">
        <v>45491</v>
      </c>
      <c r="C9680" s="1" t="n">
        <v>45513</v>
      </c>
      <c r="D9680" t="inlineStr">
        <is>
          <t>ÖSTERGÖTLANDS LÄN</t>
        </is>
      </c>
      <c r="E9680" t="inlineStr">
        <is>
          <t>SÖDERKÖPING</t>
        </is>
      </c>
      <c r="G9680" t="n">
        <v>10.9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30322-2024</t>
        </is>
      </c>
      <c r="B9681" s="1" t="n">
        <v>45490</v>
      </c>
      <c r="C9681" s="1" t="n">
        <v>45513</v>
      </c>
      <c r="D9681" t="inlineStr">
        <is>
          <t>ÖSTERGÖTLANDS LÄN</t>
        </is>
      </c>
      <c r="E9681" t="inlineStr">
        <is>
          <t>SÖDERKÖPING</t>
        </is>
      </c>
      <c r="G9681" t="n">
        <v>2.3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30315-2024</t>
        </is>
      </c>
      <c r="B9682" s="1" t="n">
        <v>45490</v>
      </c>
      <c r="C9682" s="1" t="n">
        <v>45513</v>
      </c>
      <c r="D9682" t="inlineStr">
        <is>
          <t>ÖSTERGÖTLANDS LÄN</t>
        </is>
      </c>
      <c r="E9682" t="inlineStr">
        <is>
          <t>NORRKÖPING</t>
        </is>
      </c>
      <c r="G9682" t="n">
        <v>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30389-2024</t>
        </is>
      </c>
      <c r="B9683" s="1" t="n">
        <v>45491</v>
      </c>
      <c r="C9683" s="1" t="n">
        <v>45513</v>
      </c>
      <c r="D9683" t="inlineStr">
        <is>
          <t>ÖSTERGÖTLANDS LÄN</t>
        </is>
      </c>
      <c r="E9683" t="inlineStr">
        <is>
          <t>ÖDESHÖG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30429-2024</t>
        </is>
      </c>
      <c r="B9684" s="1" t="n">
        <v>45491</v>
      </c>
      <c r="C9684" s="1" t="n">
        <v>45513</v>
      </c>
      <c r="D9684" t="inlineStr">
        <is>
          <t>ÖSTERGÖTLANDS LÄN</t>
        </is>
      </c>
      <c r="E9684" t="inlineStr">
        <is>
          <t>LINKÖPING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30388-2024</t>
        </is>
      </c>
      <c r="B9685" s="1" t="n">
        <v>45491</v>
      </c>
      <c r="C9685" s="1" t="n">
        <v>45513</v>
      </c>
      <c r="D9685" t="inlineStr">
        <is>
          <t>ÖSTERGÖTLANDS LÄN</t>
        </is>
      </c>
      <c r="E9685" t="inlineStr">
        <is>
          <t>ÖDESHÖG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30433-2024</t>
        </is>
      </c>
      <c r="B9686" s="1" t="n">
        <v>45491</v>
      </c>
      <c r="C9686" s="1" t="n">
        <v>45513</v>
      </c>
      <c r="D9686" t="inlineStr">
        <is>
          <t>ÖSTERGÖTLANDS LÄN</t>
        </is>
      </c>
      <c r="E9686" t="inlineStr">
        <is>
          <t>LINKÖPING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30434-2024</t>
        </is>
      </c>
      <c r="B9687" s="1" t="n">
        <v>45491</v>
      </c>
      <c r="C9687" s="1" t="n">
        <v>45513</v>
      </c>
      <c r="D9687" t="inlineStr">
        <is>
          <t>ÖSTERGÖTLANDS LÄN</t>
        </is>
      </c>
      <c r="E9687" t="inlineStr">
        <is>
          <t>LINKÖPING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30432-2024</t>
        </is>
      </c>
      <c r="B9688" s="1" t="n">
        <v>45491</v>
      </c>
      <c r="C9688" s="1" t="n">
        <v>45513</v>
      </c>
      <c r="D9688" t="inlineStr">
        <is>
          <t>ÖSTERGÖTLANDS LÄN</t>
        </is>
      </c>
      <c r="E9688" t="inlineStr">
        <is>
          <t>LINKÖPING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30435-2024</t>
        </is>
      </c>
      <c r="B9689" s="1" t="n">
        <v>45491</v>
      </c>
      <c r="C9689" s="1" t="n">
        <v>45513</v>
      </c>
      <c r="D9689" t="inlineStr">
        <is>
          <t>ÖSTERGÖTLANDS LÄN</t>
        </is>
      </c>
      <c r="E9689" t="inlineStr">
        <is>
          <t>LINKÖPING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30519-2024</t>
        </is>
      </c>
      <c r="B9690" s="1" t="n">
        <v>45492</v>
      </c>
      <c r="C9690" s="1" t="n">
        <v>45513</v>
      </c>
      <c r="D9690" t="inlineStr">
        <is>
          <t>ÖSTERGÖTLANDS LÄN</t>
        </is>
      </c>
      <c r="E9690" t="inlineStr">
        <is>
          <t>LINKÖPING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30517-2024</t>
        </is>
      </c>
      <c r="B9691" s="1" t="n">
        <v>45492</v>
      </c>
      <c r="C9691" s="1" t="n">
        <v>45513</v>
      </c>
      <c r="D9691" t="inlineStr">
        <is>
          <t>ÖSTERGÖTLANDS LÄN</t>
        </is>
      </c>
      <c r="E9691" t="inlineStr">
        <is>
          <t>LINKÖPING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30521-2024</t>
        </is>
      </c>
      <c r="B9692" s="1" t="n">
        <v>45492</v>
      </c>
      <c r="C9692" s="1" t="n">
        <v>45513</v>
      </c>
      <c r="D9692" t="inlineStr">
        <is>
          <t>ÖSTERGÖTLANDS LÄN</t>
        </is>
      </c>
      <c r="E9692" t="inlineStr">
        <is>
          <t>LINKÖPING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30518-2024</t>
        </is>
      </c>
      <c r="B9693" s="1" t="n">
        <v>45492</v>
      </c>
      <c r="C9693" s="1" t="n">
        <v>45513</v>
      </c>
      <c r="D9693" t="inlineStr">
        <is>
          <t>ÖSTERGÖTLANDS LÄN</t>
        </is>
      </c>
      <c r="E9693" t="inlineStr">
        <is>
          <t>LINKÖPING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30554-2024</t>
        </is>
      </c>
      <c r="B9694" s="1" t="n">
        <v>45492</v>
      </c>
      <c r="C9694" s="1" t="n">
        <v>45513</v>
      </c>
      <c r="D9694" t="inlineStr">
        <is>
          <t>ÖSTERGÖTLANDS LÄN</t>
        </is>
      </c>
      <c r="E9694" t="inlineStr">
        <is>
          <t>YDRE</t>
        </is>
      </c>
      <c r="G9694" t="n">
        <v>2.6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30516-2024</t>
        </is>
      </c>
      <c r="B9695" s="1" t="n">
        <v>45492</v>
      </c>
      <c r="C9695" s="1" t="n">
        <v>45513</v>
      </c>
      <c r="D9695" t="inlineStr">
        <is>
          <t>ÖSTERGÖTLANDS LÄN</t>
        </is>
      </c>
      <c r="E9695" t="inlineStr">
        <is>
          <t>LINKÖPING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30678-2024</t>
        </is>
      </c>
      <c r="B9696" s="1" t="n">
        <v>45495</v>
      </c>
      <c r="C9696" s="1" t="n">
        <v>45513</v>
      </c>
      <c r="D9696" t="inlineStr">
        <is>
          <t>ÖSTERGÖTLANDS LÄN</t>
        </is>
      </c>
      <c r="E9696" t="inlineStr">
        <is>
          <t>LINKÖPING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30673-2024</t>
        </is>
      </c>
      <c r="B9697" s="1" t="n">
        <v>45495</v>
      </c>
      <c r="C9697" s="1" t="n">
        <v>45513</v>
      </c>
      <c r="D9697" t="inlineStr">
        <is>
          <t>ÖSTERGÖTLANDS LÄN</t>
        </is>
      </c>
      <c r="E9697" t="inlineStr">
        <is>
          <t>VALDEMARSVIK</t>
        </is>
      </c>
      <c r="G9697" t="n">
        <v>2.9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45513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30928-2024</t>
        </is>
      </c>
      <c r="B9699" s="1" t="n">
        <v>45498</v>
      </c>
      <c r="C9699" s="1" t="n">
        <v>45513</v>
      </c>
      <c r="D9699" t="inlineStr">
        <is>
          <t>ÖSTERGÖTLANDS LÄN</t>
        </is>
      </c>
      <c r="E9699" t="inlineStr">
        <is>
          <t>FINSPÅNG</t>
        </is>
      </c>
      <c r="G9699" t="n">
        <v>5.4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30929-2024</t>
        </is>
      </c>
      <c r="B9700" s="1" t="n">
        <v>45498</v>
      </c>
      <c r="C9700" s="1" t="n">
        <v>45513</v>
      </c>
      <c r="D9700" t="inlineStr">
        <is>
          <t>ÖSTERGÖTLANDS LÄN</t>
        </is>
      </c>
      <c r="E9700" t="inlineStr">
        <is>
          <t>FINSPÅNG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30932-2024</t>
        </is>
      </c>
      <c r="B9701" s="1" t="n">
        <v>45498</v>
      </c>
      <c r="C9701" s="1" t="n">
        <v>45513</v>
      </c>
      <c r="D9701" t="inlineStr">
        <is>
          <t>ÖSTERGÖTLANDS LÄN</t>
        </is>
      </c>
      <c r="E9701" t="inlineStr">
        <is>
          <t>FINSPÅNG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30930-2024</t>
        </is>
      </c>
      <c r="B9702" s="1" t="n">
        <v>45498</v>
      </c>
      <c r="C9702" s="1" t="n">
        <v>45513</v>
      </c>
      <c r="D9702" t="inlineStr">
        <is>
          <t>ÖSTERGÖTLANDS LÄN</t>
        </is>
      </c>
      <c r="E9702" t="inlineStr">
        <is>
          <t>FINSPÅNG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31055-2024</t>
        </is>
      </c>
      <c r="B9703" s="1" t="n">
        <v>45502</v>
      </c>
      <c r="C9703" s="1" t="n">
        <v>45513</v>
      </c>
      <c r="D9703" t="inlineStr">
        <is>
          <t>ÖSTERGÖTLANDS LÄN</t>
        </is>
      </c>
      <c r="E9703" t="inlineStr">
        <is>
          <t>YDRE</t>
        </is>
      </c>
      <c r="G9703" t="n">
        <v>2.3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31042-2024</t>
        </is>
      </c>
      <c r="B9704" s="1" t="n">
        <v>45502</v>
      </c>
      <c r="C9704" s="1" t="n">
        <v>45513</v>
      </c>
      <c r="D9704" t="inlineStr">
        <is>
          <t>ÖSTERGÖTLANDS LÄN</t>
        </is>
      </c>
      <c r="E9704" t="inlineStr">
        <is>
          <t>BOXHOLM</t>
        </is>
      </c>
      <c r="F9704" t="inlineStr">
        <is>
          <t>Övriga Aktiebolag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31062-2024</t>
        </is>
      </c>
      <c r="B9705" s="1" t="n">
        <v>45502</v>
      </c>
      <c r="C9705" s="1" t="n">
        <v>45513</v>
      </c>
      <c r="D9705" t="inlineStr">
        <is>
          <t>ÖSTERGÖTLANDS LÄN</t>
        </is>
      </c>
      <c r="E9705" t="inlineStr">
        <is>
          <t>YDRE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31315-2024</t>
        </is>
      </c>
      <c r="B9706" s="1" t="n">
        <v>45504</v>
      </c>
      <c r="C9706" s="1" t="n">
        <v>45513</v>
      </c>
      <c r="D9706" t="inlineStr">
        <is>
          <t>ÖSTERGÖTLANDS LÄN</t>
        </is>
      </c>
      <c r="E9706" t="inlineStr">
        <is>
          <t>SÖDERKÖPING</t>
        </is>
      </c>
      <c r="G9706" t="n">
        <v>2.3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31308-2024</t>
        </is>
      </c>
      <c r="B9707" s="1" t="n">
        <v>45504</v>
      </c>
      <c r="C9707" s="1" t="n">
        <v>45513</v>
      </c>
      <c r="D9707" t="inlineStr">
        <is>
          <t>ÖSTERGÖTLANDS LÄN</t>
        </is>
      </c>
      <c r="E9707" t="inlineStr">
        <is>
          <t>SÖDERKÖPING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31312-2024</t>
        </is>
      </c>
      <c r="B9708" s="1" t="n">
        <v>45504</v>
      </c>
      <c r="C9708" s="1" t="n">
        <v>45513</v>
      </c>
      <c r="D9708" t="inlineStr">
        <is>
          <t>ÖSTERGÖTLANDS LÄN</t>
        </is>
      </c>
      <c r="E9708" t="inlineStr">
        <is>
          <t>SÖDERKÖPING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31342-2024</t>
        </is>
      </c>
      <c r="B9709" s="1" t="n">
        <v>45504</v>
      </c>
      <c r="C9709" s="1" t="n">
        <v>45513</v>
      </c>
      <c r="D9709" t="inlineStr">
        <is>
          <t>ÖSTERGÖTLANDS LÄN</t>
        </is>
      </c>
      <c r="E9709" t="inlineStr">
        <is>
          <t>NORRKÖPING</t>
        </is>
      </c>
      <c r="G9709" t="n">
        <v>3.3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31305-2024</t>
        </is>
      </c>
      <c r="B9710" s="1" t="n">
        <v>45504</v>
      </c>
      <c r="C9710" s="1" t="n">
        <v>45513</v>
      </c>
      <c r="D9710" t="inlineStr">
        <is>
          <t>ÖSTERGÖTLANDS LÄN</t>
        </is>
      </c>
      <c r="E9710" t="inlineStr">
        <is>
          <t>SÖDERKÖPING</t>
        </is>
      </c>
      <c r="G9710" t="n">
        <v>5.3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31310-2024</t>
        </is>
      </c>
      <c r="B9711" s="1" t="n">
        <v>45504</v>
      </c>
      <c r="C9711" s="1" t="n">
        <v>45513</v>
      </c>
      <c r="D9711" t="inlineStr">
        <is>
          <t>ÖSTERGÖTLANDS LÄN</t>
        </is>
      </c>
      <c r="E9711" t="inlineStr">
        <is>
          <t>SÖDERKÖPING</t>
        </is>
      </c>
      <c r="G9711" t="n">
        <v>4.2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31313-2024</t>
        </is>
      </c>
      <c r="B9712" s="1" t="n">
        <v>45504</v>
      </c>
      <c r="C9712" s="1" t="n">
        <v>45513</v>
      </c>
      <c r="D9712" t="inlineStr">
        <is>
          <t>ÖSTERGÖTLANDS LÄN</t>
        </is>
      </c>
      <c r="E9712" t="inlineStr">
        <is>
          <t>SÖDERKÖPING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31314-2024</t>
        </is>
      </c>
      <c r="B9713" s="1" t="n">
        <v>45504</v>
      </c>
      <c r="C9713" s="1" t="n">
        <v>45513</v>
      </c>
      <c r="D9713" t="inlineStr">
        <is>
          <t>ÖSTERGÖTLANDS LÄN</t>
        </is>
      </c>
      <c r="E9713" t="inlineStr">
        <is>
          <t>SÖDERKÖPING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31706-2024</t>
        </is>
      </c>
      <c r="B9714" s="1" t="n">
        <v>45508</v>
      </c>
      <c r="C9714" s="1" t="n">
        <v>45513</v>
      </c>
      <c r="D9714" t="inlineStr">
        <is>
          <t>ÖSTERGÖTLANDS LÄN</t>
        </is>
      </c>
      <c r="E9714" t="inlineStr">
        <is>
          <t>LINKÖPING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31832-2024</t>
        </is>
      </c>
      <c r="B9715" s="1" t="n">
        <v>45509</v>
      </c>
      <c r="C9715" s="1" t="n">
        <v>45513</v>
      </c>
      <c r="D9715" t="inlineStr">
        <is>
          <t>ÖSTERGÖTLANDS LÄN</t>
        </is>
      </c>
      <c r="E9715" t="inlineStr">
        <is>
          <t>MJÖLBY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31801-2024</t>
        </is>
      </c>
      <c r="B9716" s="1" t="n">
        <v>45509</v>
      </c>
      <c r="C9716" s="1" t="n">
        <v>45513</v>
      </c>
      <c r="D9716" t="inlineStr">
        <is>
          <t>ÖSTERGÖTLANDS LÄN</t>
        </is>
      </c>
      <c r="E9716" t="inlineStr">
        <is>
          <t>NORRKÖPING</t>
        </is>
      </c>
      <c r="G9716" t="n">
        <v>3.6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31831-2024</t>
        </is>
      </c>
      <c r="B9717" s="1" t="n">
        <v>45509</v>
      </c>
      <c r="C9717" s="1" t="n">
        <v>45513</v>
      </c>
      <c r="D9717" t="inlineStr">
        <is>
          <t>ÖSTERGÖTLANDS LÄN</t>
        </is>
      </c>
      <c r="E9717" t="inlineStr">
        <is>
          <t>MJÖLBY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32016-2024</t>
        </is>
      </c>
      <c r="B9718" s="1" t="n">
        <v>45510</v>
      </c>
      <c r="C9718" s="1" t="n">
        <v>45513</v>
      </c>
      <c r="D9718" t="inlineStr">
        <is>
          <t>ÖSTERGÖTLANDS LÄN</t>
        </is>
      </c>
      <c r="E9718" t="inlineStr">
        <is>
          <t>YDRE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32151-2024</t>
        </is>
      </c>
      <c r="B9719" s="1" t="n">
        <v>45511</v>
      </c>
      <c r="C9719" s="1" t="n">
        <v>45513</v>
      </c>
      <c r="D9719" t="inlineStr">
        <is>
          <t>ÖSTERGÖTLANDS LÄN</t>
        </is>
      </c>
      <c r="E9719" t="inlineStr">
        <is>
          <t>MJÖLBY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32133-2024</t>
        </is>
      </c>
      <c r="B9720" s="1" t="n">
        <v>45511</v>
      </c>
      <c r="C9720" s="1" t="n">
        <v>45513</v>
      </c>
      <c r="D9720" t="inlineStr">
        <is>
          <t>ÖSTERGÖTLANDS LÄN</t>
        </is>
      </c>
      <c r="E9720" t="inlineStr">
        <is>
          <t>YDRE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32089-2024</t>
        </is>
      </c>
      <c r="B9721" s="1" t="n">
        <v>45511</v>
      </c>
      <c r="C9721" s="1" t="n">
        <v>45513</v>
      </c>
      <c r="D9721" t="inlineStr">
        <is>
          <t>ÖSTERGÖTLANDS LÄN</t>
        </is>
      </c>
      <c r="E9721" t="inlineStr">
        <is>
          <t>BOXHOLM</t>
        </is>
      </c>
      <c r="G9721" t="n">
        <v>4.3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32378-2024</t>
        </is>
      </c>
      <c r="B9722" s="1" t="n">
        <v>45512</v>
      </c>
      <c r="C9722" s="1" t="n">
        <v>45513</v>
      </c>
      <c r="D9722" t="inlineStr">
        <is>
          <t>ÖSTERGÖTLANDS LÄN</t>
        </is>
      </c>
      <c r="E9722" t="inlineStr">
        <is>
          <t>ÖDESHÖG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>
      <c r="A9723" t="inlineStr">
        <is>
          <t>A 32335-2024</t>
        </is>
      </c>
      <c r="B9723" s="1" t="n">
        <v>45512</v>
      </c>
      <c r="C9723" s="1" t="n">
        <v>45513</v>
      </c>
      <c r="D9723" t="inlineStr">
        <is>
          <t>ÖSTERGÖTLANDS LÄN</t>
        </is>
      </c>
      <c r="E9723" t="inlineStr">
        <is>
          <t>ÖDESHÖG</t>
        </is>
      </c>
      <c r="G9723" t="n">
        <v>3.2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2024-08-09T10:43:21Z</dcterms:created>
  <dcterms:modified xmlns:dcterms="http://purl.org/dc/terms/" xmlns:xsi="http://www.w3.org/2001/XMLSchema-instance" xsi:type="dcterms:W3CDTF">2024-08-09T10:43:29Z</dcterms:modified>
</cp:coreProperties>
</file>