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46093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46093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46093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46093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46093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46093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46093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46093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46093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46093</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46093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46093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46093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46093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46093</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46093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46093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60643-2024</t>
        </is>
      </c>
      <c r="B20" s="1" t="n">
        <v>45644.42954861111</v>
      </c>
      <c r="C20" s="1" t="n">
        <v>46093</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29387-2025</t>
        </is>
      </c>
      <c r="B21" s="1" t="n">
        <v>45824</v>
      </c>
      <c r="C21" s="1" t="n">
        <v>46093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46093</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45488-2025</t>
        </is>
      </c>
      <c r="B23" s="1" t="n">
        <v>45922.55509259259</v>
      </c>
      <c r="C23" s="1" t="n">
        <v>46093</v>
      </c>
      <c r="D23" t="inlineStr">
        <is>
          <t>ÖSTERGÖTLANDS LÄN</t>
        </is>
      </c>
      <c r="E23" t="inlineStr">
        <is>
          <t>NORRKÖPING</t>
        </is>
      </c>
      <c r="F23" t="inlineStr">
        <is>
          <t>Holmen skog AB</t>
        </is>
      </c>
      <c r="G23" t="n">
        <v>3</v>
      </c>
      <c r="H23" t="n">
        <v>2</v>
      </c>
      <c r="I23" t="n">
        <v>5</v>
      </c>
      <c r="J23" t="n">
        <v>6</v>
      </c>
      <c r="K23" t="n">
        <v>1</v>
      </c>
      <c r="L23" t="n">
        <v>0</v>
      </c>
      <c r="M23" t="n">
        <v>0</v>
      </c>
      <c r="N23" t="n">
        <v>0</v>
      </c>
      <c r="O23" t="n">
        <v>7</v>
      </c>
      <c r="P23" t="n">
        <v>1</v>
      </c>
      <c r="Q23" t="n">
        <v>12</v>
      </c>
      <c r="R23" s="2" t="inlineStr">
        <is>
          <t>Knärot
Dvärgbägarlav
Motaggsvamp
Spillkråka
Tallticka
Ullticka
Vedskivlav
Blomkålssvamp
Bronshjon
Grovticka
Grönpyrola
Mindre märgborre</t>
        </is>
      </c>
      <c r="S23">
        <f>HYPERLINK("https://klasma.github.io/Logging_0581/artfynd/A 45488-2025 artfynd.xlsx", "A 45488-2025")</f>
        <v/>
      </c>
      <c r="T23">
        <f>HYPERLINK("https://klasma.github.io/Logging_0581/kartor/A 45488-2025 karta.png", "A 45488-2025")</f>
        <v/>
      </c>
      <c r="U23">
        <f>HYPERLINK("https://klasma.github.io/Logging_0581/knärot/A 45488-2025 karta knärot.png", "A 45488-2025")</f>
        <v/>
      </c>
      <c r="V23">
        <f>HYPERLINK("https://klasma.github.io/Logging_0581/klagomål/A 45488-2025 FSC-klagomål.docx", "A 45488-2025")</f>
        <v/>
      </c>
      <c r="W23">
        <f>HYPERLINK("https://klasma.github.io/Logging_0581/klagomålsmail/A 45488-2025 FSC-klagomål mail.docx", "A 45488-2025")</f>
        <v/>
      </c>
      <c r="X23">
        <f>HYPERLINK("https://klasma.github.io/Logging_0581/tillsyn/A 45488-2025 tillsynsbegäran.docx", "A 45488-2025")</f>
        <v/>
      </c>
      <c r="Y23">
        <f>HYPERLINK("https://klasma.github.io/Logging_0581/tillsynsmail/A 45488-2025 tillsynsbegäran mail.docx", "A 45488-2025")</f>
        <v/>
      </c>
      <c r="Z23">
        <f>HYPERLINK("https://klasma.github.io/Logging_0581/fåglar/A 45488-2025 prioriterade fågelarter.docx", "A 45488-2025")</f>
        <v/>
      </c>
    </row>
    <row r="24" ht="15" customHeight="1">
      <c r="A24" t="inlineStr">
        <is>
          <t>A 37033-2025</t>
        </is>
      </c>
      <c r="B24" s="1" t="n">
        <v>45875</v>
      </c>
      <c r="C24" s="1" t="n">
        <v>46093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46093</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10676-2022</t>
        </is>
      </c>
      <c r="B26" s="1" t="n">
        <v>44624</v>
      </c>
      <c r="C26" s="1" t="n">
        <v>46093</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45701-2024</t>
        </is>
      </c>
      <c r="B27" s="1" t="n">
        <v>45579</v>
      </c>
      <c r="C27" s="1" t="n">
        <v>46093</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8914-2024</t>
        </is>
      </c>
      <c r="B28" s="1" t="n">
        <v>45355</v>
      </c>
      <c r="C28" s="1" t="n">
        <v>46093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46093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46093</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46093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60898-2024</t>
        </is>
      </c>
      <c r="B32" s="1" t="n">
        <v>45645.27462962963</v>
      </c>
      <c r="C32" s="1" t="n">
        <v>46093</v>
      </c>
      <c r="D32" t="inlineStr">
        <is>
          <t>ÖSTERGÖTLANDS LÄN</t>
        </is>
      </c>
      <c r="E32" t="inlineStr">
        <is>
          <t>NORRKÖPING</t>
        </is>
      </c>
      <c r="G32" t="n">
        <v>3.1</v>
      </c>
      <c r="H32" t="n">
        <v>2</v>
      </c>
      <c r="I32" t="n">
        <v>6</v>
      </c>
      <c r="J32" t="n">
        <v>3</v>
      </c>
      <c r="K32" t="n">
        <v>1</v>
      </c>
      <c r="L32" t="n">
        <v>0</v>
      </c>
      <c r="M32" t="n">
        <v>0</v>
      </c>
      <c r="N32" t="n">
        <v>0</v>
      </c>
      <c r="O32" t="n">
        <v>4</v>
      </c>
      <c r="P32" t="n">
        <v>1</v>
      </c>
      <c r="Q32" t="n">
        <v>10</v>
      </c>
      <c r="R32" s="2" t="inlineStr">
        <is>
          <t>Knärot
Tallticka
Talltita
Vedtrappmossa
Bronshjon
Flagellkvastmossa
Grovticka
Grönpyrola
Kornknutmossa
Mindre märgborre</t>
        </is>
      </c>
      <c r="S32">
        <f>HYPERLINK("https://klasma.github.io/Logging_0581/artfynd/A 60898-2024 artfynd.xlsx", "A 60898-2024")</f>
        <v/>
      </c>
      <c r="T32">
        <f>HYPERLINK("https://klasma.github.io/Logging_0581/kartor/A 60898-2024 karta.png", "A 60898-2024")</f>
        <v/>
      </c>
      <c r="U32">
        <f>HYPERLINK("https://klasma.github.io/Logging_0581/knärot/A 60898-2024 karta knärot.png", "A 60898-2024")</f>
        <v/>
      </c>
      <c r="V32">
        <f>HYPERLINK("https://klasma.github.io/Logging_0581/klagomål/A 60898-2024 FSC-klagomål.docx", "A 60898-2024")</f>
        <v/>
      </c>
      <c r="W32">
        <f>HYPERLINK("https://klasma.github.io/Logging_0581/klagomålsmail/A 60898-2024 FSC-klagomål mail.docx", "A 60898-2024")</f>
        <v/>
      </c>
      <c r="X32">
        <f>HYPERLINK("https://klasma.github.io/Logging_0581/tillsyn/A 60898-2024 tillsynsbegäran.docx", "A 60898-2024")</f>
        <v/>
      </c>
      <c r="Y32">
        <f>HYPERLINK("https://klasma.github.io/Logging_0581/tillsynsmail/A 60898-2024 tillsynsbegäran mail.docx", "A 60898-2024")</f>
        <v/>
      </c>
      <c r="Z32">
        <f>HYPERLINK("https://klasma.github.io/Logging_0581/fåglar/A 60898-2024 prioriterade fågelarter.docx", "A 60898-2024")</f>
        <v/>
      </c>
    </row>
    <row r="33" ht="15" customHeight="1">
      <c r="A33" t="inlineStr">
        <is>
          <t>A 35760-2025</t>
        </is>
      </c>
      <c r="B33" s="1" t="n">
        <v>45860.61114583333</v>
      </c>
      <c r="C33" s="1" t="n">
        <v>46093</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46093</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16473-2021</t>
        </is>
      </c>
      <c r="B35" s="1" t="n">
        <v>44293</v>
      </c>
      <c r="C35" s="1" t="n">
        <v>46093</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43298-2024</t>
        </is>
      </c>
      <c r="B36" s="1" t="n">
        <v>45568</v>
      </c>
      <c r="C36" s="1" t="n">
        <v>46093</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21520-2024</t>
        </is>
      </c>
      <c r="B37" s="1" t="n">
        <v>45441</v>
      </c>
      <c r="C37" s="1" t="n">
        <v>46093</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46093</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46093</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46093</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46093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46093</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7186-2026</t>
        </is>
      </c>
      <c r="B43" s="1" t="n">
        <v>46058.49090277778</v>
      </c>
      <c r="C43" s="1" t="n">
        <v>46093</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11085-2025</t>
        </is>
      </c>
      <c r="B44" s="1" t="n">
        <v>45723.57098379629</v>
      </c>
      <c r="C44" s="1" t="n">
        <v>46093</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11109-2025</t>
        </is>
      </c>
      <c r="B45" s="1" t="n">
        <v>45723.61545138889</v>
      </c>
      <c r="C45" s="1" t="n">
        <v>46093</v>
      </c>
      <c r="D45" t="inlineStr">
        <is>
          <t>ÖSTERGÖTLANDS LÄN</t>
        </is>
      </c>
      <c r="E45" t="inlineStr">
        <is>
          <t>NORRKÖPING</t>
        </is>
      </c>
      <c r="F45" t="inlineStr">
        <is>
          <t>Holmen skog AB</t>
        </is>
      </c>
      <c r="G45" t="n">
        <v>8.5</v>
      </c>
      <c r="H45" t="n">
        <v>3</v>
      </c>
      <c r="I45" t="n">
        <v>3</v>
      </c>
      <c r="J45" t="n">
        <v>3</v>
      </c>
      <c r="K45" t="n">
        <v>1</v>
      </c>
      <c r="L45" t="n">
        <v>0</v>
      </c>
      <c r="M45" t="n">
        <v>0</v>
      </c>
      <c r="N45" t="n">
        <v>0</v>
      </c>
      <c r="O45" t="n">
        <v>4</v>
      </c>
      <c r="P45" t="n">
        <v>1</v>
      </c>
      <c r="Q45" t="n">
        <v>8</v>
      </c>
      <c r="R45" s="2" t="inlineStr">
        <is>
          <t>Knärot
Motaggsvamp
Spillkråka
Vedskivlav
Blåmossa
Hasselticka
Scharlakansvårskål agg.
Blåsippa</t>
        </is>
      </c>
      <c r="S45">
        <f>HYPERLINK("https://klasma.github.io/Logging_0581/artfynd/A 11109-2025 artfynd.xlsx", "A 11109-2025")</f>
        <v/>
      </c>
      <c r="T45">
        <f>HYPERLINK("https://klasma.github.io/Logging_0581/kartor/A 11109-2025 karta.png", "A 11109-2025")</f>
        <v/>
      </c>
      <c r="U45">
        <f>HYPERLINK("https://klasma.github.io/Logging_0581/knärot/A 11109-2025 karta knärot.png", "A 11109-2025")</f>
        <v/>
      </c>
      <c r="V45">
        <f>HYPERLINK("https://klasma.github.io/Logging_0581/klagomål/A 11109-2025 FSC-klagomål.docx", "A 11109-2025")</f>
        <v/>
      </c>
      <c r="W45">
        <f>HYPERLINK("https://klasma.github.io/Logging_0581/klagomålsmail/A 11109-2025 FSC-klagomål mail.docx", "A 11109-2025")</f>
        <v/>
      </c>
      <c r="X45">
        <f>HYPERLINK("https://klasma.github.io/Logging_0581/tillsyn/A 11109-2025 tillsynsbegäran.docx", "A 11109-2025")</f>
        <v/>
      </c>
      <c r="Y45">
        <f>HYPERLINK("https://klasma.github.io/Logging_0581/tillsynsmail/A 11109-2025 tillsynsbegäran mail.docx", "A 11109-2025")</f>
        <v/>
      </c>
      <c r="Z45">
        <f>HYPERLINK("https://klasma.github.io/Logging_0581/fåglar/A 11109-2025 prioriterade fågelarter.docx", "A 11109-2025")</f>
        <v/>
      </c>
    </row>
    <row r="46" ht="15" customHeight="1">
      <c r="A46" t="inlineStr">
        <is>
          <t>A 6175-2022</t>
        </is>
      </c>
      <c r="B46" s="1" t="n">
        <v>44599</v>
      </c>
      <c r="C46" s="1" t="n">
        <v>46093</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46093</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46093</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46093</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43506-2024</t>
        </is>
      </c>
      <c r="B50" s="1" t="n">
        <v>45569</v>
      </c>
      <c r="C50" s="1" t="n">
        <v>46093</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39827-2025</t>
        </is>
      </c>
      <c r="B51" s="1" t="n">
        <v>45891.55418981481</v>
      </c>
      <c r="C51" s="1" t="n">
        <v>46093</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46093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483-2025</t>
        </is>
      </c>
      <c r="B53" s="1" t="n">
        <v>45664.45395833333</v>
      </c>
      <c r="C53" s="1" t="n">
        <v>46093</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45509-2025</t>
        </is>
      </c>
      <c r="B54" s="1" t="n">
        <v>45922.57796296296</v>
      </c>
      <c r="C54" s="1" t="n">
        <v>46093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agg.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10406-2025</t>
        </is>
      </c>
      <c r="B55" s="1" t="n">
        <v>45720.62849537037</v>
      </c>
      <c r="C55" s="1" t="n">
        <v>46093</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3902-2024</t>
        </is>
      </c>
      <c r="B56" s="1" t="n">
        <v>45322</v>
      </c>
      <c r="C56" s="1" t="n">
        <v>46093</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62741-2025</t>
        </is>
      </c>
      <c r="B57" s="1" t="n">
        <v>46008.57405092593</v>
      </c>
      <c r="C57" s="1" t="n">
        <v>46093</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34439-2023</t>
        </is>
      </c>
      <c r="B58" s="1" t="n">
        <v>45133</v>
      </c>
      <c r="C58" s="1" t="n">
        <v>46093</v>
      </c>
      <c r="D58" t="inlineStr">
        <is>
          <t>ÖSTERGÖTLANDS LÄN</t>
        </is>
      </c>
      <c r="E58" t="inlineStr">
        <is>
          <t>NORRKÖPING</t>
        </is>
      </c>
      <c r="F58" t="inlineStr">
        <is>
          <t>Allmännings- och besparingsskogar</t>
        </is>
      </c>
      <c r="G58" t="n">
        <v>3.5</v>
      </c>
      <c r="H58" t="n">
        <v>3</v>
      </c>
      <c r="I58" t="n">
        <v>5</v>
      </c>
      <c r="J58" t="n">
        <v>0</v>
      </c>
      <c r="K58" t="n">
        <v>1</v>
      </c>
      <c r="L58" t="n">
        <v>0</v>
      </c>
      <c r="M58" t="n">
        <v>0</v>
      </c>
      <c r="N58" t="n">
        <v>0</v>
      </c>
      <c r="O58" t="n">
        <v>1</v>
      </c>
      <c r="P58" t="n">
        <v>1</v>
      </c>
      <c r="Q58" t="n">
        <v>7</v>
      </c>
      <c r="R58" s="2" t="inlineStr">
        <is>
          <t>Knärot
Blomkålssvamp
Grönpyrola
Plattlummer
Svavelriska
Vedticka
Äkta lopplummer</t>
        </is>
      </c>
      <c r="S58">
        <f>HYPERLINK("https://klasma.github.io/Logging_0581/artfynd/A 34439-2023 artfynd.xlsx", "A 34439-2023")</f>
        <v/>
      </c>
      <c r="T58">
        <f>HYPERLINK("https://klasma.github.io/Logging_0581/kartor/A 34439-2023 karta.png", "A 34439-2023")</f>
        <v/>
      </c>
      <c r="U58">
        <f>HYPERLINK("https://klasma.github.io/Logging_0581/knärot/A 34439-2023 karta knärot.png", "A 34439-2023")</f>
        <v/>
      </c>
      <c r="V58">
        <f>HYPERLINK("https://klasma.github.io/Logging_0581/klagomål/A 34439-2023 FSC-klagomål.docx", "A 34439-2023")</f>
        <v/>
      </c>
      <c r="W58">
        <f>HYPERLINK("https://klasma.github.io/Logging_0581/klagomålsmail/A 34439-2023 FSC-klagomål mail.docx", "A 34439-2023")</f>
        <v/>
      </c>
      <c r="X58">
        <f>HYPERLINK("https://klasma.github.io/Logging_0581/tillsyn/A 34439-2023 tillsynsbegäran.docx", "A 34439-2023")</f>
        <v/>
      </c>
      <c r="Y58">
        <f>HYPERLINK("https://klasma.github.io/Logging_0581/tillsynsmail/A 34439-2023 tillsynsbegäran mail.docx", "A 34439-2023")</f>
        <v/>
      </c>
    </row>
    <row r="59" ht="15" customHeight="1">
      <c r="A59" t="inlineStr">
        <is>
          <t>A 34707-2025</t>
        </is>
      </c>
      <c r="B59" s="1" t="n">
        <v>45848</v>
      </c>
      <c r="C59" s="1" t="n">
        <v>46093</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689-2026</t>
        </is>
      </c>
      <c r="B60" s="1" t="n">
        <v>46029.61020833333</v>
      </c>
      <c r="C60" s="1" t="n">
        <v>46093</v>
      </c>
      <c r="D60" t="inlineStr">
        <is>
          <t>ÖSTERGÖTLANDS LÄN</t>
        </is>
      </c>
      <c r="E60" t="inlineStr">
        <is>
          <t>ÅTVIDABERG</t>
        </is>
      </c>
      <c r="G60" t="n">
        <v>2.6</v>
      </c>
      <c r="H60" t="n">
        <v>3</v>
      </c>
      <c r="I60" t="n">
        <v>1</v>
      </c>
      <c r="J60" t="n">
        <v>4</v>
      </c>
      <c r="K60" t="n">
        <v>1</v>
      </c>
      <c r="L60" t="n">
        <v>0</v>
      </c>
      <c r="M60" t="n">
        <v>0</v>
      </c>
      <c r="N60" t="n">
        <v>0</v>
      </c>
      <c r="O60" t="n">
        <v>5</v>
      </c>
      <c r="P60" t="n">
        <v>1</v>
      </c>
      <c r="Q60" t="n">
        <v>7</v>
      </c>
      <c r="R60" s="2" t="inlineStr">
        <is>
          <t>Knärot
Rosenticka
Tallticka
Talltita
Ullticka
Grönpyrola
Tjäder</t>
        </is>
      </c>
      <c r="S60">
        <f>HYPERLINK("https://klasma.github.io/Logging_0561/artfynd/A 689-2026 artfynd.xlsx", "A 689-2026")</f>
        <v/>
      </c>
      <c r="T60">
        <f>HYPERLINK("https://klasma.github.io/Logging_0561/kartor/A 689-2026 karta.png", "A 689-2026")</f>
        <v/>
      </c>
      <c r="U60">
        <f>HYPERLINK("https://klasma.github.io/Logging_0561/knärot/A 689-2026 karta knärot.png", "A 689-2026")</f>
        <v/>
      </c>
      <c r="V60">
        <f>HYPERLINK("https://klasma.github.io/Logging_0561/klagomål/A 689-2026 FSC-klagomål.docx", "A 689-2026")</f>
        <v/>
      </c>
      <c r="W60">
        <f>HYPERLINK("https://klasma.github.io/Logging_0561/klagomålsmail/A 689-2026 FSC-klagomål mail.docx", "A 689-2026")</f>
        <v/>
      </c>
      <c r="X60">
        <f>HYPERLINK("https://klasma.github.io/Logging_0561/tillsyn/A 689-2026 tillsynsbegäran.docx", "A 689-2026")</f>
        <v/>
      </c>
      <c r="Y60">
        <f>HYPERLINK("https://klasma.github.io/Logging_0561/tillsynsmail/A 689-2026 tillsynsbegäran mail.docx", "A 689-2026")</f>
        <v/>
      </c>
      <c r="Z60">
        <f>HYPERLINK("https://klasma.github.io/Logging_0561/fåglar/A 689-2026 prioriterade fågelarter.docx", "A 689-2026")</f>
        <v/>
      </c>
    </row>
    <row r="61" ht="15" customHeight="1">
      <c r="A61" t="inlineStr">
        <is>
          <t>A 6146-2025</t>
        </is>
      </c>
      <c r="B61" s="1" t="n">
        <v>45698</v>
      </c>
      <c r="C61" s="1" t="n">
        <v>46093</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1845-2022</t>
        </is>
      </c>
      <c r="B62" s="1" t="n">
        <v>44574.756875</v>
      </c>
      <c r="C62" s="1" t="n">
        <v>46093</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46093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46093</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46093</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46093</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46093</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46093</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55560-2023</t>
        </is>
      </c>
      <c r="B69" s="1" t="n">
        <v>45238.63822916667</v>
      </c>
      <c r="C69" s="1" t="n">
        <v>46093</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51531-2024</t>
        </is>
      </c>
      <c r="B70" s="1" t="n">
        <v>45604</v>
      </c>
      <c r="C70" s="1" t="n">
        <v>46093</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3380-2023</t>
        </is>
      </c>
      <c r="B71" s="1" t="n">
        <v>44949</v>
      </c>
      <c r="C71" s="1" t="n">
        <v>46093</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36721-2023</t>
        </is>
      </c>
      <c r="B72" s="1" t="n">
        <v>45153.67613425926</v>
      </c>
      <c r="C72" s="1" t="n">
        <v>46093</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5550-2025</t>
        </is>
      </c>
      <c r="B73" s="1" t="n">
        <v>45693.47141203703</v>
      </c>
      <c r="C73" s="1" t="n">
        <v>46093</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43507-2024</t>
        </is>
      </c>
      <c r="B74" s="1" t="n">
        <v>45569</v>
      </c>
      <c r="C74" s="1" t="n">
        <v>46093</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55683-2025</t>
        </is>
      </c>
      <c r="B75" s="1" t="n">
        <v>45972.4255324074</v>
      </c>
      <c r="C75" s="1" t="n">
        <v>46093</v>
      </c>
      <c r="D75" t="inlineStr">
        <is>
          <t>ÖSTERGÖTLANDS LÄN</t>
        </is>
      </c>
      <c r="E75" t="inlineStr">
        <is>
          <t>LINKÖPING</t>
        </is>
      </c>
      <c r="G75" t="n">
        <v>3.3</v>
      </c>
      <c r="H75" t="n">
        <v>3</v>
      </c>
      <c r="I75" t="n">
        <v>2</v>
      </c>
      <c r="J75" t="n">
        <v>3</v>
      </c>
      <c r="K75" t="n">
        <v>1</v>
      </c>
      <c r="L75" t="n">
        <v>0</v>
      </c>
      <c r="M75" t="n">
        <v>0</v>
      </c>
      <c r="N75" t="n">
        <v>0</v>
      </c>
      <c r="O75" t="n">
        <v>4</v>
      </c>
      <c r="P75" t="n">
        <v>1</v>
      </c>
      <c r="Q75" t="n">
        <v>6</v>
      </c>
      <c r="R75" s="2" t="inlineStr">
        <is>
          <t>Knärot
Spillkråka
Tallticka
Talltita
Björksplintborre
Flagellkvastmossa</t>
        </is>
      </c>
      <c r="S75">
        <f>HYPERLINK("https://klasma.github.io/Logging_0580/artfynd/A 55683-2025 artfynd.xlsx", "A 55683-2025")</f>
        <v/>
      </c>
      <c r="T75">
        <f>HYPERLINK("https://klasma.github.io/Logging_0580/kartor/A 55683-2025 karta.png", "A 55683-2025")</f>
        <v/>
      </c>
      <c r="U75">
        <f>HYPERLINK("https://klasma.github.io/Logging_0580/knärot/A 55683-2025 karta knärot.png", "A 55683-2025")</f>
        <v/>
      </c>
      <c r="V75">
        <f>HYPERLINK("https://klasma.github.io/Logging_0580/klagomål/A 55683-2025 FSC-klagomål.docx", "A 55683-2025")</f>
        <v/>
      </c>
      <c r="W75">
        <f>HYPERLINK("https://klasma.github.io/Logging_0580/klagomålsmail/A 55683-2025 FSC-klagomål mail.docx", "A 55683-2025")</f>
        <v/>
      </c>
      <c r="X75">
        <f>HYPERLINK("https://klasma.github.io/Logging_0580/tillsyn/A 55683-2025 tillsynsbegäran.docx", "A 55683-2025")</f>
        <v/>
      </c>
      <c r="Y75">
        <f>HYPERLINK("https://klasma.github.io/Logging_0580/tillsynsmail/A 55683-2025 tillsynsbegäran mail.docx", "A 55683-2025")</f>
        <v/>
      </c>
      <c r="Z75">
        <f>HYPERLINK("https://klasma.github.io/Logging_0580/fåglar/A 55683-2025 prioriterade fågelarter.docx", "A 55683-2025")</f>
        <v/>
      </c>
    </row>
    <row r="76" ht="15" customHeight="1">
      <c r="A76" t="inlineStr">
        <is>
          <t>A 11077-2025</t>
        </is>
      </c>
      <c r="B76" s="1" t="n">
        <v>45723.55663194445</v>
      </c>
      <c r="C76" s="1" t="n">
        <v>46093</v>
      </c>
      <c r="D76" t="inlineStr">
        <is>
          <t>ÖSTERGÖTLANDS LÄN</t>
        </is>
      </c>
      <c r="E76" t="inlineStr">
        <is>
          <t>NORRKÖPING</t>
        </is>
      </c>
      <c r="F76" t="inlineStr">
        <is>
          <t>Holmen skog AB</t>
        </is>
      </c>
      <c r="G76" t="n">
        <v>1.6</v>
      </c>
      <c r="H76" t="n">
        <v>4</v>
      </c>
      <c r="I76" t="n">
        <v>1</v>
      </c>
      <c r="J76" t="n">
        <v>3</v>
      </c>
      <c r="K76" t="n">
        <v>1</v>
      </c>
      <c r="L76" t="n">
        <v>0</v>
      </c>
      <c r="M76" t="n">
        <v>0</v>
      </c>
      <c r="N76" t="n">
        <v>0</v>
      </c>
      <c r="O76" t="n">
        <v>4</v>
      </c>
      <c r="P76" t="n">
        <v>1</v>
      </c>
      <c r="Q76" t="n">
        <v>6</v>
      </c>
      <c r="R76" s="2" t="inlineStr">
        <is>
          <t>Knärot
Motaggsvamp
Spillkråka
Talltita
Dropptaggsvamp
Kopparödla</t>
        </is>
      </c>
      <c r="S76">
        <f>HYPERLINK("https://klasma.github.io/Logging_0581/artfynd/A 11077-2025 artfynd.xlsx", "A 11077-2025")</f>
        <v/>
      </c>
      <c r="T76">
        <f>HYPERLINK("https://klasma.github.io/Logging_0581/kartor/A 11077-2025 karta.png", "A 11077-2025")</f>
        <v/>
      </c>
      <c r="U76">
        <f>HYPERLINK("https://klasma.github.io/Logging_0581/knärot/A 11077-2025 karta knärot.png", "A 11077-2025")</f>
        <v/>
      </c>
      <c r="V76">
        <f>HYPERLINK("https://klasma.github.io/Logging_0581/klagomål/A 11077-2025 FSC-klagomål.docx", "A 11077-2025")</f>
        <v/>
      </c>
      <c r="W76">
        <f>HYPERLINK("https://klasma.github.io/Logging_0581/klagomålsmail/A 11077-2025 FSC-klagomål mail.docx", "A 11077-2025")</f>
        <v/>
      </c>
      <c r="X76">
        <f>HYPERLINK("https://klasma.github.io/Logging_0581/tillsyn/A 11077-2025 tillsynsbegäran.docx", "A 11077-2025")</f>
        <v/>
      </c>
      <c r="Y76">
        <f>HYPERLINK("https://klasma.github.io/Logging_0581/tillsynsmail/A 11077-2025 tillsynsbegäran mail.docx", "A 11077-2025")</f>
        <v/>
      </c>
      <c r="Z76">
        <f>HYPERLINK("https://klasma.github.io/Logging_0581/fåglar/A 11077-2025 prioriterade fågelarter.docx", "A 11077-2025")</f>
        <v/>
      </c>
    </row>
    <row r="77" ht="15" customHeight="1">
      <c r="A77" t="inlineStr">
        <is>
          <t>A 32915-2025</t>
        </is>
      </c>
      <c r="B77" s="1" t="n">
        <v>45839.63804398148</v>
      </c>
      <c r="C77" s="1" t="n">
        <v>46093</v>
      </c>
      <c r="D77" t="inlineStr">
        <is>
          <t>ÖSTERGÖTLANDS LÄN</t>
        </is>
      </c>
      <c r="E77" t="inlineStr">
        <is>
          <t>KINDA</t>
        </is>
      </c>
      <c r="G77" t="n">
        <v>26</v>
      </c>
      <c r="H77" t="n">
        <v>6</v>
      </c>
      <c r="I77" t="n">
        <v>0</v>
      </c>
      <c r="J77" t="n">
        <v>3</v>
      </c>
      <c r="K77" t="n">
        <v>1</v>
      </c>
      <c r="L77" t="n">
        <v>0</v>
      </c>
      <c r="M77" t="n">
        <v>0</v>
      </c>
      <c r="N77" t="n">
        <v>0</v>
      </c>
      <c r="O77" t="n">
        <v>4</v>
      </c>
      <c r="P77" t="n">
        <v>1</v>
      </c>
      <c r="Q77" t="n">
        <v>6</v>
      </c>
      <c r="R77" s="2" t="inlineStr">
        <is>
          <t>Knärot
Entita
Spillkråka
Talltita
Kungsfågel
Blåsippa</t>
        </is>
      </c>
      <c r="S77">
        <f>HYPERLINK("https://klasma.github.io/Logging_0513/artfynd/A 32915-2025 artfynd.xlsx", "A 32915-2025")</f>
        <v/>
      </c>
      <c r="T77">
        <f>HYPERLINK("https://klasma.github.io/Logging_0513/kartor/A 32915-2025 karta.png", "A 32915-2025")</f>
        <v/>
      </c>
      <c r="U77">
        <f>HYPERLINK("https://klasma.github.io/Logging_0513/knärot/A 32915-2025 karta knärot.png", "A 32915-2025")</f>
        <v/>
      </c>
      <c r="V77">
        <f>HYPERLINK("https://klasma.github.io/Logging_0513/klagomål/A 32915-2025 FSC-klagomål.docx", "A 32915-2025")</f>
        <v/>
      </c>
      <c r="W77">
        <f>HYPERLINK("https://klasma.github.io/Logging_0513/klagomålsmail/A 32915-2025 FSC-klagomål mail.docx", "A 32915-2025")</f>
        <v/>
      </c>
      <c r="X77">
        <f>HYPERLINK("https://klasma.github.io/Logging_0513/tillsyn/A 32915-2025 tillsynsbegäran.docx", "A 32915-2025")</f>
        <v/>
      </c>
      <c r="Y77">
        <f>HYPERLINK("https://klasma.github.io/Logging_0513/tillsynsmail/A 32915-2025 tillsynsbegäran mail.docx", "A 32915-2025")</f>
        <v/>
      </c>
      <c r="Z77">
        <f>HYPERLINK("https://klasma.github.io/Logging_0513/fåglar/A 32915-2025 prioriterade fågelarter.docx", "A 32915-2025")</f>
        <v/>
      </c>
    </row>
    <row r="78" ht="15" customHeight="1">
      <c r="A78" t="inlineStr">
        <is>
          <t>A 72592-2021</t>
        </is>
      </c>
      <c r="B78" s="1" t="n">
        <v>44546</v>
      </c>
      <c r="C78" s="1" t="n">
        <v>46093</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34263-2025</t>
        </is>
      </c>
      <c r="B79" s="1" t="n">
        <v>45845</v>
      </c>
      <c r="C79" s="1" t="n">
        <v>46093</v>
      </c>
      <c r="D79" t="inlineStr">
        <is>
          <t>ÖSTERGÖTLANDS LÄN</t>
        </is>
      </c>
      <c r="E79" t="inlineStr">
        <is>
          <t>ÖDESHÖG</t>
        </is>
      </c>
      <c r="G79" t="n">
        <v>33.6</v>
      </c>
      <c r="H79" t="n">
        <v>1</v>
      </c>
      <c r="I79" t="n">
        <v>2</v>
      </c>
      <c r="J79" t="n">
        <v>3</v>
      </c>
      <c r="K79" t="n">
        <v>0</v>
      </c>
      <c r="L79" t="n">
        <v>0</v>
      </c>
      <c r="M79" t="n">
        <v>0</v>
      </c>
      <c r="N79" t="n">
        <v>0</v>
      </c>
      <c r="O79" t="n">
        <v>3</v>
      </c>
      <c r="P79" t="n">
        <v>0</v>
      </c>
      <c r="Q79" t="n">
        <v>5</v>
      </c>
      <c r="R79" s="2" t="inlineStr">
        <is>
          <t>Grå kantarell
Majviva
Solvända
Korallrot
Underviol</t>
        </is>
      </c>
      <c r="S79">
        <f>HYPERLINK("https://klasma.github.io/Logging_0509/artfynd/A 34263-2025 artfynd.xlsx", "A 34263-2025")</f>
        <v/>
      </c>
      <c r="T79">
        <f>HYPERLINK("https://klasma.github.io/Logging_0509/kartor/A 34263-2025 karta.png", "A 34263-2025")</f>
        <v/>
      </c>
      <c r="V79">
        <f>HYPERLINK("https://klasma.github.io/Logging_0509/klagomål/A 34263-2025 FSC-klagomål.docx", "A 34263-2025")</f>
        <v/>
      </c>
      <c r="W79">
        <f>HYPERLINK("https://klasma.github.io/Logging_0509/klagomålsmail/A 34263-2025 FSC-klagomål mail.docx", "A 34263-2025")</f>
        <v/>
      </c>
      <c r="X79">
        <f>HYPERLINK("https://klasma.github.io/Logging_0509/tillsyn/A 34263-2025 tillsynsbegäran.docx", "A 34263-2025")</f>
        <v/>
      </c>
      <c r="Y79">
        <f>HYPERLINK("https://klasma.github.io/Logging_0509/tillsynsmail/A 34263-2025 tillsynsbegäran mail.docx", "A 34263-2025")</f>
        <v/>
      </c>
    </row>
    <row r="80" ht="15" customHeight="1">
      <c r="A80" t="inlineStr">
        <is>
          <t>A 40628-2025</t>
        </is>
      </c>
      <c r="B80" s="1" t="n">
        <v>45896.59030092593</v>
      </c>
      <c r="C80" s="1" t="n">
        <v>46093</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46093</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59356-2023</t>
        </is>
      </c>
      <c r="B82" s="1" t="n">
        <v>45253</v>
      </c>
      <c r="C82" s="1" t="n">
        <v>46093</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46766-2025</t>
        </is>
      </c>
      <c r="B83" s="1" t="n">
        <v>45926.62841435185</v>
      </c>
      <c r="C83" s="1" t="n">
        <v>46093</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37669-2025</t>
        </is>
      </c>
      <c r="B84" s="1" t="n">
        <v>45880</v>
      </c>
      <c r="C84" s="1" t="n">
        <v>46093</v>
      </c>
      <c r="D84" t="inlineStr">
        <is>
          <t>ÖSTERGÖTLANDS LÄN</t>
        </is>
      </c>
      <c r="E84" t="inlineStr">
        <is>
          <t>KINDA</t>
        </is>
      </c>
      <c r="G84" t="n">
        <v>8.5</v>
      </c>
      <c r="H84" t="n">
        <v>1</v>
      </c>
      <c r="I84" t="n">
        <v>3</v>
      </c>
      <c r="J84" t="n">
        <v>1</v>
      </c>
      <c r="K84" t="n">
        <v>1</v>
      </c>
      <c r="L84" t="n">
        <v>0</v>
      </c>
      <c r="M84" t="n">
        <v>0</v>
      </c>
      <c r="N84" t="n">
        <v>0</v>
      </c>
      <c r="O84" t="n">
        <v>2</v>
      </c>
      <c r="P84" t="n">
        <v>1</v>
      </c>
      <c r="Q84" t="n">
        <v>5</v>
      </c>
      <c r="R84" s="2" t="inlineStr">
        <is>
          <t>Knärot
Tallticka
Guldlockmossa
Mindre märgborre
Platt fjädermossa</t>
        </is>
      </c>
      <c r="S84">
        <f>HYPERLINK("https://klasma.github.io/Logging_0513/artfynd/A 37669-2025 artfynd.xlsx", "A 37669-2025")</f>
        <v/>
      </c>
      <c r="T84">
        <f>HYPERLINK("https://klasma.github.io/Logging_0513/kartor/A 37669-2025 karta.png", "A 37669-2025")</f>
        <v/>
      </c>
      <c r="U84">
        <f>HYPERLINK("https://klasma.github.io/Logging_0513/knärot/A 37669-2025 karta knärot.png", "A 37669-2025")</f>
        <v/>
      </c>
      <c r="V84">
        <f>HYPERLINK("https://klasma.github.io/Logging_0513/klagomål/A 37669-2025 FSC-klagomål.docx", "A 37669-2025")</f>
        <v/>
      </c>
      <c r="W84">
        <f>HYPERLINK("https://klasma.github.io/Logging_0513/klagomålsmail/A 37669-2025 FSC-klagomål mail.docx", "A 37669-2025")</f>
        <v/>
      </c>
      <c r="X84">
        <f>HYPERLINK("https://klasma.github.io/Logging_0513/tillsyn/A 37669-2025 tillsynsbegäran.docx", "A 37669-2025")</f>
        <v/>
      </c>
      <c r="Y84">
        <f>HYPERLINK("https://klasma.github.io/Logging_0513/tillsynsmail/A 37669-2025 tillsynsbegäran mail.docx", "A 37669-2025")</f>
        <v/>
      </c>
    </row>
    <row r="85" ht="15" customHeight="1">
      <c r="A85" t="inlineStr">
        <is>
          <t>A 55104-2025</t>
        </is>
      </c>
      <c r="B85" s="1" t="n">
        <v>45968.35777777778</v>
      </c>
      <c r="C85" s="1" t="n">
        <v>46093</v>
      </c>
      <c r="D85" t="inlineStr">
        <is>
          <t>ÖSTERGÖTLANDS LÄN</t>
        </is>
      </c>
      <c r="E85" t="inlineStr">
        <is>
          <t>NORRKÖPING</t>
        </is>
      </c>
      <c r="G85" t="n">
        <v>14.6</v>
      </c>
      <c r="H85" t="n">
        <v>1</v>
      </c>
      <c r="I85" t="n">
        <v>3</v>
      </c>
      <c r="J85" t="n">
        <v>1</v>
      </c>
      <c r="K85" t="n">
        <v>0</v>
      </c>
      <c r="L85" t="n">
        <v>1</v>
      </c>
      <c r="M85" t="n">
        <v>0</v>
      </c>
      <c r="N85" t="n">
        <v>0</v>
      </c>
      <c r="O85" t="n">
        <v>2</v>
      </c>
      <c r="P85" t="n">
        <v>1</v>
      </c>
      <c r="Q85" t="n">
        <v>5</v>
      </c>
      <c r="R85" s="2" t="inlineStr">
        <is>
          <t>Ask
Lunglav
Bårdlav
Ekoxe
Lönnlav</t>
        </is>
      </c>
      <c r="S85">
        <f>HYPERLINK("https://klasma.github.io/Logging_0581/artfynd/A 55104-2025 artfynd.xlsx", "A 55104-2025")</f>
        <v/>
      </c>
      <c r="T85">
        <f>HYPERLINK("https://klasma.github.io/Logging_0581/kartor/A 55104-2025 karta.png", "A 55104-2025")</f>
        <v/>
      </c>
      <c r="V85">
        <f>HYPERLINK("https://klasma.github.io/Logging_0581/klagomål/A 55104-2025 FSC-klagomål.docx", "A 55104-2025")</f>
        <v/>
      </c>
      <c r="W85">
        <f>HYPERLINK("https://klasma.github.io/Logging_0581/klagomålsmail/A 55104-2025 FSC-klagomål mail.docx", "A 55104-2025")</f>
        <v/>
      </c>
      <c r="X85">
        <f>HYPERLINK("https://klasma.github.io/Logging_0581/tillsyn/A 55104-2025 tillsynsbegäran.docx", "A 55104-2025")</f>
        <v/>
      </c>
      <c r="Y85">
        <f>HYPERLINK("https://klasma.github.io/Logging_0581/tillsynsmail/A 55104-2025 tillsynsbegäran mail.docx", "A 55104-2025")</f>
        <v/>
      </c>
    </row>
    <row r="86" ht="15" customHeight="1">
      <c r="A86" t="inlineStr">
        <is>
          <t>A 50496-2021</t>
        </is>
      </c>
      <c r="B86" s="1" t="n">
        <v>44458</v>
      </c>
      <c r="C86" s="1" t="n">
        <v>46093</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2165-2022</t>
        </is>
      </c>
      <c r="B87" s="1" t="n">
        <v>44578</v>
      </c>
      <c r="C87" s="1" t="n">
        <v>46093</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61791-2025</t>
        </is>
      </c>
      <c r="B88" s="1" t="n">
        <v>46002.69190972222</v>
      </c>
      <c r="C88" s="1" t="n">
        <v>46093</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37222-2023</t>
        </is>
      </c>
      <c r="B89" s="1" t="n">
        <v>45155</v>
      </c>
      <c r="C89" s="1" t="n">
        <v>46093</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15070-2025</t>
        </is>
      </c>
      <c r="B90" s="1" t="n">
        <v>45743.77388888889</v>
      </c>
      <c r="C90" s="1" t="n">
        <v>46093</v>
      </c>
      <c r="D90" t="inlineStr">
        <is>
          <t>ÖSTERGÖTLANDS LÄN</t>
        </is>
      </c>
      <c r="E90" t="inlineStr">
        <is>
          <t>MOTALA</t>
        </is>
      </c>
      <c r="F90" t="inlineStr">
        <is>
          <t>Sveaskog</t>
        </is>
      </c>
      <c r="G90" t="n">
        <v>7.7</v>
      </c>
      <c r="H90" t="n">
        <v>5</v>
      </c>
      <c r="I90" t="n">
        <v>0</v>
      </c>
      <c r="J90" t="n">
        <v>2</v>
      </c>
      <c r="K90" t="n">
        <v>0</v>
      </c>
      <c r="L90" t="n">
        <v>0</v>
      </c>
      <c r="M90" t="n">
        <v>0</v>
      </c>
      <c r="N90" t="n">
        <v>0</v>
      </c>
      <c r="O90" t="n">
        <v>2</v>
      </c>
      <c r="P90" t="n">
        <v>0</v>
      </c>
      <c r="Q90" t="n">
        <v>5</v>
      </c>
      <c r="R90" s="2" t="inlineStr">
        <is>
          <t>Entita
Järpe
Grönsiska
Kungsfågel
Tjäder</t>
        </is>
      </c>
      <c r="S90">
        <f>HYPERLINK("https://klasma.github.io/Logging_0583/artfynd/A 15070-2025 artfynd.xlsx", "A 15070-2025")</f>
        <v/>
      </c>
      <c r="T90">
        <f>HYPERLINK("https://klasma.github.io/Logging_0583/kartor/A 15070-2025 karta.png", "A 15070-2025")</f>
        <v/>
      </c>
      <c r="V90">
        <f>HYPERLINK("https://klasma.github.io/Logging_0583/klagomål/A 15070-2025 FSC-klagomål.docx", "A 15070-2025")</f>
        <v/>
      </c>
      <c r="W90">
        <f>HYPERLINK("https://klasma.github.io/Logging_0583/klagomålsmail/A 15070-2025 FSC-klagomål mail.docx", "A 15070-2025")</f>
        <v/>
      </c>
      <c r="X90">
        <f>HYPERLINK("https://klasma.github.io/Logging_0583/tillsyn/A 15070-2025 tillsynsbegäran.docx", "A 15070-2025")</f>
        <v/>
      </c>
      <c r="Y90">
        <f>HYPERLINK("https://klasma.github.io/Logging_0583/tillsynsmail/A 15070-2025 tillsynsbegäran mail.docx", "A 15070-2025")</f>
        <v/>
      </c>
      <c r="Z90">
        <f>HYPERLINK("https://klasma.github.io/Logging_0583/fåglar/A 15070-2025 prioriterade fågelarter.docx", "A 15070-2025")</f>
        <v/>
      </c>
    </row>
    <row r="91" ht="15" customHeight="1">
      <c r="A91" t="inlineStr">
        <is>
          <t>A 680-2026</t>
        </is>
      </c>
      <c r="B91" s="1" t="n">
        <v>46029.60304398148</v>
      </c>
      <c r="C91" s="1" t="n">
        <v>46093</v>
      </c>
      <c r="D91" t="inlineStr">
        <is>
          <t>ÖSTERGÖTLANDS LÄN</t>
        </is>
      </c>
      <c r="E91" t="inlineStr">
        <is>
          <t>ÅTVIDABERG</t>
        </is>
      </c>
      <c r="G91" t="n">
        <v>1.1</v>
      </c>
      <c r="H91" t="n">
        <v>1</v>
      </c>
      <c r="I91" t="n">
        <v>2</v>
      </c>
      <c r="J91" t="n">
        <v>3</v>
      </c>
      <c r="K91" t="n">
        <v>0</v>
      </c>
      <c r="L91" t="n">
        <v>0</v>
      </c>
      <c r="M91" t="n">
        <v>0</v>
      </c>
      <c r="N91" t="n">
        <v>0</v>
      </c>
      <c r="O91" t="n">
        <v>3</v>
      </c>
      <c r="P91" t="n">
        <v>0</v>
      </c>
      <c r="Q91" t="n">
        <v>5</v>
      </c>
      <c r="R91" s="2" t="inlineStr">
        <is>
          <t>Entita
Kådvaxskinn
Ullticka
Barkticka
Brandticka</t>
        </is>
      </c>
      <c r="S91">
        <f>HYPERLINK("https://klasma.github.io/Logging_0561/artfynd/A 680-2026 artfynd.xlsx", "A 680-2026")</f>
        <v/>
      </c>
      <c r="T91">
        <f>HYPERLINK("https://klasma.github.io/Logging_0561/kartor/A 680-2026 karta.png", "A 680-2026")</f>
        <v/>
      </c>
      <c r="V91">
        <f>HYPERLINK("https://klasma.github.io/Logging_0561/klagomål/A 680-2026 FSC-klagomål.docx", "A 680-2026")</f>
        <v/>
      </c>
      <c r="W91">
        <f>HYPERLINK("https://klasma.github.io/Logging_0561/klagomålsmail/A 680-2026 FSC-klagomål mail.docx", "A 680-2026")</f>
        <v/>
      </c>
      <c r="X91">
        <f>HYPERLINK("https://klasma.github.io/Logging_0561/tillsyn/A 680-2026 tillsynsbegäran.docx", "A 680-2026")</f>
        <v/>
      </c>
      <c r="Y91">
        <f>HYPERLINK("https://klasma.github.io/Logging_0561/tillsynsmail/A 680-2026 tillsynsbegäran mail.docx", "A 680-2026")</f>
        <v/>
      </c>
      <c r="Z91">
        <f>HYPERLINK("https://klasma.github.io/Logging_0561/fåglar/A 680-2026 prioriterade fågelarter.docx", "A 680-2026")</f>
        <v/>
      </c>
    </row>
    <row r="92" ht="15" customHeight="1">
      <c r="A92" t="inlineStr">
        <is>
          <t>A 11100-2025</t>
        </is>
      </c>
      <c r="B92" s="1" t="n">
        <v>45723.59275462963</v>
      </c>
      <c r="C92" s="1" t="n">
        <v>46093</v>
      </c>
      <c r="D92" t="inlineStr">
        <is>
          <t>ÖSTERGÖTLANDS LÄN</t>
        </is>
      </c>
      <c r="E92" t="inlineStr">
        <is>
          <t>NORRKÖPING</t>
        </is>
      </c>
      <c r="F92" t="inlineStr">
        <is>
          <t>Holmen skog AB</t>
        </is>
      </c>
      <c r="G92" t="n">
        <v>2</v>
      </c>
      <c r="H92" t="n">
        <v>1</v>
      </c>
      <c r="I92" t="n">
        <v>4</v>
      </c>
      <c r="J92" t="n">
        <v>1</v>
      </c>
      <c r="K92" t="n">
        <v>0</v>
      </c>
      <c r="L92" t="n">
        <v>0</v>
      </c>
      <c r="M92" t="n">
        <v>0</v>
      </c>
      <c r="N92" t="n">
        <v>0</v>
      </c>
      <c r="O92" t="n">
        <v>1</v>
      </c>
      <c r="P92" t="n">
        <v>0</v>
      </c>
      <c r="Q92" t="n">
        <v>5</v>
      </c>
      <c r="R92" s="2" t="inlineStr">
        <is>
          <t>Spillkråka
Fällmossa
Guldlockmossa
Platt fjädermossa
Trubbfjädermossa</t>
        </is>
      </c>
      <c r="S92">
        <f>HYPERLINK("https://klasma.github.io/Logging_0581/artfynd/A 11100-2025 artfynd.xlsx", "A 11100-2025")</f>
        <v/>
      </c>
      <c r="T92">
        <f>HYPERLINK("https://klasma.github.io/Logging_0581/kartor/A 11100-2025 karta.png", "A 11100-2025")</f>
        <v/>
      </c>
      <c r="V92">
        <f>HYPERLINK("https://klasma.github.io/Logging_0581/klagomål/A 11100-2025 FSC-klagomål.docx", "A 11100-2025")</f>
        <v/>
      </c>
      <c r="W92">
        <f>HYPERLINK("https://klasma.github.io/Logging_0581/klagomålsmail/A 11100-2025 FSC-klagomål mail.docx", "A 11100-2025")</f>
        <v/>
      </c>
      <c r="X92">
        <f>HYPERLINK("https://klasma.github.io/Logging_0581/tillsyn/A 11100-2025 tillsynsbegäran.docx", "A 11100-2025")</f>
        <v/>
      </c>
      <c r="Y92">
        <f>HYPERLINK("https://klasma.github.io/Logging_0581/tillsynsmail/A 11100-2025 tillsynsbegäran mail.docx", "A 11100-2025")</f>
        <v/>
      </c>
      <c r="Z92">
        <f>HYPERLINK("https://klasma.github.io/Logging_0581/fåglar/A 11100-2025 prioriterade fågelarter.docx", "A 11100-2025")</f>
        <v/>
      </c>
    </row>
    <row r="93" ht="15" customHeight="1">
      <c r="A93" t="inlineStr">
        <is>
          <t>A 14619-2025</t>
        </is>
      </c>
      <c r="B93" s="1" t="n">
        <v>45742.41269675926</v>
      </c>
      <c r="C93" s="1" t="n">
        <v>46093</v>
      </c>
      <c r="D93" t="inlineStr">
        <is>
          <t>ÖSTERGÖTLANDS LÄN</t>
        </is>
      </c>
      <c r="E93" t="inlineStr">
        <is>
          <t>NORRKÖPING</t>
        </is>
      </c>
      <c r="F93" t="inlineStr">
        <is>
          <t>Holmen skog AB</t>
        </is>
      </c>
      <c r="G93" t="n">
        <v>7</v>
      </c>
      <c r="H93" t="n">
        <v>2</v>
      </c>
      <c r="I93" t="n">
        <v>2</v>
      </c>
      <c r="J93" t="n">
        <v>1</v>
      </c>
      <c r="K93" t="n">
        <v>1</v>
      </c>
      <c r="L93" t="n">
        <v>0</v>
      </c>
      <c r="M93" t="n">
        <v>0</v>
      </c>
      <c r="N93" t="n">
        <v>0</v>
      </c>
      <c r="O93" t="n">
        <v>2</v>
      </c>
      <c r="P93" t="n">
        <v>1</v>
      </c>
      <c r="Q93" t="n">
        <v>5</v>
      </c>
      <c r="R93" s="2" t="inlineStr">
        <is>
          <t>Knärot
Vedtrappmossa
Grönpyrola
Stubbspretmossa
Mattlummer</t>
        </is>
      </c>
      <c r="S93">
        <f>HYPERLINK("https://klasma.github.io/Logging_0581/artfynd/A 14619-2025 artfynd.xlsx", "A 14619-2025")</f>
        <v/>
      </c>
      <c r="T93">
        <f>HYPERLINK("https://klasma.github.io/Logging_0581/kartor/A 14619-2025 karta.png", "A 14619-2025")</f>
        <v/>
      </c>
      <c r="U93">
        <f>HYPERLINK("https://klasma.github.io/Logging_0581/knärot/A 14619-2025 karta knärot.png", "A 14619-2025")</f>
        <v/>
      </c>
      <c r="V93">
        <f>HYPERLINK("https://klasma.github.io/Logging_0581/klagomål/A 14619-2025 FSC-klagomål.docx", "A 14619-2025")</f>
        <v/>
      </c>
      <c r="W93">
        <f>HYPERLINK("https://klasma.github.io/Logging_0581/klagomålsmail/A 14619-2025 FSC-klagomål mail.docx", "A 14619-2025")</f>
        <v/>
      </c>
      <c r="X93">
        <f>HYPERLINK("https://klasma.github.io/Logging_0581/tillsyn/A 14619-2025 tillsynsbegäran.docx", "A 14619-2025")</f>
        <v/>
      </c>
      <c r="Y93">
        <f>HYPERLINK("https://klasma.github.io/Logging_0581/tillsynsmail/A 14619-2025 tillsynsbegäran mail.docx", "A 14619-2025")</f>
        <v/>
      </c>
    </row>
    <row r="94" ht="15" customHeight="1">
      <c r="A94" t="inlineStr">
        <is>
          <t>A 27912-2025</t>
        </is>
      </c>
      <c r="B94" s="1" t="n">
        <v>45817.47909722223</v>
      </c>
      <c r="C94" s="1" t="n">
        <v>46093</v>
      </c>
      <c r="D94" t="inlineStr">
        <is>
          <t>ÖSTERGÖTLANDS LÄN</t>
        </is>
      </c>
      <c r="E94" t="inlineStr">
        <is>
          <t>NORRKÖPING</t>
        </is>
      </c>
      <c r="F94" t="inlineStr">
        <is>
          <t>Holmen skog AB</t>
        </is>
      </c>
      <c r="G94" t="n">
        <v>2</v>
      </c>
      <c r="H94" t="n">
        <v>0</v>
      </c>
      <c r="I94" t="n">
        <v>2</v>
      </c>
      <c r="J94" t="n">
        <v>3</v>
      </c>
      <c r="K94" t="n">
        <v>0</v>
      </c>
      <c r="L94" t="n">
        <v>0</v>
      </c>
      <c r="M94" t="n">
        <v>0</v>
      </c>
      <c r="N94" t="n">
        <v>0</v>
      </c>
      <c r="O94" t="n">
        <v>3</v>
      </c>
      <c r="P94" t="n">
        <v>0</v>
      </c>
      <c r="Q94" t="n">
        <v>5</v>
      </c>
      <c r="R94" s="2" t="inlineStr">
        <is>
          <t>Stubbtrådmossa
Vedskivlav
Vedtrappmossa
Dropptaggsvamp
Flagellkvastmossa</t>
        </is>
      </c>
      <c r="S94">
        <f>HYPERLINK("https://klasma.github.io/Logging_0581/artfynd/A 27912-2025 artfynd.xlsx", "A 27912-2025")</f>
        <v/>
      </c>
      <c r="T94">
        <f>HYPERLINK("https://klasma.github.io/Logging_0581/kartor/A 27912-2025 karta.png", "A 27912-2025")</f>
        <v/>
      </c>
      <c r="V94">
        <f>HYPERLINK("https://klasma.github.io/Logging_0581/klagomål/A 27912-2025 FSC-klagomål.docx", "A 27912-2025")</f>
        <v/>
      </c>
      <c r="W94">
        <f>HYPERLINK("https://klasma.github.io/Logging_0581/klagomålsmail/A 27912-2025 FSC-klagomål mail.docx", "A 27912-2025")</f>
        <v/>
      </c>
      <c r="X94">
        <f>HYPERLINK("https://klasma.github.io/Logging_0581/tillsyn/A 27912-2025 tillsynsbegäran.docx", "A 27912-2025")</f>
        <v/>
      </c>
      <c r="Y94">
        <f>HYPERLINK("https://klasma.github.io/Logging_0581/tillsynsmail/A 27912-2025 tillsynsbegäran mail.docx", "A 27912-2025")</f>
        <v/>
      </c>
    </row>
    <row r="95" ht="15" customHeight="1">
      <c r="A95" t="inlineStr">
        <is>
          <t>A 30910-2025</t>
        </is>
      </c>
      <c r="B95" s="1" t="n">
        <v>45832.36966435185</v>
      </c>
      <c r="C95" s="1" t="n">
        <v>46093</v>
      </c>
      <c r="D95" t="inlineStr">
        <is>
          <t>ÖSTERGÖTLANDS LÄN</t>
        </is>
      </c>
      <c r="E95" t="inlineStr">
        <is>
          <t>NORRKÖPING</t>
        </is>
      </c>
      <c r="F95" t="inlineStr">
        <is>
          <t>Holmen skog AB</t>
        </is>
      </c>
      <c r="G95" t="n">
        <v>8.4</v>
      </c>
      <c r="H95" t="n">
        <v>0</v>
      </c>
      <c r="I95" t="n">
        <v>4</v>
      </c>
      <c r="J95" t="n">
        <v>1</v>
      </c>
      <c r="K95" t="n">
        <v>0</v>
      </c>
      <c r="L95" t="n">
        <v>0</v>
      </c>
      <c r="M95" t="n">
        <v>0</v>
      </c>
      <c r="N95" t="n">
        <v>0</v>
      </c>
      <c r="O95" t="n">
        <v>1</v>
      </c>
      <c r="P95" t="n">
        <v>0</v>
      </c>
      <c r="Q95" t="n">
        <v>5</v>
      </c>
      <c r="R95" s="2" t="inlineStr">
        <is>
          <t>Vedskivlav
Blåmossa
Bronshjon
Grönpyrola
Mindre märgborre</t>
        </is>
      </c>
      <c r="S95">
        <f>HYPERLINK("https://klasma.github.io/Logging_0581/artfynd/A 30910-2025 artfynd.xlsx", "A 30910-2025")</f>
        <v/>
      </c>
      <c r="T95">
        <f>HYPERLINK("https://klasma.github.io/Logging_0581/kartor/A 30910-2025 karta.png", "A 30910-2025")</f>
        <v/>
      </c>
      <c r="V95">
        <f>HYPERLINK("https://klasma.github.io/Logging_0581/klagomål/A 30910-2025 FSC-klagomål.docx", "A 30910-2025")</f>
        <v/>
      </c>
      <c r="W95">
        <f>HYPERLINK("https://klasma.github.io/Logging_0581/klagomålsmail/A 30910-2025 FSC-klagomål mail.docx", "A 30910-2025")</f>
        <v/>
      </c>
      <c r="X95">
        <f>HYPERLINK("https://klasma.github.io/Logging_0581/tillsyn/A 30910-2025 tillsynsbegäran.docx", "A 30910-2025")</f>
        <v/>
      </c>
      <c r="Y95">
        <f>HYPERLINK("https://klasma.github.io/Logging_0581/tillsynsmail/A 30910-2025 tillsynsbegäran mail.docx", "A 30910-2025")</f>
        <v/>
      </c>
    </row>
    <row r="96" ht="15" customHeight="1">
      <c r="A96" t="inlineStr">
        <is>
          <t>A 39136-2021</t>
        </is>
      </c>
      <c r="B96" s="1" t="n">
        <v>44412</v>
      </c>
      <c r="C96" s="1" t="n">
        <v>46093</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46093</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46093</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46093</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46093</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46093</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21960-2024</t>
        </is>
      </c>
      <c r="B102" s="1" t="n">
        <v>45443</v>
      </c>
      <c r="C102" s="1" t="n">
        <v>46093</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62483-2021</t>
        </is>
      </c>
      <c r="B103" s="1" t="n">
        <v>44503.56430555556</v>
      </c>
      <c r="C103" s="1" t="n">
        <v>46093</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40119-2025</t>
        </is>
      </c>
      <c r="B104" s="1" t="n">
        <v>45894.52324074074</v>
      </c>
      <c r="C104" s="1" t="n">
        <v>46093</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46093</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43283-2024</t>
        </is>
      </c>
      <c r="B106" s="1" t="n">
        <v>45568</v>
      </c>
      <c r="C106" s="1" t="n">
        <v>46093</v>
      </c>
      <c r="D106" t="inlineStr">
        <is>
          <t>ÖSTERGÖTLANDS LÄN</t>
        </is>
      </c>
      <c r="E106" t="inlineStr">
        <is>
          <t>NORRKÖPING</t>
        </is>
      </c>
      <c r="F106" t="inlineStr">
        <is>
          <t>Holmen skog AB</t>
        </is>
      </c>
      <c r="G106" t="n">
        <v>2.2</v>
      </c>
      <c r="H106" t="n">
        <v>0</v>
      </c>
      <c r="I106" t="n">
        <v>1</v>
      </c>
      <c r="J106" t="n">
        <v>3</v>
      </c>
      <c r="K106" t="n">
        <v>0</v>
      </c>
      <c r="L106" t="n">
        <v>0</v>
      </c>
      <c r="M106" t="n">
        <v>0</v>
      </c>
      <c r="N106" t="n">
        <v>0</v>
      </c>
      <c r="O106" t="n">
        <v>3</v>
      </c>
      <c r="P106" t="n">
        <v>0</v>
      </c>
      <c r="Q106" t="n">
        <v>4</v>
      </c>
      <c r="R106" s="2" t="inlineStr">
        <is>
          <t>Dvärgbägarlav
Motaggsvamp
Vedskivlav
Flagellkvastmossa</t>
        </is>
      </c>
      <c r="S106">
        <f>HYPERLINK("https://klasma.github.io/Logging_0581/artfynd/A 43283-2024 artfynd.xlsx", "A 43283-2024")</f>
        <v/>
      </c>
      <c r="T106">
        <f>HYPERLINK("https://klasma.github.io/Logging_0581/kartor/A 43283-2024 karta.png", "A 43283-2024")</f>
        <v/>
      </c>
      <c r="V106">
        <f>HYPERLINK("https://klasma.github.io/Logging_0581/klagomål/A 43283-2024 FSC-klagomål.docx", "A 43283-2024")</f>
        <v/>
      </c>
      <c r="W106">
        <f>HYPERLINK("https://klasma.github.io/Logging_0581/klagomålsmail/A 43283-2024 FSC-klagomål mail.docx", "A 43283-2024")</f>
        <v/>
      </c>
      <c r="X106">
        <f>HYPERLINK("https://klasma.github.io/Logging_0581/tillsyn/A 43283-2024 tillsynsbegäran.docx", "A 43283-2024")</f>
        <v/>
      </c>
      <c r="Y106">
        <f>HYPERLINK("https://klasma.github.io/Logging_0581/tillsynsmail/A 43283-2024 tillsynsbegäran mail.docx", "A 43283-2024")</f>
        <v/>
      </c>
    </row>
    <row r="107" ht="15" customHeight="1">
      <c r="A107" t="inlineStr">
        <is>
          <t>A 44620-2025</t>
        </is>
      </c>
      <c r="B107" s="1" t="n">
        <v>45917.46651620371</v>
      </c>
      <c r="C107" s="1" t="n">
        <v>46093</v>
      </c>
      <c r="D107" t="inlineStr">
        <is>
          <t>ÖSTERGÖTLANDS LÄN</t>
        </is>
      </c>
      <c r="E107" t="inlineStr">
        <is>
          <t>NORRKÖPING</t>
        </is>
      </c>
      <c r="F107" t="inlineStr">
        <is>
          <t>Holmen skog AB</t>
        </is>
      </c>
      <c r="G107" t="n">
        <v>0.6</v>
      </c>
      <c r="H107" t="n">
        <v>0</v>
      </c>
      <c r="I107" t="n">
        <v>3</v>
      </c>
      <c r="J107" t="n">
        <v>1</v>
      </c>
      <c r="K107" t="n">
        <v>0</v>
      </c>
      <c r="L107" t="n">
        <v>0</v>
      </c>
      <c r="M107" t="n">
        <v>0</v>
      </c>
      <c r="N107" t="n">
        <v>0</v>
      </c>
      <c r="O107" t="n">
        <v>1</v>
      </c>
      <c r="P107" t="n">
        <v>0</v>
      </c>
      <c r="Q107" t="n">
        <v>4</v>
      </c>
      <c r="R107" s="2" t="inlineStr">
        <is>
          <t>Tallticka
Bronshjon
Flagellkvastmossa
Stubbspretmossa</t>
        </is>
      </c>
      <c r="S107">
        <f>HYPERLINK("https://klasma.github.io/Logging_0581/artfynd/A 44620-2025 artfynd.xlsx", "A 44620-2025")</f>
        <v/>
      </c>
      <c r="T107">
        <f>HYPERLINK("https://klasma.github.io/Logging_0581/kartor/A 44620-2025 karta.png", "A 44620-2025")</f>
        <v/>
      </c>
      <c r="U107">
        <f>HYPERLINK("https://klasma.github.io/Logging_0581/knärot/A 44620-2025 karta knärot.png", "A 44620-2025")</f>
        <v/>
      </c>
      <c r="V107">
        <f>HYPERLINK("https://klasma.github.io/Logging_0581/klagomål/A 44620-2025 FSC-klagomål.docx", "A 44620-2025")</f>
        <v/>
      </c>
      <c r="W107">
        <f>HYPERLINK("https://klasma.github.io/Logging_0581/klagomålsmail/A 44620-2025 FSC-klagomål mail.docx", "A 44620-2025")</f>
        <v/>
      </c>
      <c r="X107">
        <f>HYPERLINK("https://klasma.github.io/Logging_0581/tillsyn/A 44620-2025 tillsynsbegäran.docx", "A 44620-2025")</f>
        <v/>
      </c>
      <c r="Y107">
        <f>HYPERLINK("https://klasma.github.io/Logging_0581/tillsynsmail/A 44620-2025 tillsynsbegäran mail.docx", "A 44620-2025")</f>
        <v/>
      </c>
    </row>
    <row r="108" ht="15" customHeight="1">
      <c r="A108" t="inlineStr">
        <is>
          <t>A 44700-2025</t>
        </is>
      </c>
      <c r="B108" s="1" t="n">
        <v>45917.60378472223</v>
      </c>
      <c r="C108" s="1" t="n">
        <v>46093</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6578-2025</t>
        </is>
      </c>
      <c r="B109" s="1" t="n">
        <v>45699.88070601852</v>
      </c>
      <c r="C109" s="1" t="n">
        <v>46093</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40422-2022</t>
        </is>
      </c>
      <c r="B110" s="1" t="n">
        <v>44823</v>
      </c>
      <c r="C110" s="1" t="n">
        <v>46093</v>
      </c>
      <c r="D110" t="inlineStr">
        <is>
          <t>ÖSTERGÖTLANDS LÄN</t>
        </is>
      </c>
      <c r="E110" t="inlineStr">
        <is>
          <t>ÅTVIDABERG</t>
        </is>
      </c>
      <c r="G110" t="n">
        <v>11.3</v>
      </c>
      <c r="H110" t="n">
        <v>2</v>
      </c>
      <c r="I110" t="n">
        <v>4</v>
      </c>
      <c r="J110" t="n">
        <v>0</v>
      </c>
      <c r="K110" t="n">
        <v>0</v>
      </c>
      <c r="L110" t="n">
        <v>0</v>
      </c>
      <c r="M110" t="n">
        <v>0</v>
      </c>
      <c r="N110" t="n">
        <v>0</v>
      </c>
      <c r="O110" t="n">
        <v>0</v>
      </c>
      <c r="P110" t="n">
        <v>0</v>
      </c>
      <c r="Q110" t="n">
        <v>4</v>
      </c>
      <c r="R110" s="2" t="inlineStr">
        <is>
          <t>Grön sköldmossa
Korallrot
Stubbspretmossa
Tibast</t>
        </is>
      </c>
      <c r="S110">
        <f>HYPERLINK("https://klasma.github.io/Logging_0561/artfynd/A 40422-2022 artfynd.xlsx", "A 40422-2022")</f>
        <v/>
      </c>
      <c r="T110">
        <f>HYPERLINK("https://klasma.github.io/Logging_0561/kartor/A 40422-2022 karta.png", "A 40422-2022")</f>
        <v/>
      </c>
      <c r="V110">
        <f>HYPERLINK("https://klasma.github.io/Logging_0561/klagomål/A 40422-2022 FSC-klagomål.docx", "A 40422-2022")</f>
        <v/>
      </c>
      <c r="W110">
        <f>HYPERLINK("https://klasma.github.io/Logging_0561/klagomålsmail/A 40422-2022 FSC-klagomål mail.docx", "A 40422-2022")</f>
        <v/>
      </c>
      <c r="X110">
        <f>HYPERLINK("https://klasma.github.io/Logging_0561/tillsyn/A 40422-2022 tillsynsbegäran.docx", "A 40422-2022")</f>
        <v/>
      </c>
      <c r="Y110">
        <f>HYPERLINK("https://klasma.github.io/Logging_0561/tillsynsmail/A 40422-2022 tillsynsbegäran mail.docx", "A 40422-2022")</f>
        <v/>
      </c>
    </row>
    <row r="111" ht="15" customHeight="1">
      <c r="A111" t="inlineStr">
        <is>
          <t>A 17502-2022</t>
        </is>
      </c>
      <c r="B111" s="1" t="n">
        <v>44679</v>
      </c>
      <c r="C111" s="1" t="n">
        <v>46093</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48329-2025</t>
        </is>
      </c>
      <c r="B112" s="1" t="n">
        <v>45932</v>
      </c>
      <c r="C112" s="1" t="n">
        <v>46093</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57132-2024</t>
        </is>
      </c>
      <c r="B113" s="1" t="n">
        <v>45629.38376157408</v>
      </c>
      <c r="C113" s="1" t="n">
        <v>46093</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12567-2025</t>
        </is>
      </c>
      <c r="B114" s="1" t="n">
        <v>45731.65016203704</v>
      </c>
      <c r="C114" s="1" t="n">
        <v>46093</v>
      </c>
      <c r="D114" t="inlineStr">
        <is>
          <t>ÖSTERGÖTLANDS LÄN</t>
        </is>
      </c>
      <c r="E114" t="inlineStr">
        <is>
          <t>NORRKÖPING</t>
        </is>
      </c>
      <c r="G114" t="n">
        <v>15.6</v>
      </c>
      <c r="H114" t="n">
        <v>1</v>
      </c>
      <c r="I114" t="n">
        <v>1</v>
      </c>
      <c r="J114" t="n">
        <v>1</v>
      </c>
      <c r="K114" t="n">
        <v>1</v>
      </c>
      <c r="L114" t="n">
        <v>1</v>
      </c>
      <c r="M114" t="n">
        <v>0</v>
      </c>
      <c r="N114" t="n">
        <v>0</v>
      </c>
      <c r="O114" t="n">
        <v>3</v>
      </c>
      <c r="P114" t="n">
        <v>2</v>
      </c>
      <c r="Q114" t="n">
        <v>4</v>
      </c>
      <c r="R114" s="2" t="inlineStr">
        <is>
          <t>Ask
Knärot
Tallticka
Blåmossa</t>
        </is>
      </c>
      <c r="S114">
        <f>HYPERLINK("https://klasma.github.io/Logging_0581/artfynd/A 12567-2025 artfynd.xlsx", "A 12567-2025")</f>
        <v/>
      </c>
      <c r="T114">
        <f>HYPERLINK("https://klasma.github.io/Logging_0581/kartor/A 12567-2025 karta.png", "A 12567-2025")</f>
        <v/>
      </c>
      <c r="U114">
        <f>HYPERLINK("https://klasma.github.io/Logging_0581/knärot/A 12567-2025 karta knärot.png", "A 12567-2025")</f>
        <v/>
      </c>
      <c r="V114">
        <f>HYPERLINK("https://klasma.github.io/Logging_0581/klagomål/A 12567-2025 FSC-klagomål.docx", "A 12567-2025")</f>
        <v/>
      </c>
      <c r="W114">
        <f>HYPERLINK("https://klasma.github.io/Logging_0581/klagomålsmail/A 12567-2025 FSC-klagomål mail.docx", "A 12567-2025")</f>
        <v/>
      </c>
      <c r="X114">
        <f>HYPERLINK("https://klasma.github.io/Logging_0581/tillsyn/A 12567-2025 tillsynsbegäran.docx", "A 12567-2025")</f>
        <v/>
      </c>
      <c r="Y114">
        <f>HYPERLINK("https://klasma.github.io/Logging_0581/tillsynsmail/A 12567-2025 tillsynsbegäran mail.docx", "A 12567-2025")</f>
        <v/>
      </c>
    </row>
    <row r="115" ht="15" customHeight="1">
      <c r="A115" t="inlineStr">
        <is>
          <t>A 15475-2021</t>
        </is>
      </c>
      <c r="B115" s="1" t="n">
        <v>44285</v>
      </c>
      <c r="C115" s="1" t="n">
        <v>46093</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51020-2025</t>
        </is>
      </c>
      <c r="B116" s="1" t="n">
        <v>45947.38847222222</v>
      </c>
      <c r="C116" s="1" t="n">
        <v>46093</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37830-2025</t>
        </is>
      </c>
      <c r="B117" s="1" t="n">
        <v>45881.41636574074</v>
      </c>
      <c r="C117" s="1" t="n">
        <v>46093</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40469-2024</t>
        </is>
      </c>
      <c r="B118" s="1" t="n">
        <v>45555.53145833333</v>
      </c>
      <c r="C118" s="1" t="n">
        <v>46093</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9192-2025</t>
        </is>
      </c>
      <c r="B119" s="1" t="n">
        <v>45714.45943287037</v>
      </c>
      <c r="C119" s="1" t="n">
        <v>46093</v>
      </c>
      <c r="D119" t="inlineStr">
        <is>
          <t>ÖSTERGÖTLANDS LÄN</t>
        </is>
      </c>
      <c r="E119" t="inlineStr">
        <is>
          <t>LINKÖPING</t>
        </is>
      </c>
      <c r="F119" t="inlineStr">
        <is>
          <t>Allmännings- och besparingsskogar</t>
        </is>
      </c>
      <c r="G119" t="n">
        <v>17.4</v>
      </c>
      <c r="H119" t="n">
        <v>2</v>
      </c>
      <c r="I119" t="n">
        <v>3</v>
      </c>
      <c r="J119" t="n">
        <v>0</v>
      </c>
      <c r="K119" t="n">
        <v>0</v>
      </c>
      <c r="L119" t="n">
        <v>0</v>
      </c>
      <c r="M119" t="n">
        <v>0</v>
      </c>
      <c r="N119" t="n">
        <v>0</v>
      </c>
      <c r="O119" t="n">
        <v>0</v>
      </c>
      <c r="P119" t="n">
        <v>0</v>
      </c>
      <c r="Q119" t="n">
        <v>4</v>
      </c>
      <c r="R119" s="2" t="inlineStr">
        <is>
          <t>Grönpyrola
Purpurknipprot
Svart jordtunga
Fläcknycklar</t>
        </is>
      </c>
      <c r="S119">
        <f>HYPERLINK("https://klasma.github.io/Logging_0580/artfynd/A 9192-2025 artfynd.xlsx", "A 9192-2025")</f>
        <v/>
      </c>
      <c r="T119">
        <f>HYPERLINK("https://klasma.github.io/Logging_0580/kartor/A 9192-2025 karta.png", "A 9192-2025")</f>
        <v/>
      </c>
      <c r="V119">
        <f>HYPERLINK("https://klasma.github.io/Logging_0580/klagomål/A 9192-2025 FSC-klagomål.docx", "A 9192-2025")</f>
        <v/>
      </c>
      <c r="W119">
        <f>HYPERLINK("https://klasma.github.io/Logging_0580/klagomålsmail/A 9192-2025 FSC-klagomål mail.docx", "A 9192-2025")</f>
        <v/>
      </c>
      <c r="X119">
        <f>HYPERLINK("https://klasma.github.io/Logging_0580/tillsyn/A 9192-2025 tillsynsbegäran.docx", "A 9192-2025")</f>
        <v/>
      </c>
      <c r="Y119">
        <f>HYPERLINK("https://klasma.github.io/Logging_0580/tillsynsmail/A 9192-2025 tillsynsbegäran mail.docx", "A 9192-2025")</f>
        <v/>
      </c>
    </row>
    <row r="120" ht="15" customHeight="1">
      <c r="A120" t="inlineStr">
        <is>
          <t>A 18491-2023</t>
        </is>
      </c>
      <c r="B120" s="1" t="n">
        <v>45042</v>
      </c>
      <c r="C120" s="1" t="n">
        <v>46093</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36938-2023</t>
        </is>
      </c>
      <c r="B121" s="1" t="n">
        <v>45154.71289351852</v>
      </c>
      <c r="C121" s="1" t="n">
        <v>46093</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agg.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32058-2022</t>
        </is>
      </c>
      <c r="B122" s="1" t="n">
        <v>44778</v>
      </c>
      <c r="C122" s="1" t="n">
        <v>46093</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46093</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46093</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3617-2025</t>
        </is>
      </c>
      <c r="B125" s="1" t="n">
        <v>45681</v>
      </c>
      <c r="C125" s="1" t="n">
        <v>46093</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21664-2025</t>
        </is>
      </c>
      <c r="B126" s="1" t="n">
        <v>45783.45811342593</v>
      </c>
      <c r="C126" s="1" t="n">
        <v>46093</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46093</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22312-2022</t>
        </is>
      </c>
      <c r="B128" s="1" t="n">
        <v>44712</v>
      </c>
      <c r="C128" s="1" t="n">
        <v>46093</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35665-2024</t>
        </is>
      </c>
      <c r="B129" s="1" t="n">
        <v>45532</v>
      </c>
      <c r="C129" s="1" t="n">
        <v>46093</v>
      </c>
      <c r="D129" t="inlineStr">
        <is>
          <t>ÖSTERGÖTLANDS LÄN</t>
        </is>
      </c>
      <c r="E129" t="inlineStr">
        <is>
          <t>BOXHOLM</t>
        </is>
      </c>
      <c r="G129" t="n">
        <v>1.8</v>
      </c>
      <c r="H129" t="n">
        <v>0</v>
      </c>
      <c r="I129" t="n">
        <v>3</v>
      </c>
      <c r="J129" t="n">
        <v>0</v>
      </c>
      <c r="K129" t="n">
        <v>0</v>
      </c>
      <c r="L129" t="n">
        <v>0</v>
      </c>
      <c r="M129" t="n">
        <v>0</v>
      </c>
      <c r="N129" t="n">
        <v>0</v>
      </c>
      <c r="O129" t="n">
        <v>0</v>
      </c>
      <c r="P129" t="n">
        <v>0</v>
      </c>
      <c r="Q129" t="n">
        <v>3</v>
      </c>
      <c r="R129" s="2" t="inlineStr">
        <is>
          <t>Hässleklocka
Svart trolldruva
Underviol</t>
        </is>
      </c>
      <c r="S129">
        <f>HYPERLINK("https://klasma.github.io/Logging_0560/artfynd/A 35665-2024 artfynd.xlsx", "A 35665-2024")</f>
        <v/>
      </c>
      <c r="T129">
        <f>HYPERLINK("https://klasma.github.io/Logging_0560/kartor/A 35665-2024 karta.png", "A 35665-2024")</f>
        <v/>
      </c>
      <c r="V129">
        <f>HYPERLINK("https://klasma.github.io/Logging_0560/klagomål/A 35665-2024 FSC-klagomål.docx", "A 35665-2024")</f>
        <v/>
      </c>
      <c r="W129">
        <f>HYPERLINK("https://klasma.github.io/Logging_0560/klagomålsmail/A 35665-2024 FSC-klagomål mail.docx", "A 35665-2024")</f>
        <v/>
      </c>
      <c r="X129">
        <f>HYPERLINK("https://klasma.github.io/Logging_0560/tillsyn/A 35665-2024 tillsynsbegäran.docx", "A 35665-2024")</f>
        <v/>
      </c>
      <c r="Y129">
        <f>HYPERLINK("https://klasma.github.io/Logging_0560/tillsynsmail/A 35665-2024 tillsynsbegäran mail.docx", "A 35665-2024")</f>
        <v/>
      </c>
    </row>
    <row r="130" ht="15" customHeight="1">
      <c r="A130" t="inlineStr">
        <is>
          <t>A 3721-2023</t>
        </is>
      </c>
      <c r="B130" s="1" t="n">
        <v>44951</v>
      </c>
      <c r="C130" s="1" t="n">
        <v>46093</v>
      </c>
      <c r="D130" t="inlineStr">
        <is>
          <t>ÖSTERGÖTLANDS LÄN</t>
        </is>
      </c>
      <c r="E130" t="inlineStr">
        <is>
          <t>MOTALA</t>
        </is>
      </c>
      <c r="F130" t="inlineStr">
        <is>
          <t>Kommuner</t>
        </is>
      </c>
      <c r="G130" t="n">
        <v>4.7</v>
      </c>
      <c r="H130" t="n">
        <v>1</v>
      </c>
      <c r="I130" t="n">
        <v>2</v>
      </c>
      <c r="J130" t="n">
        <v>0</v>
      </c>
      <c r="K130" t="n">
        <v>0</v>
      </c>
      <c r="L130" t="n">
        <v>0</v>
      </c>
      <c r="M130" t="n">
        <v>0</v>
      </c>
      <c r="N130" t="n">
        <v>0</v>
      </c>
      <c r="O130" t="n">
        <v>0</v>
      </c>
      <c r="P130" t="n">
        <v>0</v>
      </c>
      <c r="Q130" t="n">
        <v>3</v>
      </c>
      <c r="R130" s="2" t="inlineStr">
        <is>
          <t>Flagellkvastmossa
Kornknutmossa
Kungsfågel</t>
        </is>
      </c>
      <c r="S130">
        <f>HYPERLINK("https://klasma.github.io/Logging_0583/artfynd/A 3721-2023 artfynd.xlsx", "A 3721-2023")</f>
        <v/>
      </c>
      <c r="T130">
        <f>HYPERLINK("https://klasma.github.io/Logging_0583/kartor/A 3721-2023 karta.png", "A 3721-2023")</f>
        <v/>
      </c>
      <c r="U130">
        <f>HYPERLINK("https://klasma.github.io/Logging_0583/knärot/A 3721-2023 karta knärot.png", "A 3721-2023")</f>
        <v/>
      </c>
      <c r="V130">
        <f>HYPERLINK("https://klasma.github.io/Logging_0583/klagomål/A 3721-2023 FSC-klagomål.docx", "A 3721-2023")</f>
        <v/>
      </c>
      <c r="W130">
        <f>HYPERLINK("https://klasma.github.io/Logging_0583/klagomålsmail/A 3721-2023 FSC-klagomål mail.docx", "A 3721-2023")</f>
        <v/>
      </c>
      <c r="X130">
        <f>HYPERLINK("https://klasma.github.io/Logging_0583/tillsyn/A 3721-2023 tillsynsbegäran.docx", "A 3721-2023")</f>
        <v/>
      </c>
      <c r="Y130">
        <f>HYPERLINK("https://klasma.github.io/Logging_0583/tillsynsmail/A 3721-2023 tillsynsbegäran mail.docx", "A 3721-2023")</f>
        <v/>
      </c>
      <c r="Z130">
        <f>HYPERLINK("https://klasma.github.io/Logging_0583/fåglar/A 3721-2023 prioriterade fågelarter.docx", "A 3721-2023")</f>
        <v/>
      </c>
    </row>
    <row r="131" ht="15" customHeight="1">
      <c r="A131" t="inlineStr">
        <is>
          <t>A 8468-2023</t>
        </is>
      </c>
      <c r="B131" s="1" t="n">
        <v>44977</v>
      </c>
      <c r="C131" s="1" t="n">
        <v>46093</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67603-2021</t>
        </is>
      </c>
      <c r="B132" s="1" t="n">
        <v>44524</v>
      </c>
      <c r="C132" s="1" t="n">
        <v>46093</v>
      </c>
      <c r="D132" t="inlineStr">
        <is>
          <t>ÖSTERGÖTLANDS LÄN</t>
        </is>
      </c>
      <c r="E132" t="inlineStr">
        <is>
          <t>MJÖLBY</t>
        </is>
      </c>
      <c r="G132" t="n">
        <v>5.1</v>
      </c>
      <c r="H132" t="n">
        <v>1</v>
      </c>
      <c r="I132" t="n">
        <v>2</v>
      </c>
      <c r="J132" t="n">
        <v>0</v>
      </c>
      <c r="K132" t="n">
        <v>1</v>
      </c>
      <c r="L132" t="n">
        <v>0</v>
      </c>
      <c r="M132" t="n">
        <v>0</v>
      </c>
      <c r="N132" t="n">
        <v>0</v>
      </c>
      <c r="O132" t="n">
        <v>1</v>
      </c>
      <c r="P132" t="n">
        <v>1</v>
      </c>
      <c r="Q132" t="n">
        <v>3</v>
      </c>
      <c r="R132" s="2" t="inlineStr">
        <is>
          <t>Backsippa
Plattad jordtunga
Svart jordtunga</t>
        </is>
      </c>
      <c r="S132">
        <f>HYPERLINK("https://klasma.github.io/Logging_0586/artfynd/A 67603-2021 artfynd.xlsx", "A 67603-2021")</f>
        <v/>
      </c>
      <c r="T132">
        <f>HYPERLINK("https://klasma.github.io/Logging_0586/kartor/A 67603-2021 karta.png", "A 67603-2021")</f>
        <v/>
      </c>
      <c r="V132">
        <f>HYPERLINK("https://klasma.github.io/Logging_0586/klagomål/A 67603-2021 FSC-klagomål.docx", "A 67603-2021")</f>
        <v/>
      </c>
      <c r="W132">
        <f>HYPERLINK("https://klasma.github.io/Logging_0586/klagomålsmail/A 67603-2021 FSC-klagomål mail.docx", "A 67603-2021")</f>
        <v/>
      </c>
      <c r="X132">
        <f>HYPERLINK("https://klasma.github.io/Logging_0586/tillsyn/A 67603-2021 tillsynsbegäran.docx", "A 67603-2021")</f>
        <v/>
      </c>
      <c r="Y132">
        <f>HYPERLINK("https://klasma.github.io/Logging_0586/tillsynsmail/A 67603-2021 tillsynsbegäran mail.docx", "A 67603-2021")</f>
        <v/>
      </c>
    </row>
    <row r="133" ht="15" customHeight="1">
      <c r="A133" t="inlineStr">
        <is>
          <t>A 11477-2025</t>
        </is>
      </c>
      <c r="B133" s="1" t="n">
        <v>45726.67396990741</v>
      </c>
      <c r="C133" s="1" t="n">
        <v>46093</v>
      </c>
      <c r="D133" t="inlineStr">
        <is>
          <t>ÖSTERGÖTLANDS LÄN</t>
        </is>
      </c>
      <c r="E133" t="inlineStr">
        <is>
          <t>KINDA</t>
        </is>
      </c>
      <c r="G133" t="n">
        <v>4.1</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11477-2025 artfynd.xlsx", "A 11477-2025")</f>
        <v/>
      </c>
      <c r="T133">
        <f>HYPERLINK("https://klasma.github.io/Logging_0513/kartor/A 11477-2025 karta.png", "A 11477-2025")</f>
        <v/>
      </c>
      <c r="U133">
        <f>HYPERLINK("https://klasma.github.io/Logging_0513/knärot/A 11477-2025 karta knärot.png", "A 11477-2025")</f>
        <v/>
      </c>
      <c r="V133">
        <f>HYPERLINK("https://klasma.github.io/Logging_0513/klagomål/A 11477-2025 FSC-klagomål.docx", "A 11477-2025")</f>
        <v/>
      </c>
      <c r="W133">
        <f>HYPERLINK("https://klasma.github.io/Logging_0513/klagomålsmail/A 11477-2025 FSC-klagomål mail.docx", "A 11477-2025")</f>
        <v/>
      </c>
      <c r="X133">
        <f>HYPERLINK("https://klasma.github.io/Logging_0513/tillsyn/A 11477-2025 tillsynsbegäran.docx", "A 11477-2025")</f>
        <v/>
      </c>
      <c r="Y133">
        <f>HYPERLINK("https://klasma.github.io/Logging_0513/tillsynsmail/A 11477-2025 tillsynsbegäran mail.docx", "A 11477-2025")</f>
        <v/>
      </c>
    </row>
    <row r="134" ht="15" customHeight="1">
      <c r="A134" t="inlineStr">
        <is>
          <t>A 38913-2023</t>
        </is>
      </c>
      <c r="B134" s="1" t="n">
        <v>45163</v>
      </c>
      <c r="C134" s="1" t="n">
        <v>46093</v>
      </c>
      <c r="D134" t="inlineStr">
        <is>
          <t>ÖSTERGÖTLANDS LÄN</t>
        </is>
      </c>
      <c r="E134" t="inlineStr">
        <is>
          <t>LINKÖPING</t>
        </is>
      </c>
      <c r="G134" t="n">
        <v>2.7</v>
      </c>
      <c r="H134" t="n">
        <v>2</v>
      </c>
      <c r="I134" t="n">
        <v>1</v>
      </c>
      <c r="J134" t="n">
        <v>0</v>
      </c>
      <c r="K134" t="n">
        <v>0</v>
      </c>
      <c r="L134" t="n">
        <v>0</v>
      </c>
      <c r="M134" t="n">
        <v>0</v>
      </c>
      <c r="N134" t="n">
        <v>0</v>
      </c>
      <c r="O134" t="n">
        <v>0</v>
      </c>
      <c r="P134" t="n">
        <v>0</v>
      </c>
      <c r="Q134" t="n">
        <v>3</v>
      </c>
      <c r="R134" s="2" t="inlineStr">
        <is>
          <t>Skogsbräsma
Dubbelnycklar
Revlummer</t>
        </is>
      </c>
      <c r="S134">
        <f>HYPERLINK("https://klasma.github.io/Logging_0580/artfynd/A 38913-2023 artfynd.xlsx", "A 38913-2023")</f>
        <v/>
      </c>
      <c r="T134">
        <f>HYPERLINK("https://klasma.github.io/Logging_0580/kartor/A 38913-2023 karta.png", "A 38913-2023")</f>
        <v/>
      </c>
      <c r="V134">
        <f>HYPERLINK("https://klasma.github.io/Logging_0580/klagomål/A 38913-2023 FSC-klagomål.docx", "A 38913-2023")</f>
        <v/>
      </c>
      <c r="W134">
        <f>HYPERLINK("https://klasma.github.io/Logging_0580/klagomålsmail/A 38913-2023 FSC-klagomål mail.docx", "A 38913-2023")</f>
        <v/>
      </c>
      <c r="X134">
        <f>HYPERLINK("https://klasma.github.io/Logging_0580/tillsyn/A 38913-2023 tillsynsbegäran.docx", "A 38913-2023")</f>
        <v/>
      </c>
      <c r="Y134">
        <f>HYPERLINK("https://klasma.github.io/Logging_0580/tillsynsmail/A 38913-2023 tillsynsbegäran mail.docx", "A 38913-2023")</f>
        <v/>
      </c>
    </row>
    <row r="135" ht="15" customHeight="1">
      <c r="A135" t="inlineStr">
        <is>
          <t>A 51538-2024</t>
        </is>
      </c>
      <c r="B135" s="1" t="n">
        <v>45604</v>
      </c>
      <c r="C135" s="1" t="n">
        <v>46093</v>
      </c>
      <c r="D135" t="inlineStr">
        <is>
          <t>ÖSTERGÖTLANDS LÄN</t>
        </is>
      </c>
      <c r="E135" t="inlineStr">
        <is>
          <t>NORRKÖPING</t>
        </is>
      </c>
      <c r="F135" t="inlineStr">
        <is>
          <t>Holmen skog AB</t>
        </is>
      </c>
      <c r="G135" t="n">
        <v>1.6</v>
      </c>
      <c r="H135" t="n">
        <v>1</v>
      </c>
      <c r="I135" t="n">
        <v>2</v>
      </c>
      <c r="J135" t="n">
        <v>0</v>
      </c>
      <c r="K135" t="n">
        <v>0</v>
      </c>
      <c r="L135" t="n">
        <v>0</v>
      </c>
      <c r="M135" t="n">
        <v>0</v>
      </c>
      <c r="N135" t="n">
        <v>0</v>
      </c>
      <c r="O135" t="n">
        <v>0</v>
      </c>
      <c r="P135" t="n">
        <v>0</v>
      </c>
      <c r="Q135" t="n">
        <v>3</v>
      </c>
      <c r="R135" s="2" t="inlineStr">
        <is>
          <t>Fällmossa
Hasselticka
Blåsippa</t>
        </is>
      </c>
      <c r="S135">
        <f>HYPERLINK("https://klasma.github.io/Logging_0581/artfynd/A 51538-2024 artfynd.xlsx", "A 51538-2024")</f>
        <v/>
      </c>
      <c r="T135">
        <f>HYPERLINK("https://klasma.github.io/Logging_0581/kartor/A 51538-2024 karta.png", "A 51538-2024")</f>
        <v/>
      </c>
      <c r="V135">
        <f>HYPERLINK("https://klasma.github.io/Logging_0581/klagomål/A 51538-2024 FSC-klagomål.docx", "A 51538-2024")</f>
        <v/>
      </c>
      <c r="W135">
        <f>HYPERLINK("https://klasma.github.io/Logging_0581/klagomålsmail/A 51538-2024 FSC-klagomål mail.docx", "A 51538-2024")</f>
        <v/>
      </c>
      <c r="X135">
        <f>HYPERLINK("https://klasma.github.io/Logging_0581/tillsyn/A 51538-2024 tillsynsbegäran.docx", "A 51538-2024")</f>
        <v/>
      </c>
      <c r="Y135">
        <f>HYPERLINK("https://klasma.github.io/Logging_0581/tillsynsmail/A 51538-2024 tillsynsbegäran mail.docx", "A 51538-2024")</f>
        <v/>
      </c>
    </row>
    <row r="136" ht="15" customHeight="1">
      <c r="A136" t="inlineStr">
        <is>
          <t>A 35797-2025</t>
        </is>
      </c>
      <c r="B136" s="1" t="n">
        <v>45861.36827546296</v>
      </c>
      <c r="C136" s="1" t="n">
        <v>46093</v>
      </c>
      <c r="D136" t="inlineStr">
        <is>
          <t>ÖSTERGÖTLANDS LÄN</t>
        </is>
      </c>
      <c r="E136" t="inlineStr">
        <is>
          <t>MOTALA</t>
        </is>
      </c>
      <c r="F136" t="inlineStr">
        <is>
          <t>Sveaskog</t>
        </is>
      </c>
      <c r="G136" t="n">
        <v>2</v>
      </c>
      <c r="H136" t="n">
        <v>1</v>
      </c>
      <c r="I136" t="n">
        <v>2</v>
      </c>
      <c r="J136" t="n">
        <v>1</v>
      </c>
      <c r="K136" t="n">
        <v>0</v>
      </c>
      <c r="L136" t="n">
        <v>0</v>
      </c>
      <c r="M136" t="n">
        <v>0</v>
      </c>
      <c r="N136" t="n">
        <v>0</v>
      </c>
      <c r="O136" t="n">
        <v>1</v>
      </c>
      <c r="P136" t="n">
        <v>0</v>
      </c>
      <c r="Q136" t="n">
        <v>3</v>
      </c>
      <c r="R136" s="2" t="inlineStr">
        <is>
          <t>Spillkråka
Grönpyrola
Zontaggsvamp</t>
        </is>
      </c>
      <c r="S136">
        <f>HYPERLINK("https://klasma.github.io/Logging_0583/artfynd/A 35797-2025 artfynd.xlsx", "A 35797-2025")</f>
        <v/>
      </c>
      <c r="T136">
        <f>HYPERLINK("https://klasma.github.io/Logging_0583/kartor/A 35797-2025 karta.png", "A 35797-2025")</f>
        <v/>
      </c>
      <c r="V136">
        <f>HYPERLINK("https://klasma.github.io/Logging_0583/klagomål/A 35797-2025 FSC-klagomål.docx", "A 35797-2025")</f>
        <v/>
      </c>
      <c r="W136">
        <f>HYPERLINK("https://klasma.github.io/Logging_0583/klagomålsmail/A 35797-2025 FSC-klagomål mail.docx", "A 35797-2025")</f>
        <v/>
      </c>
      <c r="X136">
        <f>HYPERLINK("https://klasma.github.io/Logging_0583/tillsyn/A 35797-2025 tillsynsbegäran.docx", "A 35797-2025")</f>
        <v/>
      </c>
      <c r="Y136">
        <f>HYPERLINK("https://klasma.github.io/Logging_0583/tillsynsmail/A 35797-2025 tillsynsbegäran mail.docx", "A 35797-2025")</f>
        <v/>
      </c>
      <c r="Z136">
        <f>HYPERLINK("https://klasma.github.io/Logging_0583/fåglar/A 35797-2025 prioriterade fågelarter.docx", "A 35797-2025")</f>
        <v/>
      </c>
    </row>
    <row r="137" ht="15" customHeight="1">
      <c r="A137" t="inlineStr">
        <is>
          <t>A 43914-2023</t>
        </is>
      </c>
      <c r="B137" s="1" t="n">
        <v>45187</v>
      </c>
      <c r="C137" s="1" t="n">
        <v>46093</v>
      </c>
      <c r="D137" t="inlineStr">
        <is>
          <t>ÖSTERGÖTLANDS LÄN</t>
        </is>
      </c>
      <c r="E137" t="inlineStr">
        <is>
          <t>FINSPÅNG</t>
        </is>
      </c>
      <c r="F137" t="inlineStr">
        <is>
          <t>Holmen skog AB</t>
        </is>
      </c>
      <c r="G137" t="n">
        <v>6.6</v>
      </c>
      <c r="H137" t="n">
        <v>0</v>
      </c>
      <c r="I137" t="n">
        <v>3</v>
      </c>
      <c r="J137" t="n">
        <v>0</v>
      </c>
      <c r="K137" t="n">
        <v>0</v>
      </c>
      <c r="L137" t="n">
        <v>0</v>
      </c>
      <c r="M137" t="n">
        <v>0</v>
      </c>
      <c r="N137" t="n">
        <v>0</v>
      </c>
      <c r="O137" t="n">
        <v>0</v>
      </c>
      <c r="P137" t="n">
        <v>0</v>
      </c>
      <c r="Q137" t="n">
        <v>3</v>
      </c>
      <c r="R137" s="2" t="inlineStr">
        <is>
          <t>Blåmossa
Dropptaggsvamp
Mindre märgborre</t>
        </is>
      </c>
      <c r="S137">
        <f>HYPERLINK("https://klasma.github.io/Logging_0562/artfynd/A 43914-2023 artfynd.xlsx", "A 43914-2023")</f>
        <v/>
      </c>
      <c r="T137">
        <f>HYPERLINK("https://klasma.github.io/Logging_0562/kartor/A 43914-2023 karta.png", "A 43914-2023")</f>
        <v/>
      </c>
      <c r="V137">
        <f>HYPERLINK("https://klasma.github.io/Logging_0562/klagomål/A 43914-2023 FSC-klagomål.docx", "A 43914-2023")</f>
        <v/>
      </c>
      <c r="W137">
        <f>HYPERLINK("https://klasma.github.io/Logging_0562/klagomålsmail/A 43914-2023 FSC-klagomål mail.docx", "A 43914-2023")</f>
        <v/>
      </c>
      <c r="X137">
        <f>HYPERLINK("https://klasma.github.io/Logging_0562/tillsyn/A 43914-2023 tillsynsbegäran.docx", "A 43914-2023")</f>
        <v/>
      </c>
      <c r="Y137">
        <f>HYPERLINK("https://klasma.github.io/Logging_0562/tillsynsmail/A 43914-2023 tillsynsbegäran mail.docx", "A 43914-2023")</f>
        <v/>
      </c>
    </row>
    <row r="138" ht="15" customHeight="1">
      <c r="A138" t="inlineStr">
        <is>
          <t>A 42434-2025</t>
        </is>
      </c>
      <c r="B138" s="1" t="n">
        <v>45905.42704861111</v>
      </c>
      <c r="C138" s="1" t="n">
        <v>46093</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8451-2025</t>
        </is>
      </c>
      <c r="B139" s="1" t="n">
        <v>45709</v>
      </c>
      <c r="C139" s="1" t="n">
        <v>46093</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41583-2025</t>
        </is>
      </c>
      <c r="B140" s="1" t="n">
        <v>45901.62307870371</v>
      </c>
      <c r="C140" s="1" t="n">
        <v>46093</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27667-2022</t>
        </is>
      </c>
      <c r="B141" s="1" t="n">
        <v>44743.39091435185</v>
      </c>
      <c r="C141" s="1" t="n">
        <v>46093</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19973-2025</t>
        </is>
      </c>
      <c r="B142" s="1" t="n">
        <v>45771.69168981481</v>
      </c>
      <c r="C142" s="1" t="n">
        <v>46093</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8023-2025</t>
        </is>
      </c>
      <c r="B143" s="1" t="n">
        <v>45707.57879629629</v>
      </c>
      <c r="C143" s="1" t="n">
        <v>46093</v>
      </c>
      <c r="D143" t="inlineStr">
        <is>
          <t>ÖSTERGÖTLANDS LÄN</t>
        </is>
      </c>
      <c r="E143" t="inlineStr">
        <is>
          <t>FINSPÅNG</t>
        </is>
      </c>
      <c r="F143" t="inlineStr">
        <is>
          <t>Holmen skog AB</t>
        </is>
      </c>
      <c r="G143" t="n">
        <v>13.8</v>
      </c>
      <c r="H143" t="n">
        <v>1</v>
      </c>
      <c r="I143" t="n">
        <v>2</v>
      </c>
      <c r="J143" t="n">
        <v>0</v>
      </c>
      <c r="K143" t="n">
        <v>0</v>
      </c>
      <c r="L143" t="n">
        <v>0</v>
      </c>
      <c r="M143" t="n">
        <v>0</v>
      </c>
      <c r="N143" t="n">
        <v>0</v>
      </c>
      <c r="O143" t="n">
        <v>0</v>
      </c>
      <c r="P143" t="n">
        <v>0</v>
      </c>
      <c r="Q143" t="n">
        <v>3</v>
      </c>
      <c r="R143" s="2" t="inlineStr">
        <is>
          <t>Bårdlav
Klippfrullania
Blåsippa</t>
        </is>
      </c>
      <c r="S143">
        <f>HYPERLINK("https://klasma.github.io/Logging_0562/artfynd/A 8023-2025 artfynd.xlsx", "A 8023-2025")</f>
        <v/>
      </c>
      <c r="T143">
        <f>HYPERLINK("https://klasma.github.io/Logging_0562/kartor/A 8023-2025 karta.png", "A 8023-2025")</f>
        <v/>
      </c>
      <c r="U143">
        <f>HYPERLINK("https://klasma.github.io/Logging_0562/knärot/A 8023-2025 karta knärot.png", "A 8023-2025")</f>
        <v/>
      </c>
      <c r="V143">
        <f>HYPERLINK("https://klasma.github.io/Logging_0562/klagomål/A 8023-2025 FSC-klagomål.docx", "A 8023-2025")</f>
        <v/>
      </c>
      <c r="W143">
        <f>HYPERLINK("https://klasma.github.io/Logging_0562/klagomålsmail/A 8023-2025 FSC-klagomål mail.docx", "A 8023-2025")</f>
        <v/>
      </c>
      <c r="X143">
        <f>HYPERLINK("https://klasma.github.io/Logging_0562/tillsyn/A 8023-2025 tillsynsbegäran.docx", "A 8023-2025")</f>
        <v/>
      </c>
      <c r="Y143">
        <f>HYPERLINK("https://klasma.github.io/Logging_0562/tillsynsmail/A 8023-2025 tillsynsbegäran mail.docx", "A 8023-2025")</f>
        <v/>
      </c>
    </row>
    <row r="144" ht="15" customHeight="1">
      <c r="A144" t="inlineStr">
        <is>
          <t>A 36575-2025</t>
        </is>
      </c>
      <c r="B144" s="1" t="n">
        <v>45870.40766203704</v>
      </c>
      <c r="C144" s="1" t="n">
        <v>46093</v>
      </c>
      <c r="D144" t="inlineStr">
        <is>
          <t>ÖSTERGÖTLANDS LÄN</t>
        </is>
      </c>
      <c r="E144" t="inlineStr">
        <is>
          <t>BOXHOLM</t>
        </is>
      </c>
      <c r="F144" t="inlineStr">
        <is>
          <t>Övriga Aktiebolag</t>
        </is>
      </c>
      <c r="G144" t="n">
        <v>5</v>
      </c>
      <c r="H144" t="n">
        <v>0</v>
      </c>
      <c r="I144" t="n">
        <v>0</v>
      </c>
      <c r="J144" t="n">
        <v>3</v>
      </c>
      <c r="K144" t="n">
        <v>0</v>
      </c>
      <c r="L144" t="n">
        <v>0</v>
      </c>
      <c r="M144" t="n">
        <v>0</v>
      </c>
      <c r="N144" t="n">
        <v>0</v>
      </c>
      <c r="O144" t="n">
        <v>3</v>
      </c>
      <c r="P144" t="n">
        <v>0</v>
      </c>
      <c r="Q144" t="n">
        <v>3</v>
      </c>
      <c r="R144" s="2" t="inlineStr">
        <is>
          <t>Gammelekslav
Rosa skärelav
Skuggorangelav</t>
        </is>
      </c>
      <c r="S144">
        <f>HYPERLINK("https://klasma.github.io/Logging_0560/artfynd/A 36575-2025 artfynd.xlsx", "A 36575-2025")</f>
        <v/>
      </c>
      <c r="T144">
        <f>HYPERLINK("https://klasma.github.io/Logging_0560/kartor/A 36575-2025 karta.png", "A 36575-2025")</f>
        <v/>
      </c>
      <c r="V144">
        <f>HYPERLINK("https://klasma.github.io/Logging_0560/klagomål/A 36575-2025 FSC-klagomål.docx", "A 36575-2025")</f>
        <v/>
      </c>
      <c r="W144">
        <f>HYPERLINK("https://klasma.github.io/Logging_0560/klagomålsmail/A 36575-2025 FSC-klagomål mail.docx", "A 36575-2025")</f>
        <v/>
      </c>
      <c r="X144">
        <f>HYPERLINK("https://klasma.github.io/Logging_0560/tillsyn/A 36575-2025 tillsynsbegäran.docx", "A 36575-2025")</f>
        <v/>
      </c>
      <c r="Y144">
        <f>HYPERLINK("https://klasma.github.io/Logging_0560/tillsynsmail/A 36575-2025 tillsynsbegäran mail.docx", "A 36575-2025")</f>
        <v/>
      </c>
    </row>
    <row r="145" ht="15" customHeight="1">
      <c r="A145" t="inlineStr">
        <is>
          <t>A 45531-2025</t>
        </is>
      </c>
      <c r="B145" s="1" t="n">
        <v>45922.60398148148</v>
      </c>
      <c r="C145" s="1" t="n">
        <v>46093</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60510-2023</t>
        </is>
      </c>
      <c r="B146" s="1" t="n">
        <v>45259</v>
      </c>
      <c r="C146" s="1" t="n">
        <v>46093</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46093</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46093</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49690-2024</t>
        </is>
      </c>
      <c r="B149" s="1" t="n">
        <v>45596.68342592593</v>
      </c>
      <c r="C149" s="1" t="n">
        <v>46093</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614-2024</t>
        </is>
      </c>
      <c r="B150" s="1" t="n">
        <v>45299</v>
      </c>
      <c r="C150" s="1" t="n">
        <v>46093</v>
      </c>
      <c r="D150" t="inlineStr">
        <is>
          <t>ÖSTERGÖTLANDS LÄN</t>
        </is>
      </c>
      <c r="E150" t="inlineStr">
        <is>
          <t>ÅTVIDABERG</t>
        </is>
      </c>
      <c r="G150" t="n">
        <v>3.9</v>
      </c>
      <c r="H150" t="n">
        <v>1</v>
      </c>
      <c r="I150" t="n">
        <v>0</v>
      </c>
      <c r="J150" t="n">
        <v>3</v>
      </c>
      <c r="K150" t="n">
        <v>0</v>
      </c>
      <c r="L150" t="n">
        <v>0</v>
      </c>
      <c r="M150" t="n">
        <v>0</v>
      </c>
      <c r="N150" t="n">
        <v>0</v>
      </c>
      <c r="O150" t="n">
        <v>3</v>
      </c>
      <c r="P150" t="n">
        <v>0</v>
      </c>
      <c r="Q150" t="n">
        <v>3</v>
      </c>
      <c r="R150" s="2" t="inlineStr">
        <is>
          <t>Spillkråka
Tallticka
Vedskivlav</t>
        </is>
      </c>
      <c r="S150">
        <f>HYPERLINK("https://klasma.github.io/Logging_0561/artfynd/A 614-2024 artfynd.xlsx", "A 614-2024")</f>
        <v/>
      </c>
      <c r="T150">
        <f>HYPERLINK("https://klasma.github.io/Logging_0561/kartor/A 614-2024 karta.png", "A 614-2024")</f>
        <v/>
      </c>
      <c r="U150">
        <f>HYPERLINK("https://klasma.github.io/Logging_0561/knärot/A 614-2024 karta knärot.png", "A 614-2024")</f>
        <v/>
      </c>
      <c r="V150">
        <f>HYPERLINK("https://klasma.github.io/Logging_0561/klagomål/A 614-2024 FSC-klagomål.docx", "A 614-2024")</f>
        <v/>
      </c>
      <c r="W150">
        <f>HYPERLINK("https://klasma.github.io/Logging_0561/klagomålsmail/A 614-2024 FSC-klagomål mail.docx", "A 614-2024")</f>
        <v/>
      </c>
      <c r="X150">
        <f>HYPERLINK("https://klasma.github.io/Logging_0561/tillsyn/A 614-2024 tillsynsbegäran.docx", "A 614-2024")</f>
        <v/>
      </c>
      <c r="Y150">
        <f>HYPERLINK("https://klasma.github.io/Logging_0561/tillsynsmail/A 614-2024 tillsynsbegäran mail.docx", "A 614-2024")</f>
        <v/>
      </c>
      <c r="Z150">
        <f>HYPERLINK("https://klasma.github.io/Logging_0561/fåglar/A 614-2024 prioriterade fågelarter.docx", "A 614-2024")</f>
        <v/>
      </c>
    </row>
    <row r="151" ht="15" customHeight="1">
      <c r="A151" t="inlineStr">
        <is>
          <t>A 861-2023</t>
        </is>
      </c>
      <c r="B151" s="1" t="n">
        <v>44931</v>
      </c>
      <c r="C151" s="1" t="n">
        <v>46093</v>
      </c>
      <c r="D151" t="inlineStr">
        <is>
          <t>ÖSTERGÖTLANDS LÄN</t>
        </is>
      </c>
      <c r="E151" t="inlineStr">
        <is>
          <t>NORRKÖPING</t>
        </is>
      </c>
      <c r="F151" t="inlineStr">
        <is>
          <t>Kommuner</t>
        </is>
      </c>
      <c r="G151" t="n">
        <v>4.4</v>
      </c>
      <c r="H151" t="n">
        <v>3</v>
      </c>
      <c r="I151" t="n">
        <v>0</v>
      </c>
      <c r="J151" t="n">
        <v>1</v>
      </c>
      <c r="K151" t="n">
        <v>0</v>
      </c>
      <c r="L151" t="n">
        <v>0</v>
      </c>
      <c r="M151" t="n">
        <v>0</v>
      </c>
      <c r="N151" t="n">
        <v>0</v>
      </c>
      <c r="O151" t="n">
        <v>1</v>
      </c>
      <c r="P151" t="n">
        <v>0</v>
      </c>
      <c r="Q151" t="n">
        <v>3</v>
      </c>
      <c r="R151" s="2" t="inlineStr">
        <is>
          <t>Nordfladdermus
Dvärgpipistrell
Vattenfladdermus</t>
        </is>
      </c>
      <c r="S151">
        <f>HYPERLINK("https://klasma.github.io/Logging_0581/artfynd/A 861-2023 artfynd.xlsx", "A 861-2023")</f>
        <v/>
      </c>
      <c r="T151">
        <f>HYPERLINK("https://klasma.github.io/Logging_0581/kartor/A 861-2023 karta.png", "A 861-2023")</f>
        <v/>
      </c>
      <c r="V151">
        <f>HYPERLINK("https://klasma.github.io/Logging_0581/klagomål/A 861-2023 FSC-klagomål.docx", "A 861-2023")</f>
        <v/>
      </c>
      <c r="W151">
        <f>HYPERLINK("https://klasma.github.io/Logging_0581/klagomålsmail/A 861-2023 FSC-klagomål mail.docx", "A 861-2023")</f>
        <v/>
      </c>
      <c r="X151">
        <f>HYPERLINK("https://klasma.github.io/Logging_0581/tillsyn/A 861-2023 tillsynsbegäran.docx", "A 861-2023")</f>
        <v/>
      </c>
      <c r="Y151">
        <f>HYPERLINK("https://klasma.github.io/Logging_0581/tillsynsmail/A 861-2023 tillsynsbegäran mail.docx", "A 861-2023")</f>
        <v/>
      </c>
    </row>
    <row r="152" ht="15" customHeight="1">
      <c r="A152" t="inlineStr">
        <is>
          <t>A 49999-2025</t>
        </is>
      </c>
      <c r="B152" s="1" t="n">
        <v>45943.30185185185</v>
      </c>
      <c r="C152" s="1" t="n">
        <v>46093</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11757-2025</t>
        </is>
      </c>
      <c r="B153" s="1" t="n">
        <v>45727.64337962963</v>
      </c>
      <c r="C153" s="1" t="n">
        <v>46093</v>
      </c>
      <c r="D153" t="inlineStr">
        <is>
          <t>ÖSTERGÖTLANDS LÄN</t>
        </is>
      </c>
      <c r="E153" t="inlineStr">
        <is>
          <t>NORRKÖPING</t>
        </is>
      </c>
      <c r="F153" t="inlineStr">
        <is>
          <t>Allmännings- och besparingsskogar</t>
        </is>
      </c>
      <c r="G153" t="n">
        <v>10.2</v>
      </c>
      <c r="H153" t="n">
        <v>0</v>
      </c>
      <c r="I153" t="n">
        <v>3</v>
      </c>
      <c r="J153" t="n">
        <v>0</v>
      </c>
      <c r="K153" t="n">
        <v>0</v>
      </c>
      <c r="L153" t="n">
        <v>0</v>
      </c>
      <c r="M153" t="n">
        <v>0</v>
      </c>
      <c r="N153" t="n">
        <v>0</v>
      </c>
      <c r="O153" t="n">
        <v>0</v>
      </c>
      <c r="P153" t="n">
        <v>0</v>
      </c>
      <c r="Q153" t="n">
        <v>3</v>
      </c>
      <c r="R153" s="2" t="inlineStr">
        <is>
          <t>Blomkålssvamp
Dropptaggsvamp
Kornknutmossa</t>
        </is>
      </c>
      <c r="S153">
        <f>HYPERLINK("https://klasma.github.io/Logging_0581/artfynd/A 11757-2025 artfynd.xlsx", "A 11757-2025")</f>
        <v/>
      </c>
      <c r="T153">
        <f>HYPERLINK("https://klasma.github.io/Logging_0581/kartor/A 11757-2025 karta.png", "A 11757-2025")</f>
        <v/>
      </c>
      <c r="V153">
        <f>HYPERLINK("https://klasma.github.io/Logging_0581/klagomål/A 11757-2025 FSC-klagomål.docx", "A 11757-2025")</f>
        <v/>
      </c>
      <c r="W153">
        <f>HYPERLINK("https://klasma.github.io/Logging_0581/klagomålsmail/A 11757-2025 FSC-klagomål mail.docx", "A 11757-2025")</f>
        <v/>
      </c>
      <c r="X153">
        <f>HYPERLINK("https://klasma.github.io/Logging_0581/tillsyn/A 11757-2025 tillsynsbegäran.docx", "A 11757-2025")</f>
        <v/>
      </c>
      <c r="Y153">
        <f>HYPERLINK("https://klasma.github.io/Logging_0581/tillsynsmail/A 11757-2025 tillsynsbegäran mail.docx", "A 11757-2025")</f>
        <v/>
      </c>
    </row>
    <row r="154" ht="15" customHeight="1">
      <c r="A154" t="inlineStr">
        <is>
          <t>A 52898-2025</t>
        </is>
      </c>
      <c r="B154" s="1" t="n">
        <v>45957.58760416666</v>
      </c>
      <c r="C154" s="1" t="n">
        <v>46093</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32-2025</t>
        </is>
      </c>
      <c r="B155" s="1" t="n">
        <v>45659.24403935186</v>
      </c>
      <c r="C155" s="1" t="n">
        <v>46093</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38599-2025</t>
        </is>
      </c>
      <c r="B156" s="1" t="n">
        <v>45884.4946875</v>
      </c>
      <c r="C156" s="1" t="n">
        <v>46093</v>
      </c>
      <c r="D156" t="inlineStr">
        <is>
          <t>ÖSTERGÖTLANDS LÄN</t>
        </is>
      </c>
      <c r="E156" t="inlineStr">
        <is>
          <t>NORRKÖPING</t>
        </is>
      </c>
      <c r="G156" t="n">
        <v>5.3</v>
      </c>
      <c r="H156" t="n">
        <v>2</v>
      </c>
      <c r="I156" t="n">
        <v>0</v>
      </c>
      <c r="J156" t="n">
        <v>1</v>
      </c>
      <c r="K156" t="n">
        <v>0</v>
      </c>
      <c r="L156" t="n">
        <v>0</v>
      </c>
      <c r="M156" t="n">
        <v>0</v>
      </c>
      <c r="N156" t="n">
        <v>0</v>
      </c>
      <c r="O156" t="n">
        <v>1</v>
      </c>
      <c r="P156" t="n">
        <v>0</v>
      </c>
      <c r="Q156" t="n">
        <v>3</v>
      </c>
      <c r="R156" s="2" t="inlineStr">
        <is>
          <t>Kalkkärrsgrynsnäcka
Grönvit nattviol
Ängsnycklar</t>
        </is>
      </c>
      <c r="S156">
        <f>HYPERLINK("https://klasma.github.io/Logging_0581/artfynd/A 38599-2025 artfynd.xlsx", "A 38599-2025")</f>
        <v/>
      </c>
      <c r="T156">
        <f>HYPERLINK("https://klasma.github.io/Logging_0581/kartor/A 38599-2025 karta.png", "A 38599-2025")</f>
        <v/>
      </c>
      <c r="V156">
        <f>HYPERLINK("https://klasma.github.io/Logging_0581/klagomål/A 38599-2025 FSC-klagomål.docx", "A 38599-2025")</f>
        <v/>
      </c>
      <c r="W156">
        <f>HYPERLINK("https://klasma.github.io/Logging_0581/klagomålsmail/A 38599-2025 FSC-klagomål mail.docx", "A 38599-2025")</f>
        <v/>
      </c>
      <c r="X156">
        <f>HYPERLINK("https://klasma.github.io/Logging_0581/tillsyn/A 38599-2025 tillsynsbegäran.docx", "A 38599-2025")</f>
        <v/>
      </c>
      <c r="Y156">
        <f>HYPERLINK("https://klasma.github.io/Logging_0581/tillsynsmail/A 38599-2025 tillsynsbegäran mail.docx", "A 38599-2025")</f>
        <v/>
      </c>
    </row>
    <row r="157" ht="15" customHeight="1">
      <c r="A157" t="inlineStr">
        <is>
          <t>A 52894-2025</t>
        </is>
      </c>
      <c r="B157" s="1" t="n">
        <v>45957.58099537037</v>
      </c>
      <c r="C157" s="1" t="n">
        <v>46093</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56971-2025</t>
        </is>
      </c>
      <c r="B158" s="1" t="n">
        <v>45978.67916666667</v>
      </c>
      <c r="C158" s="1" t="n">
        <v>46093</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17275-2025</t>
        </is>
      </c>
      <c r="B159" s="1" t="n">
        <v>45756.55734953703</v>
      </c>
      <c r="C159" s="1" t="n">
        <v>46093</v>
      </c>
      <c r="D159" t="inlineStr">
        <is>
          <t>ÖSTERGÖTLANDS LÄN</t>
        </is>
      </c>
      <c r="E159" t="inlineStr">
        <is>
          <t>LINKÖPING</t>
        </is>
      </c>
      <c r="G159" t="n">
        <v>2.9</v>
      </c>
      <c r="H159" t="n">
        <v>1</v>
      </c>
      <c r="I159" t="n">
        <v>2</v>
      </c>
      <c r="J159" t="n">
        <v>1</v>
      </c>
      <c r="K159" t="n">
        <v>0</v>
      </c>
      <c r="L159" t="n">
        <v>0</v>
      </c>
      <c r="M159" t="n">
        <v>0</v>
      </c>
      <c r="N159" t="n">
        <v>0</v>
      </c>
      <c r="O159" t="n">
        <v>1</v>
      </c>
      <c r="P159" t="n">
        <v>0</v>
      </c>
      <c r="Q159" t="n">
        <v>3</v>
      </c>
      <c r="R159" s="2" t="inlineStr">
        <is>
          <t>Talltita
Fällmossa
Platt fjädermossa</t>
        </is>
      </c>
      <c r="S159">
        <f>HYPERLINK("https://klasma.github.io/Logging_0580/artfynd/A 17275-2025 artfynd.xlsx", "A 17275-2025")</f>
        <v/>
      </c>
      <c r="T159">
        <f>HYPERLINK("https://klasma.github.io/Logging_0580/kartor/A 17275-2025 karta.png", "A 17275-2025")</f>
        <v/>
      </c>
      <c r="V159">
        <f>HYPERLINK("https://klasma.github.io/Logging_0580/klagomål/A 17275-2025 FSC-klagomål.docx", "A 17275-2025")</f>
        <v/>
      </c>
      <c r="W159">
        <f>HYPERLINK("https://klasma.github.io/Logging_0580/klagomålsmail/A 17275-2025 FSC-klagomål mail.docx", "A 17275-2025")</f>
        <v/>
      </c>
      <c r="X159">
        <f>HYPERLINK("https://klasma.github.io/Logging_0580/tillsyn/A 17275-2025 tillsynsbegäran.docx", "A 17275-2025")</f>
        <v/>
      </c>
      <c r="Y159">
        <f>HYPERLINK("https://klasma.github.io/Logging_0580/tillsynsmail/A 17275-2025 tillsynsbegäran mail.docx", "A 17275-2025")</f>
        <v/>
      </c>
      <c r="Z159">
        <f>HYPERLINK("https://klasma.github.io/Logging_0580/fåglar/A 17275-2025 prioriterade fågelarter.docx", "A 17275-2025")</f>
        <v/>
      </c>
    </row>
    <row r="160" ht="15" customHeight="1">
      <c r="A160" t="inlineStr">
        <is>
          <t>A 30472-2023</t>
        </is>
      </c>
      <c r="B160" s="1" t="n">
        <v>45111</v>
      </c>
      <c r="C160" s="1" t="n">
        <v>46093</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46644-2024</t>
        </is>
      </c>
      <c r="B161" s="1" t="n">
        <v>45583</v>
      </c>
      <c r="C161" s="1" t="n">
        <v>46093</v>
      </c>
      <c r="D161" t="inlineStr">
        <is>
          <t>ÖSTERGÖTLANDS LÄN</t>
        </is>
      </c>
      <c r="E161" t="inlineStr">
        <is>
          <t>NORRKÖPING</t>
        </is>
      </c>
      <c r="F161" t="inlineStr">
        <is>
          <t>Holmen skog AB</t>
        </is>
      </c>
      <c r="G161" t="n">
        <v>4.9</v>
      </c>
      <c r="H161" t="n">
        <v>0</v>
      </c>
      <c r="I161" t="n">
        <v>2</v>
      </c>
      <c r="J161" t="n">
        <v>1</v>
      </c>
      <c r="K161" t="n">
        <v>0</v>
      </c>
      <c r="L161" t="n">
        <v>0</v>
      </c>
      <c r="M161" t="n">
        <v>0</v>
      </c>
      <c r="N161" t="n">
        <v>0</v>
      </c>
      <c r="O161" t="n">
        <v>1</v>
      </c>
      <c r="P161" t="n">
        <v>0</v>
      </c>
      <c r="Q161" t="n">
        <v>3</v>
      </c>
      <c r="R161" s="2" t="inlineStr">
        <is>
          <t>Vedskivlav
Blåmossa
Flagellkvastmossa</t>
        </is>
      </c>
      <c r="S161">
        <f>HYPERLINK("https://klasma.github.io/Logging_0581/artfynd/A 46644-2024 artfynd.xlsx", "A 46644-2024")</f>
        <v/>
      </c>
      <c r="T161">
        <f>HYPERLINK("https://klasma.github.io/Logging_0581/kartor/A 46644-2024 karta.png", "A 46644-2024")</f>
        <v/>
      </c>
      <c r="V161">
        <f>HYPERLINK("https://klasma.github.io/Logging_0581/klagomål/A 46644-2024 FSC-klagomål.docx", "A 46644-2024")</f>
        <v/>
      </c>
      <c r="W161">
        <f>HYPERLINK("https://klasma.github.io/Logging_0581/klagomålsmail/A 46644-2024 FSC-klagomål mail.docx", "A 46644-2024")</f>
        <v/>
      </c>
      <c r="X161">
        <f>HYPERLINK("https://klasma.github.io/Logging_0581/tillsyn/A 46644-2024 tillsynsbegäran.docx", "A 46644-2024")</f>
        <v/>
      </c>
      <c r="Y161">
        <f>HYPERLINK("https://klasma.github.io/Logging_0581/tillsynsmail/A 46644-2024 tillsynsbegäran mail.docx", "A 46644-2024")</f>
        <v/>
      </c>
    </row>
    <row r="162" ht="15" customHeight="1">
      <c r="A162" t="inlineStr">
        <is>
          <t>A 18922-2025</t>
        </is>
      </c>
      <c r="B162" s="1" t="n">
        <v>45764.47825231482</v>
      </c>
      <c r="C162" s="1" t="n">
        <v>46093</v>
      </c>
      <c r="D162" t="inlineStr">
        <is>
          <t>ÖSTERGÖTLANDS LÄN</t>
        </is>
      </c>
      <c r="E162" t="inlineStr">
        <is>
          <t>NORRKÖPING</t>
        </is>
      </c>
      <c r="F162" t="inlineStr">
        <is>
          <t>Holmen skog AB</t>
        </is>
      </c>
      <c r="G162" t="n">
        <v>3</v>
      </c>
      <c r="H162" t="n">
        <v>0</v>
      </c>
      <c r="I162" t="n">
        <v>1</v>
      </c>
      <c r="J162" t="n">
        <v>1</v>
      </c>
      <c r="K162" t="n">
        <v>1</v>
      </c>
      <c r="L162" t="n">
        <v>0</v>
      </c>
      <c r="M162" t="n">
        <v>0</v>
      </c>
      <c r="N162" t="n">
        <v>0</v>
      </c>
      <c r="O162" t="n">
        <v>2</v>
      </c>
      <c r="P162" t="n">
        <v>1</v>
      </c>
      <c r="Q162" t="n">
        <v>3</v>
      </c>
      <c r="R162" s="2" t="inlineStr">
        <is>
          <t>Rynkskinn
Ullticka
Vedticka</t>
        </is>
      </c>
      <c r="S162">
        <f>HYPERLINK("https://klasma.github.io/Logging_0581/artfynd/A 18922-2025 artfynd.xlsx", "A 18922-2025")</f>
        <v/>
      </c>
      <c r="T162">
        <f>HYPERLINK("https://klasma.github.io/Logging_0581/kartor/A 18922-2025 karta.png", "A 18922-2025")</f>
        <v/>
      </c>
      <c r="V162">
        <f>HYPERLINK("https://klasma.github.io/Logging_0581/klagomål/A 18922-2025 FSC-klagomål.docx", "A 18922-2025")</f>
        <v/>
      </c>
      <c r="W162">
        <f>HYPERLINK("https://klasma.github.io/Logging_0581/klagomålsmail/A 18922-2025 FSC-klagomål mail.docx", "A 18922-2025")</f>
        <v/>
      </c>
      <c r="X162">
        <f>HYPERLINK("https://klasma.github.io/Logging_0581/tillsyn/A 18922-2025 tillsynsbegäran.docx", "A 18922-2025")</f>
        <v/>
      </c>
      <c r="Y162">
        <f>HYPERLINK("https://klasma.github.io/Logging_0581/tillsynsmail/A 18922-2025 tillsynsbegäran mail.docx", "A 18922-2025")</f>
        <v/>
      </c>
    </row>
    <row r="163" ht="15" customHeight="1">
      <c r="A163" t="inlineStr">
        <is>
          <t>A 55341-2024</t>
        </is>
      </c>
      <c r="B163" s="1" t="n">
        <v>45621.71255787037</v>
      </c>
      <c r="C163" s="1" t="n">
        <v>46093</v>
      </c>
      <c r="D163" t="inlineStr">
        <is>
          <t>ÖSTERGÖTLANDS LÄN</t>
        </is>
      </c>
      <c r="E163" t="inlineStr">
        <is>
          <t>LINKÖPING</t>
        </is>
      </c>
      <c r="G163" t="n">
        <v>4.3</v>
      </c>
      <c r="H163" t="n">
        <v>0</v>
      </c>
      <c r="I163" t="n">
        <v>2</v>
      </c>
      <c r="J163" t="n">
        <v>0</v>
      </c>
      <c r="K163" t="n">
        <v>1</v>
      </c>
      <c r="L163" t="n">
        <v>0</v>
      </c>
      <c r="M163" t="n">
        <v>0</v>
      </c>
      <c r="N163" t="n">
        <v>0</v>
      </c>
      <c r="O163" t="n">
        <v>1</v>
      </c>
      <c r="P163" t="n">
        <v>1</v>
      </c>
      <c r="Q163" t="n">
        <v>3</v>
      </c>
      <c r="R163" s="2" t="inlineStr">
        <is>
          <t>Rynkskinn
Barkticka
Smal svampklubba</t>
        </is>
      </c>
      <c r="S163">
        <f>HYPERLINK("https://klasma.github.io/Logging_0580/artfynd/A 55341-2024 artfynd.xlsx", "A 55341-2024")</f>
        <v/>
      </c>
      <c r="T163">
        <f>HYPERLINK("https://klasma.github.io/Logging_0580/kartor/A 55341-2024 karta.png", "A 55341-2024")</f>
        <v/>
      </c>
      <c r="V163">
        <f>HYPERLINK("https://klasma.github.io/Logging_0580/klagomål/A 55341-2024 FSC-klagomål.docx", "A 55341-2024")</f>
        <v/>
      </c>
      <c r="W163">
        <f>HYPERLINK("https://klasma.github.io/Logging_0580/klagomålsmail/A 55341-2024 FSC-klagomål mail.docx", "A 55341-2024")</f>
        <v/>
      </c>
      <c r="X163">
        <f>HYPERLINK("https://klasma.github.io/Logging_0580/tillsyn/A 55341-2024 tillsynsbegäran.docx", "A 55341-2024")</f>
        <v/>
      </c>
      <c r="Y163">
        <f>HYPERLINK("https://klasma.github.io/Logging_0580/tillsynsmail/A 55341-2024 tillsynsbegäran mail.docx", "A 55341-2024")</f>
        <v/>
      </c>
    </row>
    <row r="164" ht="15" customHeight="1">
      <c r="A164" t="inlineStr">
        <is>
          <t>A 14646-2023</t>
        </is>
      </c>
      <c r="B164" s="1" t="n">
        <v>45013.77040509259</v>
      </c>
      <c r="C164" s="1" t="n">
        <v>46093</v>
      </c>
      <c r="D164" t="inlineStr">
        <is>
          <t>ÖSTERGÖTLANDS LÄN</t>
        </is>
      </c>
      <c r="E164" t="inlineStr">
        <is>
          <t>NORRKÖPING</t>
        </is>
      </c>
      <c r="G164" t="n">
        <v>5.4</v>
      </c>
      <c r="H164" t="n">
        <v>1</v>
      </c>
      <c r="I164" t="n">
        <v>0</v>
      </c>
      <c r="J164" t="n">
        <v>1</v>
      </c>
      <c r="K164" t="n">
        <v>0</v>
      </c>
      <c r="L164" t="n">
        <v>0</v>
      </c>
      <c r="M164" t="n">
        <v>1</v>
      </c>
      <c r="N164" t="n">
        <v>0</v>
      </c>
      <c r="O164" t="n">
        <v>2</v>
      </c>
      <c r="P164" t="n">
        <v>1</v>
      </c>
      <c r="Q164" t="n">
        <v>3</v>
      </c>
      <c r="R164" s="2" t="inlineStr">
        <is>
          <t>Skogsalm
Vanlig backsmörblomma
Fläcknycklar</t>
        </is>
      </c>
      <c r="S164">
        <f>HYPERLINK("https://klasma.github.io/Logging_0581/artfynd/A 14646-2023 artfynd.xlsx", "A 14646-2023")</f>
        <v/>
      </c>
      <c r="T164">
        <f>HYPERLINK("https://klasma.github.io/Logging_0581/kartor/A 14646-2023 karta.png", "A 14646-2023")</f>
        <v/>
      </c>
      <c r="V164">
        <f>HYPERLINK("https://klasma.github.io/Logging_0581/klagomål/A 14646-2023 FSC-klagomål.docx", "A 14646-2023")</f>
        <v/>
      </c>
      <c r="W164">
        <f>HYPERLINK("https://klasma.github.io/Logging_0581/klagomålsmail/A 14646-2023 FSC-klagomål mail.docx", "A 14646-2023")</f>
        <v/>
      </c>
      <c r="X164">
        <f>HYPERLINK("https://klasma.github.io/Logging_0581/tillsyn/A 14646-2023 tillsynsbegäran.docx", "A 14646-2023")</f>
        <v/>
      </c>
      <c r="Y164">
        <f>HYPERLINK("https://klasma.github.io/Logging_0581/tillsynsmail/A 14646-2023 tillsynsbegäran mail.docx", "A 14646-2023")</f>
        <v/>
      </c>
    </row>
    <row r="165" ht="15" customHeight="1">
      <c r="A165" t="inlineStr">
        <is>
          <t>A 26385-2023</t>
        </is>
      </c>
      <c r="B165" s="1" t="n">
        <v>45086</v>
      </c>
      <c r="C165" s="1" t="n">
        <v>46093</v>
      </c>
      <c r="D165" t="inlineStr">
        <is>
          <t>ÖSTERGÖTLANDS LÄN</t>
        </is>
      </c>
      <c r="E165" t="inlineStr">
        <is>
          <t>NORRKÖPING</t>
        </is>
      </c>
      <c r="F165" t="inlineStr">
        <is>
          <t>Allmännings- och besparingsskogar</t>
        </is>
      </c>
      <c r="G165" t="n">
        <v>9</v>
      </c>
      <c r="H165" t="n">
        <v>1</v>
      </c>
      <c r="I165" t="n">
        <v>1</v>
      </c>
      <c r="J165" t="n">
        <v>1</v>
      </c>
      <c r="K165" t="n">
        <v>1</v>
      </c>
      <c r="L165" t="n">
        <v>0</v>
      </c>
      <c r="M165" t="n">
        <v>0</v>
      </c>
      <c r="N165" t="n">
        <v>0</v>
      </c>
      <c r="O165" t="n">
        <v>2</v>
      </c>
      <c r="P165" t="n">
        <v>1</v>
      </c>
      <c r="Q165" t="n">
        <v>3</v>
      </c>
      <c r="R165" s="2" t="inlineStr">
        <is>
          <t>Hasselsnok
Vedskivlav
Fällmossa</t>
        </is>
      </c>
      <c r="S165">
        <f>HYPERLINK("https://klasma.github.io/Logging_0581/artfynd/A 26385-2023 artfynd.xlsx", "A 26385-2023")</f>
        <v/>
      </c>
      <c r="T165">
        <f>HYPERLINK("https://klasma.github.io/Logging_0581/kartor/A 26385-2023 karta.png", "A 26385-2023")</f>
        <v/>
      </c>
      <c r="V165">
        <f>HYPERLINK("https://klasma.github.io/Logging_0581/klagomål/A 26385-2023 FSC-klagomål.docx", "A 26385-2023")</f>
        <v/>
      </c>
      <c r="W165">
        <f>HYPERLINK("https://klasma.github.io/Logging_0581/klagomålsmail/A 26385-2023 FSC-klagomål mail.docx", "A 26385-2023")</f>
        <v/>
      </c>
      <c r="X165">
        <f>HYPERLINK("https://klasma.github.io/Logging_0581/tillsyn/A 26385-2023 tillsynsbegäran.docx", "A 26385-2023")</f>
        <v/>
      </c>
      <c r="Y165">
        <f>HYPERLINK("https://klasma.github.io/Logging_0581/tillsynsmail/A 26385-2023 tillsynsbegäran mail.docx", "A 26385-2023")</f>
        <v/>
      </c>
    </row>
    <row r="166" ht="15" customHeight="1">
      <c r="A166" t="inlineStr">
        <is>
          <t>A 37278-2023</t>
        </is>
      </c>
      <c r="B166" s="1" t="n">
        <v>45156</v>
      </c>
      <c r="C166" s="1" t="n">
        <v>46093</v>
      </c>
      <c r="D166" t="inlineStr">
        <is>
          <t>ÖSTERGÖTLANDS LÄN</t>
        </is>
      </c>
      <c r="E166" t="inlineStr">
        <is>
          <t>ÅTVIDABERG</t>
        </is>
      </c>
      <c r="G166" t="n">
        <v>0.1</v>
      </c>
      <c r="H166" t="n">
        <v>3</v>
      </c>
      <c r="I166" t="n">
        <v>0</v>
      </c>
      <c r="J166" t="n">
        <v>3</v>
      </c>
      <c r="K166" t="n">
        <v>0</v>
      </c>
      <c r="L166" t="n">
        <v>0</v>
      </c>
      <c r="M166" t="n">
        <v>0</v>
      </c>
      <c r="N166" t="n">
        <v>0</v>
      </c>
      <c r="O166" t="n">
        <v>3</v>
      </c>
      <c r="P166" t="n">
        <v>0</v>
      </c>
      <c r="Q166" t="n">
        <v>3</v>
      </c>
      <c r="R166" s="2" t="inlineStr">
        <is>
          <t>Järpe
Spillkråka
Talltita</t>
        </is>
      </c>
      <c r="S166">
        <f>HYPERLINK("https://klasma.github.io/Logging_0561/artfynd/A 37278-2023 artfynd.xlsx", "A 37278-2023")</f>
        <v/>
      </c>
      <c r="T166">
        <f>HYPERLINK("https://klasma.github.io/Logging_0561/kartor/A 37278-2023 karta.png", "A 37278-2023")</f>
        <v/>
      </c>
      <c r="U166">
        <f>HYPERLINK("https://klasma.github.io/Logging_0561/knärot/A 37278-2023 karta knärot.png", "A 37278-2023")</f>
        <v/>
      </c>
      <c r="V166">
        <f>HYPERLINK("https://klasma.github.io/Logging_0561/klagomål/A 37278-2023 FSC-klagomål.docx", "A 37278-2023")</f>
        <v/>
      </c>
      <c r="W166">
        <f>HYPERLINK("https://klasma.github.io/Logging_0561/klagomålsmail/A 37278-2023 FSC-klagomål mail.docx", "A 37278-2023")</f>
        <v/>
      </c>
      <c r="X166">
        <f>HYPERLINK("https://klasma.github.io/Logging_0561/tillsyn/A 37278-2023 tillsynsbegäran.docx", "A 37278-2023")</f>
        <v/>
      </c>
      <c r="Y166">
        <f>HYPERLINK("https://klasma.github.io/Logging_0561/tillsynsmail/A 37278-2023 tillsynsbegäran mail.docx", "A 37278-2023")</f>
        <v/>
      </c>
      <c r="Z166">
        <f>HYPERLINK("https://klasma.github.io/Logging_0561/fåglar/A 37278-2023 prioriterade fågelarter.docx", "A 37278-2023")</f>
        <v/>
      </c>
    </row>
    <row r="167" ht="15" customHeight="1">
      <c r="A167" t="inlineStr">
        <is>
          <t>A 61789-2025</t>
        </is>
      </c>
      <c r="B167" s="1" t="n">
        <v>46002.68706018518</v>
      </c>
      <c r="C167" s="1" t="n">
        <v>46093</v>
      </c>
      <c r="D167" t="inlineStr">
        <is>
          <t>ÖSTERGÖTLANDS LÄN</t>
        </is>
      </c>
      <c r="E167" t="inlineStr">
        <is>
          <t>BOXHOLM</t>
        </is>
      </c>
      <c r="F167" t="inlineStr">
        <is>
          <t>Allmännings- och besparingsskogar</t>
        </is>
      </c>
      <c r="G167" t="n">
        <v>5.7</v>
      </c>
      <c r="H167" t="n">
        <v>3</v>
      </c>
      <c r="I167" t="n">
        <v>0</v>
      </c>
      <c r="J167" t="n">
        <v>2</v>
      </c>
      <c r="K167" t="n">
        <v>0</v>
      </c>
      <c r="L167" t="n">
        <v>0</v>
      </c>
      <c r="M167" t="n">
        <v>0</v>
      </c>
      <c r="N167" t="n">
        <v>0</v>
      </c>
      <c r="O167" t="n">
        <v>2</v>
      </c>
      <c r="P167" t="n">
        <v>0</v>
      </c>
      <c r="Q167" t="n">
        <v>3</v>
      </c>
      <c r="R167" s="2" t="inlineStr">
        <is>
          <t>Kråka
Talltita
Orre</t>
        </is>
      </c>
      <c r="S167">
        <f>HYPERLINK("https://klasma.github.io/Logging_0560/artfynd/A 61789-2025 artfynd.xlsx", "A 61789-2025")</f>
        <v/>
      </c>
      <c r="T167">
        <f>HYPERLINK("https://klasma.github.io/Logging_0560/kartor/A 61789-2025 karta.png", "A 61789-2025")</f>
        <v/>
      </c>
      <c r="V167">
        <f>HYPERLINK("https://klasma.github.io/Logging_0560/klagomål/A 61789-2025 FSC-klagomål.docx", "A 61789-2025")</f>
        <v/>
      </c>
      <c r="W167">
        <f>HYPERLINK("https://klasma.github.io/Logging_0560/klagomålsmail/A 61789-2025 FSC-klagomål mail.docx", "A 61789-2025")</f>
        <v/>
      </c>
      <c r="X167">
        <f>HYPERLINK("https://klasma.github.io/Logging_0560/tillsyn/A 61789-2025 tillsynsbegäran.docx", "A 61789-2025")</f>
        <v/>
      </c>
      <c r="Y167">
        <f>HYPERLINK("https://klasma.github.io/Logging_0560/tillsynsmail/A 61789-2025 tillsynsbegäran mail.docx", "A 61789-2025")</f>
        <v/>
      </c>
      <c r="Z167">
        <f>HYPERLINK("https://klasma.github.io/Logging_0560/fåglar/A 61789-2025 prioriterade fågelarter.docx", "A 61789-2025")</f>
        <v/>
      </c>
    </row>
    <row r="168" ht="15" customHeight="1">
      <c r="A168" t="inlineStr">
        <is>
          <t>A 50904-2024</t>
        </is>
      </c>
      <c r="B168" s="1" t="n">
        <v>45602</v>
      </c>
      <c r="C168" s="1" t="n">
        <v>46093</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63217-2025</t>
        </is>
      </c>
      <c r="B169" s="1" t="n">
        <v>46010.48835648148</v>
      </c>
      <c r="C169" s="1" t="n">
        <v>46093</v>
      </c>
      <c r="D169" t="inlineStr">
        <is>
          <t>ÖSTERGÖTLANDS LÄN</t>
        </is>
      </c>
      <c r="E169" t="inlineStr">
        <is>
          <t>MOTALA</t>
        </is>
      </c>
      <c r="F169" t="inlineStr">
        <is>
          <t>Sveaskog</t>
        </is>
      </c>
      <c r="G169" t="n">
        <v>9.699999999999999</v>
      </c>
      <c r="H169" t="n">
        <v>0</v>
      </c>
      <c r="I169" t="n">
        <v>1</v>
      </c>
      <c r="J169" t="n">
        <v>2</v>
      </c>
      <c r="K169" t="n">
        <v>0</v>
      </c>
      <c r="L169" t="n">
        <v>0</v>
      </c>
      <c r="M169" t="n">
        <v>0</v>
      </c>
      <c r="N169" t="n">
        <v>0</v>
      </c>
      <c r="O169" t="n">
        <v>2</v>
      </c>
      <c r="P169" t="n">
        <v>0</v>
      </c>
      <c r="Q169" t="n">
        <v>3</v>
      </c>
      <c r="R169" s="2" t="inlineStr">
        <is>
          <t>Gropticka
Svart taggsvamp agg.
Dropptaggsvamp</t>
        </is>
      </c>
      <c r="S169">
        <f>HYPERLINK("https://klasma.github.io/Logging_0583/artfynd/A 63217-2025 artfynd.xlsx", "A 63217-2025")</f>
        <v/>
      </c>
      <c r="T169">
        <f>HYPERLINK("https://klasma.github.io/Logging_0583/kartor/A 63217-2025 karta.png", "A 63217-2025")</f>
        <v/>
      </c>
      <c r="V169">
        <f>HYPERLINK("https://klasma.github.io/Logging_0583/klagomål/A 63217-2025 FSC-klagomål.docx", "A 63217-2025")</f>
        <v/>
      </c>
      <c r="W169">
        <f>HYPERLINK("https://klasma.github.io/Logging_0583/klagomålsmail/A 63217-2025 FSC-klagomål mail.docx", "A 63217-2025")</f>
        <v/>
      </c>
      <c r="X169">
        <f>HYPERLINK("https://klasma.github.io/Logging_0583/tillsyn/A 63217-2025 tillsynsbegäran.docx", "A 63217-2025")</f>
        <v/>
      </c>
      <c r="Y169">
        <f>HYPERLINK("https://klasma.github.io/Logging_0583/tillsynsmail/A 63217-2025 tillsynsbegäran mail.docx", "A 63217-2025")</f>
        <v/>
      </c>
    </row>
    <row r="170" ht="15" customHeight="1">
      <c r="A170" t="inlineStr">
        <is>
          <t>A 21404-2024</t>
        </is>
      </c>
      <c r="B170" s="1" t="n">
        <v>45441.33914351852</v>
      </c>
      <c r="C170" s="1" t="n">
        <v>46093</v>
      </c>
      <c r="D170" t="inlineStr">
        <is>
          <t>ÖSTERGÖTLANDS LÄN</t>
        </is>
      </c>
      <c r="E170" t="inlineStr">
        <is>
          <t>NORRKÖPING</t>
        </is>
      </c>
      <c r="F170" t="inlineStr">
        <is>
          <t>Holmen skog AB</t>
        </is>
      </c>
      <c r="G170" t="n">
        <v>0.8</v>
      </c>
      <c r="H170" t="n">
        <v>1</v>
      </c>
      <c r="I170" t="n">
        <v>1</v>
      </c>
      <c r="J170" t="n">
        <v>2</v>
      </c>
      <c r="K170" t="n">
        <v>0</v>
      </c>
      <c r="L170" t="n">
        <v>0</v>
      </c>
      <c r="M170" t="n">
        <v>0</v>
      </c>
      <c r="N170" t="n">
        <v>0</v>
      </c>
      <c r="O170" t="n">
        <v>2</v>
      </c>
      <c r="P170" t="n">
        <v>0</v>
      </c>
      <c r="Q170" t="n">
        <v>3</v>
      </c>
      <c r="R170" s="2" t="inlineStr">
        <is>
          <t>Tallticka
Vintertagging
Grön sköldmossa</t>
        </is>
      </c>
      <c r="S170">
        <f>HYPERLINK("https://klasma.github.io/Logging_0581/artfynd/A 21404-2024 artfynd.xlsx", "A 21404-2024")</f>
        <v/>
      </c>
      <c r="T170">
        <f>HYPERLINK("https://klasma.github.io/Logging_0581/kartor/A 21404-2024 karta.png", "A 21404-2024")</f>
        <v/>
      </c>
      <c r="V170">
        <f>HYPERLINK("https://klasma.github.io/Logging_0581/klagomål/A 21404-2024 FSC-klagomål.docx", "A 21404-2024")</f>
        <v/>
      </c>
      <c r="W170">
        <f>HYPERLINK("https://klasma.github.io/Logging_0581/klagomålsmail/A 21404-2024 FSC-klagomål mail.docx", "A 21404-2024")</f>
        <v/>
      </c>
      <c r="X170">
        <f>HYPERLINK("https://klasma.github.io/Logging_0581/tillsyn/A 21404-2024 tillsynsbegäran.docx", "A 21404-2024")</f>
        <v/>
      </c>
      <c r="Y170">
        <f>HYPERLINK("https://klasma.github.io/Logging_0581/tillsynsmail/A 21404-2024 tillsynsbegäran mail.docx", "A 21404-2024")</f>
        <v/>
      </c>
    </row>
    <row r="171" ht="15" customHeight="1">
      <c r="A171" t="inlineStr">
        <is>
          <t>A 6353-2026</t>
        </is>
      </c>
      <c r="B171" s="1" t="n">
        <v>46055.61385416667</v>
      </c>
      <c r="C171" s="1" t="n">
        <v>46093</v>
      </c>
      <c r="D171" t="inlineStr">
        <is>
          <t>ÖSTERGÖTLANDS LÄN</t>
        </is>
      </c>
      <c r="E171" t="inlineStr">
        <is>
          <t>LINKÖPING</t>
        </is>
      </c>
      <c r="F171" t="inlineStr">
        <is>
          <t>Övriga Aktiebolag</t>
        </is>
      </c>
      <c r="G171" t="n">
        <v>6.8</v>
      </c>
      <c r="H171" t="n">
        <v>1</v>
      </c>
      <c r="I171" t="n">
        <v>0</v>
      </c>
      <c r="J171" t="n">
        <v>0</v>
      </c>
      <c r="K171" t="n">
        <v>1</v>
      </c>
      <c r="L171" t="n">
        <v>1</v>
      </c>
      <c r="M171" t="n">
        <v>0</v>
      </c>
      <c r="N171" t="n">
        <v>0</v>
      </c>
      <c r="O171" t="n">
        <v>2</v>
      </c>
      <c r="P171" t="n">
        <v>2</v>
      </c>
      <c r="Q171" t="n">
        <v>3</v>
      </c>
      <c r="R171" s="2" t="inlineStr">
        <is>
          <t>Ask
Gulvit blekspik
Gullviva</t>
        </is>
      </c>
      <c r="S171">
        <f>HYPERLINK("https://klasma.github.io/Logging_0580/artfynd/A 6353-2026 artfynd.xlsx", "A 6353-2026")</f>
        <v/>
      </c>
      <c r="T171">
        <f>HYPERLINK("https://klasma.github.io/Logging_0580/kartor/A 6353-2026 karta.png", "A 6353-2026")</f>
        <v/>
      </c>
      <c r="V171">
        <f>HYPERLINK("https://klasma.github.io/Logging_0580/klagomål/A 6353-2026 FSC-klagomål.docx", "A 6353-2026")</f>
        <v/>
      </c>
      <c r="W171">
        <f>HYPERLINK("https://klasma.github.io/Logging_0580/klagomålsmail/A 6353-2026 FSC-klagomål mail.docx", "A 6353-2026")</f>
        <v/>
      </c>
      <c r="X171">
        <f>HYPERLINK("https://klasma.github.io/Logging_0580/tillsyn/A 6353-2026 tillsynsbegäran.docx", "A 6353-2026")</f>
        <v/>
      </c>
      <c r="Y171">
        <f>HYPERLINK("https://klasma.github.io/Logging_0580/tillsynsmail/A 6353-2026 tillsynsbegäran mail.docx", "A 6353-2026")</f>
        <v/>
      </c>
    </row>
    <row r="172" ht="15" customHeight="1">
      <c r="A172" t="inlineStr">
        <is>
          <t>A 1075-2022</t>
        </is>
      </c>
      <c r="B172" s="1" t="n">
        <v>44571</v>
      </c>
      <c r="C172" s="1" t="n">
        <v>46093</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8356-2026</t>
        </is>
      </c>
      <c r="B173" s="1" t="n">
        <v>46064.65232638889</v>
      </c>
      <c r="C173" s="1" t="n">
        <v>46093</v>
      </c>
      <c r="D173" t="inlineStr">
        <is>
          <t>ÖSTERGÖTLANDS LÄN</t>
        </is>
      </c>
      <c r="E173" t="inlineStr">
        <is>
          <t>KINDA</t>
        </is>
      </c>
      <c r="G173" t="n">
        <v>6</v>
      </c>
      <c r="H173" t="n">
        <v>3</v>
      </c>
      <c r="I173" t="n">
        <v>0</v>
      </c>
      <c r="J173" t="n">
        <v>1</v>
      </c>
      <c r="K173" t="n">
        <v>1</v>
      </c>
      <c r="L173" t="n">
        <v>0</v>
      </c>
      <c r="M173" t="n">
        <v>0</v>
      </c>
      <c r="N173" t="n">
        <v>0</v>
      </c>
      <c r="O173" t="n">
        <v>2</v>
      </c>
      <c r="P173" t="n">
        <v>1</v>
      </c>
      <c r="Q173" t="n">
        <v>3</v>
      </c>
      <c r="R173" s="2" t="inlineStr">
        <is>
          <t>Knärot
Spillkråka
Tjäder</t>
        </is>
      </c>
      <c r="S173">
        <f>HYPERLINK("https://klasma.github.io/Logging_0513/artfynd/A 8356-2026 artfynd.xlsx", "A 8356-2026")</f>
        <v/>
      </c>
      <c r="T173">
        <f>HYPERLINK("https://klasma.github.io/Logging_0513/kartor/A 8356-2026 karta.png", "A 8356-2026")</f>
        <v/>
      </c>
      <c r="U173">
        <f>HYPERLINK("https://klasma.github.io/Logging_0513/knärot/A 8356-2026 karta knärot.png", "A 8356-2026")</f>
        <v/>
      </c>
      <c r="V173">
        <f>HYPERLINK("https://klasma.github.io/Logging_0513/klagomål/A 8356-2026 FSC-klagomål.docx", "A 8356-2026")</f>
        <v/>
      </c>
      <c r="W173">
        <f>HYPERLINK("https://klasma.github.io/Logging_0513/klagomålsmail/A 8356-2026 FSC-klagomål mail.docx", "A 8356-2026")</f>
        <v/>
      </c>
      <c r="X173">
        <f>HYPERLINK("https://klasma.github.io/Logging_0513/tillsyn/A 8356-2026 tillsynsbegäran.docx", "A 8356-2026")</f>
        <v/>
      </c>
      <c r="Y173">
        <f>HYPERLINK("https://klasma.github.io/Logging_0513/tillsynsmail/A 8356-2026 tillsynsbegäran mail.docx", "A 8356-2026")</f>
        <v/>
      </c>
      <c r="Z173">
        <f>HYPERLINK("https://klasma.github.io/Logging_0513/fåglar/A 8356-2026 prioriterade fågelarter.docx", "A 8356-2026")</f>
        <v/>
      </c>
    </row>
    <row r="174" ht="15" customHeight="1">
      <c r="A174" t="inlineStr">
        <is>
          <t>A 8987-2026</t>
        </is>
      </c>
      <c r="B174" s="1" t="n">
        <v>46069.455</v>
      </c>
      <c r="C174" s="1" t="n">
        <v>46093</v>
      </c>
      <c r="D174" t="inlineStr">
        <is>
          <t>ÖSTERGÖTLANDS LÄN</t>
        </is>
      </c>
      <c r="E174" t="inlineStr">
        <is>
          <t>KINDA</t>
        </is>
      </c>
      <c r="G174" t="n">
        <v>2.1</v>
      </c>
      <c r="H174" t="n">
        <v>2</v>
      </c>
      <c r="I174" t="n">
        <v>1</v>
      </c>
      <c r="J174" t="n">
        <v>0</v>
      </c>
      <c r="K174" t="n">
        <v>1</v>
      </c>
      <c r="L174" t="n">
        <v>0</v>
      </c>
      <c r="M174" t="n">
        <v>0</v>
      </c>
      <c r="N174" t="n">
        <v>0</v>
      </c>
      <c r="O174" t="n">
        <v>1</v>
      </c>
      <c r="P174" t="n">
        <v>1</v>
      </c>
      <c r="Q174" t="n">
        <v>3</v>
      </c>
      <c r="R174" s="2" t="inlineStr">
        <is>
          <t>Knärot
Grönpyrola
Tjäder</t>
        </is>
      </c>
      <c r="S174">
        <f>HYPERLINK("https://klasma.github.io/Logging_0513/artfynd/A 8987-2026 artfynd.xlsx", "A 8987-2026")</f>
        <v/>
      </c>
      <c r="T174">
        <f>HYPERLINK("https://klasma.github.io/Logging_0513/kartor/A 8987-2026 karta.png", "A 8987-2026")</f>
        <v/>
      </c>
      <c r="U174">
        <f>HYPERLINK("https://klasma.github.io/Logging_0513/knärot/A 8987-2026 karta knärot.png", "A 8987-2026")</f>
        <v/>
      </c>
      <c r="V174">
        <f>HYPERLINK("https://klasma.github.io/Logging_0513/klagomål/A 8987-2026 FSC-klagomål.docx", "A 8987-2026")</f>
        <v/>
      </c>
      <c r="W174">
        <f>HYPERLINK("https://klasma.github.io/Logging_0513/klagomålsmail/A 8987-2026 FSC-klagomål mail.docx", "A 8987-2026")</f>
        <v/>
      </c>
      <c r="X174">
        <f>HYPERLINK("https://klasma.github.io/Logging_0513/tillsyn/A 8987-2026 tillsynsbegäran.docx", "A 8987-2026")</f>
        <v/>
      </c>
      <c r="Y174">
        <f>HYPERLINK("https://klasma.github.io/Logging_0513/tillsynsmail/A 8987-2026 tillsynsbegäran mail.docx", "A 8987-2026")</f>
        <v/>
      </c>
      <c r="Z174">
        <f>HYPERLINK("https://klasma.github.io/Logging_0513/fåglar/A 8987-2026 prioriterade fågelarter.docx", "A 8987-2026")</f>
        <v/>
      </c>
    </row>
    <row r="175" ht="15" customHeight="1">
      <c r="A175" t="inlineStr">
        <is>
          <t>A 34708-2025</t>
        </is>
      </c>
      <c r="B175" s="1" t="n">
        <v>45848</v>
      </c>
      <c r="C175" s="1" t="n">
        <v>46093</v>
      </c>
      <c r="D175" t="inlineStr">
        <is>
          <t>ÖSTERGÖTLANDS LÄN</t>
        </is>
      </c>
      <c r="E175" t="inlineStr">
        <is>
          <t>ÅTVIDABERG</t>
        </is>
      </c>
      <c r="G175" t="n">
        <v>0.9</v>
      </c>
      <c r="H175" t="n">
        <v>3</v>
      </c>
      <c r="I175" t="n">
        <v>0</v>
      </c>
      <c r="J175" t="n">
        <v>2</v>
      </c>
      <c r="K175" t="n">
        <v>1</v>
      </c>
      <c r="L175" t="n">
        <v>0</v>
      </c>
      <c r="M175" t="n">
        <v>0</v>
      </c>
      <c r="N175" t="n">
        <v>0</v>
      </c>
      <c r="O175" t="n">
        <v>3</v>
      </c>
      <c r="P175" t="n">
        <v>1</v>
      </c>
      <c r="Q175" t="n">
        <v>3</v>
      </c>
      <c r="R175" s="2" t="inlineStr">
        <is>
          <t>Knärot
Spillkråka
Talltita</t>
        </is>
      </c>
      <c r="S175">
        <f>HYPERLINK("https://klasma.github.io/Logging_0561/artfynd/A 34708-2025 artfynd.xlsx", "A 34708-2025")</f>
        <v/>
      </c>
      <c r="T175">
        <f>HYPERLINK("https://klasma.github.io/Logging_0561/kartor/A 34708-2025 karta.png", "A 34708-2025")</f>
        <v/>
      </c>
      <c r="U175">
        <f>HYPERLINK("https://klasma.github.io/Logging_0561/knärot/A 34708-2025 karta knärot.png", "A 34708-2025")</f>
        <v/>
      </c>
      <c r="V175">
        <f>HYPERLINK("https://klasma.github.io/Logging_0561/klagomål/A 34708-2025 FSC-klagomål.docx", "A 34708-2025")</f>
        <v/>
      </c>
      <c r="W175">
        <f>HYPERLINK("https://klasma.github.io/Logging_0561/klagomålsmail/A 34708-2025 FSC-klagomål mail.docx", "A 34708-2025")</f>
        <v/>
      </c>
      <c r="X175">
        <f>HYPERLINK("https://klasma.github.io/Logging_0561/tillsyn/A 34708-2025 tillsynsbegäran.docx", "A 34708-2025")</f>
        <v/>
      </c>
      <c r="Y175">
        <f>HYPERLINK("https://klasma.github.io/Logging_0561/tillsynsmail/A 34708-2025 tillsynsbegäran mail.docx", "A 34708-2025")</f>
        <v/>
      </c>
      <c r="Z175">
        <f>HYPERLINK("https://klasma.github.io/Logging_0561/fåglar/A 34708-2025 prioriterade fågelarter.docx", "A 34708-2025")</f>
        <v/>
      </c>
    </row>
    <row r="176" ht="15" customHeight="1">
      <c r="A176" t="inlineStr">
        <is>
          <t>A 577-2025</t>
        </is>
      </c>
      <c r="B176" s="1" t="n">
        <v>45664.56525462963</v>
      </c>
      <c r="C176" s="1" t="n">
        <v>46093</v>
      </c>
      <c r="D176" t="inlineStr">
        <is>
          <t>ÖSTERGÖTLANDS LÄN</t>
        </is>
      </c>
      <c r="E176" t="inlineStr">
        <is>
          <t>LINKÖPING</t>
        </is>
      </c>
      <c r="G176" t="n">
        <v>3.7</v>
      </c>
      <c r="H176" t="n">
        <v>3</v>
      </c>
      <c r="I176" t="n">
        <v>0</v>
      </c>
      <c r="J176" t="n">
        <v>1</v>
      </c>
      <c r="K176" t="n">
        <v>0</v>
      </c>
      <c r="L176" t="n">
        <v>0</v>
      </c>
      <c r="M176" t="n">
        <v>0</v>
      </c>
      <c r="N176" t="n">
        <v>0</v>
      </c>
      <c r="O176" t="n">
        <v>1</v>
      </c>
      <c r="P176" t="n">
        <v>0</v>
      </c>
      <c r="Q176" t="n">
        <v>3</v>
      </c>
      <c r="R176" s="2" t="inlineStr">
        <is>
          <t>Brunlångöra
Dvärgpipistrell
Större brunfladdermus</t>
        </is>
      </c>
      <c r="S176">
        <f>HYPERLINK("https://klasma.github.io/Logging_0580/artfynd/A 577-2025 artfynd.xlsx", "A 577-2025")</f>
        <v/>
      </c>
      <c r="T176">
        <f>HYPERLINK("https://klasma.github.io/Logging_0580/kartor/A 577-2025 karta.png", "A 577-2025")</f>
        <v/>
      </c>
      <c r="V176">
        <f>HYPERLINK("https://klasma.github.io/Logging_0580/klagomål/A 577-2025 FSC-klagomål.docx", "A 577-2025")</f>
        <v/>
      </c>
      <c r="W176">
        <f>HYPERLINK("https://klasma.github.io/Logging_0580/klagomålsmail/A 577-2025 FSC-klagomål mail.docx", "A 577-2025")</f>
        <v/>
      </c>
      <c r="X176">
        <f>HYPERLINK("https://klasma.github.io/Logging_0580/tillsyn/A 577-2025 tillsynsbegäran.docx", "A 577-2025")</f>
        <v/>
      </c>
      <c r="Y176">
        <f>HYPERLINK("https://klasma.github.io/Logging_0580/tillsynsmail/A 577-2025 tillsynsbegäran mail.docx", "A 577-2025")</f>
        <v/>
      </c>
    </row>
    <row r="177" ht="15" customHeight="1">
      <c r="A177" t="inlineStr">
        <is>
          <t>A 11097-2026</t>
        </is>
      </c>
      <c r="B177" s="1" t="n">
        <v>46079.64511574074</v>
      </c>
      <c r="C177" s="1" t="n">
        <v>46093</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11048-2026</t>
        </is>
      </c>
      <c r="B178" s="1" t="n">
        <v>46079.58841435185</v>
      </c>
      <c r="C178" s="1" t="n">
        <v>46093</v>
      </c>
      <c r="D178" t="inlineStr">
        <is>
          <t>ÖSTERGÖTLANDS LÄN</t>
        </is>
      </c>
      <c r="E178" t="inlineStr">
        <is>
          <t>LINKÖPING</t>
        </is>
      </c>
      <c r="G178" t="n">
        <v>4.1</v>
      </c>
      <c r="H178" t="n">
        <v>0</v>
      </c>
      <c r="I178" t="n">
        <v>3</v>
      </c>
      <c r="J178" t="n">
        <v>0</v>
      </c>
      <c r="K178" t="n">
        <v>0</v>
      </c>
      <c r="L178" t="n">
        <v>0</v>
      </c>
      <c r="M178" t="n">
        <v>0</v>
      </c>
      <c r="N178" t="n">
        <v>0</v>
      </c>
      <c r="O178" t="n">
        <v>0</v>
      </c>
      <c r="P178" t="n">
        <v>0</v>
      </c>
      <c r="Q178" t="n">
        <v>3</v>
      </c>
      <c r="R178" s="2" t="inlineStr">
        <is>
          <t>Svart trolldruva
Sårläka
Tibast</t>
        </is>
      </c>
      <c r="S178">
        <f>HYPERLINK("https://klasma.github.io/Logging_0580/artfynd/A 11048-2026 artfynd.xlsx", "A 11048-2026")</f>
        <v/>
      </c>
      <c r="T178">
        <f>HYPERLINK("https://klasma.github.io/Logging_0580/kartor/A 11048-2026 karta.png", "A 11048-2026")</f>
        <v/>
      </c>
      <c r="V178">
        <f>HYPERLINK("https://klasma.github.io/Logging_0580/klagomål/A 11048-2026 FSC-klagomål.docx", "A 11048-2026")</f>
        <v/>
      </c>
      <c r="W178">
        <f>HYPERLINK("https://klasma.github.io/Logging_0580/klagomålsmail/A 11048-2026 FSC-klagomål mail.docx", "A 11048-2026")</f>
        <v/>
      </c>
      <c r="X178">
        <f>HYPERLINK("https://klasma.github.io/Logging_0580/tillsyn/A 11048-2026 tillsynsbegäran.docx", "A 11048-2026")</f>
        <v/>
      </c>
      <c r="Y178">
        <f>HYPERLINK("https://klasma.github.io/Logging_0580/tillsynsmail/A 11048-2026 tillsynsbegäran mail.docx", "A 11048-2026")</f>
        <v/>
      </c>
    </row>
    <row r="179" ht="15" customHeight="1">
      <c r="A179" t="inlineStr">
        <is>
          <t>A 698-2026</t>
        </is>
      </c>
      <c r="B179" s="1" t="n">
        <v>46029.6153125</v>
      </c>
      <c r="C179" s="1" t="n">
        <v>46093</v>
      </c>
      <c r="D179" t="inlineStr">
        <is>
          <t>ÖSTERGÖTLANDS LÄN</t>
        </is>
      </c>
      <c r="E179" t="inlineStr">
        <is>
          <t>ÅTVIDABERG</t>
        </is>
      </c>
      <c r="G179" t="n">
        <v>0.8</v>
      </c>
      <c r="H179" t="n">
        <v>2</v>
      </c>
      <c r="I179" t="n">
        <v>1</v>
      </c>
      <c r="J179" t="n">
        <v>2</v>
      </c>
      <c r="K179" t="n">
        <v>0</v>
      </c>
      <c r="L179" t="n">
        <v>0</v>
      </c>
      <c r="M179" t="n">
        <v>0</v>
      </c>
      <c r="N179" t="n">
        <v>0</v>
      </c>
      <c r="O179" t="n">
        <v>2</v>
      </c>
      <c r="P179" t="n">
        <v>0</v>
      </c>
      <c r="Q179" t="n">
        <v>3</v>
      </c>
      <c r="R179" s="2" t="inlineStr">
        <is>
          <t>Spillkråka
Talltita
Blåmossa</t>
        </is>
      </c>
      <c r="S179">
        <f>HYPERLINK("https://klasma.github.io/Logging_0561/artfynd/A 698-2026 artfynd.xlsx", "A 698-2026")</f>
        <v/>
      </c>
      <c r="T179">
        <f>HYPERLINK("https://klasma.github.io/Logging_0561/kartor/A 698-2026 karta.png", "A 698-2026")</f>
        <v/>
      </c>
      <c r="V179">
        <f>HYPERLINK("https://klasma.github.io/Logging_0561/klagomål/A 698-2026 FSC-klagomål.docx", "A 698-2026")</f>
        <v/>
      </c>
      <c r="W179">
        <f>HYPERLINK("https://klasma.github.io/Logging_0561/klagomålsmail/A 698-2026 FSC-klagomål mail.docx", "A 698-2026")</f>
        <v/>
      </c>
      <c r="X179">
        <f>HYPERLINK("https://klasma.github.io/Logging_0561/tillsyn/A 698-2026 tillsynsbegäran.docx", "A 698-2026")</f>
        <v/>
      </c>
      <c r="Y179">
        <f>HYPERLINK("https://klasma.github.io/Logging_0561/tillsynsmail/A 698-2026 tillsynsbegäran mail.docx", "A 698-2026")</f>
        <v/>
      </c>
      <c r="Z179">
        <f>HYPERLINK("https://klasma.github.io/Logging_0561/fåglar/A 698-2026 prioriterade fågelarter.docx", "A 698-2026")</f>
        <v/>
      </c>
    </row>
    <row r="180" ht="15" customHeight="1">
      <c r="A180" t="inlineStr">
        <is>
          <t>A 29622-2025</t>
        </is>
      </c>
      <c r="B180" s="1" t="n">
        <v>45825</v>
      </c>
      <c r="C180" s="1" t="n">
        <v>46093</v>
      </c>
      <c r="D180" t="inlineStr">
        <is>
          <t>ÖSTERGÖTLANDS LÄN</t>
        </is>
      </c>
      <c r="E180" t="inlineStr">
        <is>
          <t>ÅTVIDABERG</t>
        </is>
      </c>
      <c r="G180" t="n">
        <v>2</v>
      </c>
      <c r="H180" t="n">
        <v>3</v>
      </c>
      <c r="I180" t="n">
        <v>0</v>
      </c>
      <c r="J180" t="n">
        <v>3</v>
      </c>
      <c r="K180" t="n">
        <v>0</v>
      </c>
      <c r="L180" t="n">
        <v>0</v>
      </c>
      <c r="M180" t="n">
        <v>0</v>
      </c>
      <c r="N180" t="n">
        <v>0</v>
      </c>
      <c r="O180" t="n">
        <v>3</v>
      </c>
      <c r="P180" t="n">
        <v>0</v>
      </c>
      <c r="Q180" t="n">
        <v>3</v>
      </c>
      <c r="R180" s="2" t="inlineStr">
        <is>
          <t>Entita
Spillkråka
Svartvit flugsnappare</t>
        </is>
      </c>
      <c r="S180">
        <f>HYPERLINK("https://klasma.github.io/Logging_0561/artfynd/A 29622-2025 artfynd.xlsx", "A 29622-2025")</f>
        <v/>
      </c>
      <c r="T180">
        <f>HYPERLINK("https://klasma.github.io/Logging_0561/kartor/A 29622-2025 karta.png", "A 29622-2025")</f>
        <v/>
      </c>
      <c r="V180">
        <f>HYPERLINK("https://klasma.github.io/Logging_0561/klagomål/A 29622-2025 FSC-klagomål.docx", "A 29622-2025")</f>
        <v/>
      </c>
      <c r="W180">
        <f>HYPERLINK("https://klasma.github.io/Logging_0561/klagomålsmail/A 29622-2025 FSC-klagomål mail.docx", "A 29622-2025")</f>
        <v/>
      </c>
      <c r="X180">
        <f>HYPERLINK("https://klasma.github.io/Logging_0561/tillsyn/A 29622-2025 tillsynsbegäran.docx", "A 29622-2025")</f>
        <v/>
      </c>
      <c r="Y180">
        <f>HYPERLINK("https://klasma.github.io/Logging_0561/tillsynsmail/A 29622-2025 tillsynsbegäran mail.docx", "A 29622-2025")</f>
        <v/>
      </c>
      <c r="Z180">
        <f>HYPERLINK("https://klasma.github.io/Logging_0561/fåglar/A 29622-2025 prioriterade fågelarter.docx", "A 29622-2025")</f>
        <v/>
      </c>
    </row>
    <row r="181" ht="15" customHeight="1">
      <c r="A181" t="inlineStr">
        <is>
          <t>A 23130-2025</t>
        </is>
      </c>
      <c r="B181" s="1" t="n">
        <v>45791.38667824074</v>
      </c>
      <c r="C181" s="1" t="n">
        <v>46093</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27581-2025</t>
        </is>
      </c>
      <c r="B182" s="1" t="n">
        <v>45813.49403935186</v>
      </c>
      <c r="C182" s="1" t="n">
        <v>46093</v>
      </c>
      <c r="D182" t="inlineStr">
        <is>
          <t>ÖSTERGÖTLANDS LÄN</t>
        </is>
      </c>
      <c r="E182" t="inlineStr">
        <is>
          <t>KINDA</t>
        </is>
      </c>
      <c r="G182" t="n">
        <v>4</v>
      </c>
      <c r="H182" t="n">
        <v>1</v>
      </c>
      <c r="I182" t="n">
        <v>1</v>
      </c>
      <c r="J182" t="n">
        <v>1</v>
      </c>
      <c r="K182" t="n">
        <v>1</v>
      </c>
      <c r="L182" t="n">
        <v>0</v>
      </c>
      <c r="M182" t="n">
        <v>0</v>
      </c>
      <c r="N182" t="n">
        <v>0</v>
      </c>
      <c r="O182" t="n">
        <v>2</v>
      </c>
      <c r="P182" t="n">
        <v>1</v>
      </c>
      <c r="Q182" t="n">
        <v>3</v>
      </c>
      <c r="R182" s="2" t="inlineStr">
        <is>
          <t>Knärot
Tallticka
Mindre märgborre</t>
        </is>
      </c>
      <c r="S182">
        <f>HYPERLINK("https://klasma.github.io/Logging_0513/artfynd/A 27581-2025 artfynd.xlsx", "A 27581-2025")</f>
        <v/>
      </c>
      <c r="T182">
        <f>HYPERLINK("https://klasma.github.io/Logging_0513/kartor/A 27581-2025 karta.png", "A 27581-2025")</f>
        <v/>
      </c>
      <c r="U182">
        <f>HYPERLINK("https://klasma.github.io/Logging_0513/knärot/A 27581-2025 karta knärot.png", "A 27581-2025")</f>
        <v/>
      </c>
      <c r="V182">
        <f>HYPERLINK("https://klasma.github.io/Logging_0513/klagomål/A 27581-2025 FSC-klagomål.docx", "A 27581-2025")</f>
        <v/>
      </c>
      <c r="W182">
        <f>HYPERLINK("https://klasma.github.io/Logging_0513/klagomålsmail/A 27581-2025 FSC-klagomål mail.docx", "A 27581-2025")</f>
        <v/>
      </c>
      <c r="X182">
        <f>HYPERLINK("https://klasma.github.io/Logging_0513/tillsyn/A 27581-2025 tillsynsbegäran.docx", "A 27581-2025")</f>
        <v/>
      </c>
      <c r="Y182">
        <f>HYPERLINK("https://klasma.github.io/Logging_0513/tillsynsmail/A 27581-2025 tillsynsbegäran mail.docx", "A 27581-2025")</f>
        <v/>
      </c>
    </row>
    <row r="183" ht="15" customHeight="1">
      <c r="A183" t="inlineStr">
        <is>
          <t>A 30863-2025</t>
        </is>
      </c>
      <c r="B183" s="1" t="n">
        <v>45832.31648148148</v>
      </c>
      <c r="C183" s="1" t="n">
        <v>46093</v>
      </c>
      <c r="D183" t="inlineStr">
        <is>
          <t>ÖSTERGÖTLANDS LÄN</t>
        </is>
      </c>
      <c r="E183" t="inlineStr">
        <is>
          <t>NORRKÖPING</t>
        </is>
      </c>
      <c r="G183" t="n">
        <v>2.9</v>
      </c>
      <c r="H183" t="n">
        <v>0</v>
      </c>
      <c r="I183" t="n">
        <v>2</v>
      </c>
      <c r="J183" t="n">
        <v>1</v>
      </c>
      <c r="K183" t="n">
        <v>0</v>
      </c>
      <c r="L183" t="n">
        <v>0</v>
      </c>
      <c r="M183" t="n">
        <v>0</v>
      </c>
      <c r="N183" t="n">
        <v>0</v>
      </c>
      <c r="O183" t="n">
        <v>1</v>
      </c>
      <c r="P183" t="n">
        <v>0</v>
      </c>
      <c r="Q183" t="n">
        <v>3</v>
      </c>
      <c r="R183" s="2" t="inlineStr">
        <is>
          <t>Vedskivlav
Flagellkvastmossa
Grönpyrola</t>
        </is>
      </c>
      <c r="S183">
        <f>HYPERLINK("https://klasma.github.io/Logging_0581/artfynd/A 30863-2025 artfynd.xlsx", "A 30863-2025")</f>
        <v/>
      </c>
      <c r="T183">
        <f>HYPERLINK("https://klasma.github.io/Logging_0581/kartor/A 30863-2025 karta.png", "A 30863-2025")</f>
        <v/>
      </c>
      <c r="V183">
        <f>HYPERLINK("https://klasma.github.io/Logging_0581/klagomål/A 30863-2025 FSC-klagomål.docx", "A 30863-2025")</f>
        <v/>
      </c>
      <c r="W183">
        <f>HYPERLINK("https://klasma.github.io/Logging_0581/klagomålsmail/A 30863-2025 FSC-klagomål mail.docx", "A 30863-2025")</f>
        <v/>
      </c>
      <c r="X183">
        <f>HYPERLINK("https://klasma.github.io/Logging_0581/tillsyn/A 30863-2025 tillsynsbegäran.docx", "A 30863-2025")</f>
        <v/>
      </c>
      <c r="Y183">
        <f>HYPERLINK("https://klasma.github.io/Logging_0581/tillsynsmail/A 30863-2025 tillsynsbegäran mail.docx", "A 30863-2025")</f>
        <v/>
      </c>
    </row>
    <row r="184" ht="15" customHeight="1">
      <c r="A184" t="inlineStr">
        <is>
          <t>A 31468-2025</t>
        </is>
      </c>
      <c r="B184" s="1" t="n">
        <v>45833.56057870371</v>
      </c>
      <c r="C184" s="1" t="n">
        <v>46093</v>
      </c>
      <c r="D184" t="inlineStr">
        <is>
          <t>ÖSTERGÖTLANDS LÄN</t>
        </is>
      </c>
      <c r="E184" t="inlineStr">
        <is>
          <t>NORRKÖPING</t>
        </is>
      </c>
      <c r="G184" t="n">
        <v>6.3</v>
      </c>
      <c r="H184" t="n">
        <v>1</v>
      </c>
      <c r="I184" t="n">
        <v>1</v>
      </c>
      <c r="J184" t="n">
        <v>2</v>
      </c>
      <c r="K184" t="n">
        <v>0</v>
      </c>
      <c r="L184" t="n">
        <v>0</v>
      </c>
      <c r="M184" t="n">
        <v>0</v>
      </c>
      <c r="N184" t="n">
        <v>0</v>
      </c>
      <c r="O184" t="n">
        <v>2</v>
      </c>
      <c r="P184" t="n">
        <v>0</v>
      </c>
      <c r="Q184" t="n">
        <v>3</v>
      </c>
      <c r="R184" s="2" t="inlineStr">
        <is>
          <t>Talltita
Vedskivlav
Grönpyrola</t>
        </is>
      </c>
      <c r="S184">
        <f>HYPERLINK("https://klasma.github.io/Logging_0581/artfynd/A 31468-2025 artfynd.xlsx", "A 31468-2025")</f>
        <v/>
      </c>
      <c r="T184">
        <f>HYPERLINK("https://klasma.github.io/Logging_0581/kartor/A 31468-2025 karta.png", "A 31468-2025")</f>
        <v/>
      </c>
      <c r="V184">
        <f>HYPERLINK("https://klasma.github.io/Logging_0581/klagomål/A 31468-2025 FSC-klagomål.docx", "A 31468-2025")</f>
        <v/>
      </c>
      <c r="W184">
        <f>HYPERLINK("https://klasma.github.io/Logging_0581/klagomålsmail/A 31468-2025 FSC-klagomål mail.docx", "A 31468-2025")</f>
        <v/>
      </c>
      <c r="X184">
        <f>HYPERLINK("https://klasma.github.io/Logging_0581/tillsyn/A 31468-2025 tillsynsbegäran.docx", "A 31468-2025")</f>
        <v/>
      </c>
      <c r="Y184">
        <f>HYPERLINK("https://klasma.github.io/Logging_0581/tillsynsmail/A 31468-2025 tillsynsbegäran mail.docx", "A 31468-2025")</f>
        <v/>
      </c>
      <c r="Z184">
        <f>HYPERLINK("https://klasma.github.io/Logging_0581/fåglar/A 31468-2025 prioriterade fågelarter.docx", "A 31468-2025")</f>
        <v/>
      </c>
    </row>
    <row r="185" ht="15" customHeight="1">
      <c r="A185" t="inlineStr">
        <is>
          <t>A 63961-2021</t>
        </is>
      </c>
      <c r="B185" s="1" t="n">
        <v>44509.81533564815</v>
      </c>
      <c r="C185" s="1" t="n">
        <v>46093</v>
      </c>
      <c r="D185" t="inlineStr">
        <is>
          <t>ÖSTERGÖTLANDS LÄN</t>
        </is>
      </c>
      <c r="E185" t="inlineStr">
        <is>
          <t>YDRE</t>
        </is>
      </c>
      <c r="G185" t="n">
        <v>3.1</v>
      </c>
      <c r="H185" t="n">
        <v>0</v>
      </c>
      <c r="I185" t="n">
        <v>0</v>
      </c>
      <c r="J185" t="n">
        <v>2</v>
      </c>
      <c r="K185" t="n">
        <v>0</v>
      </c>
      <c r="L185" t="n">
        <v>0</v>
      </c>
      <c r="M185" t="n">
        <v>0</v>
      </c>
      <c r="N185" t="n">
        <v>0</v>
      </c>
      <c r="O185" t="n">
        <v>2</v>
      </c>
      <c r="P185" t="n">
        <v>0</v>
      </c>
      <c r="Q185" t="n">
        <v>2</v>
      </c>
      <c r="R185" s="2" t="inlineStr">
        <is>
          <t>Crepis tectorum subsp. tectorum
Tallticka</t>
        </is>
      </c>
      <c r="S185">
        <f>HYPERLINK("https://klasma.github.io/Logging_0512/artfynd/A 63961-2021 artfynd.xlsx", "A 63961-2021")</f>
        <v/>
      </c>
      <c r="T185">
        <f>HYPERLINK("https://klasma.github.io/Logging_0512/kartor/A 63961-2021 karta.png", "A 63961-2021")</f>
        <v/>
      </c>
      <c r="V185">
        <f>HYPERLINK("https://klasma.github.io/Logging_0512/klagomål/A 63961-2021 FSC-klagomål.docx", "A 63961-2021")</f>
        <v/>
      </c>
      <c r="W185">
        <f>HYPERLINK("https://klasma.github.io/Logging_0512/klagomålsmail/A 63961-2021 FSC-klagomål mail.docx", "A 63961-2021")</f>
        <v/>
      </c>
      <c r="X185">
        <f>HYPERLINK("https://klasma.github.io/Logging_0512/tillsyn/A 63961-2021 tillsynsbegäran.docx", "A 63961-2021")</f>
        <v/>
      </c>
      <c r="Y185">
        <f>HYPERLINK("https://klasma.github.io/Logging_0512/tillsynsmail/A 63961-2021 tillsynsbegäran mail.docx", "A 63961-2021")</f>
        <v/>
      </c>
    </row>
    <row r="186" ht="15" customHeight="1">
      <c r="A186" t="inlineStr">
        <is>
          <t>A 40493-2021</t>
        </is>
      </c>
      <c r="B186" s="1" t="n">
        <v>44420</v>
      </c>
      <c r="C186" s="1" t="n">
        <v>46093</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46093</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46093</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46093</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46093</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46093</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46093</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1931-2025</t>
        </is>
      </c>
      <c r="B193" s="1" t="n">
        <v>45671.74186342592</v>
      </c>
      <c r="C193" s="1" t="n">
        <v>46093</v>
      </c>
      <c r="D193" t="inlineStr">
        <is>
          <t>ÖSTERGÖTLANDS LÄN</t>
        </is>
      </c>
      <c r="E193" t="inlineStr">
        <is>
          <t>MOTALA</t>
        </is>
      </c>
      <c r="F193" t="inlineStr">
        <is>
          <t>Allmännings- och besparingsskogar</t>
        </is>
      </c>
      <c r="G193" t="n">
        <v>17.4</v>
      </c>
      <c r="H193" t="n">
        <v>1</v>
      </c>
      <c r="I193" t="n">
        <v>1</v>
      </c>
      <c r="J193" t="n">
        <v>0</v>
      </c>
      <c r="K193" t="n">
        <v>0</v>
      </c>
      <c r="L193" t="n">
        <v>0</v>
      </c>
      <c r="M193" t="n">
        <v>0</v>
      </c>
      <c r="N193" t="n">
        <v>0</v>
      </c>
      <c r="O193" t="n">
        <v>0</v>
      </c>
      <c r="P193" t="n">
        <v>0</v>
      </c>
      <c r="Q193" t="n">
        <v>2</v>
      </c>
      <c r="R193" s="2" t="inlineStr">
        <is>
          <t>Grovticka
Nattviol</t>
        </is>
      </c>
      <c r="S193">
        <f>HYPERLINK("https://klasma.github.io/Logging_0583/artfynd/A 1931-2025 artfynd.xlsx", "A 1931-2025")</f>
        <v/>
      </c>
      <c r="T193">
        <f>HYPERLINK("https://klasma.github.io/Logging_0583/kartor/A 1931-2025 karta.png", "A 1931-2025")</f>
        <v/>
      </c>
      <c r="V193">
        <f>HYPERLINK("https://klasma.github.io/Logging_0583/klagomål/A 1931-2025 FSC-klagomål.docx", "A 1931-2025")</f>
        <v/>
      </c>
      <c r="W193">
        <f>HYPERLINK("https://klasma.github.io/Logging_0583/klagomålsmail/A 1931-2025 FSC-klagomål mail.docx", "A 1931-2025")</f>
        <v/>
      </c>
      <c r="X193">
        <f>HYPERLINK("https://klasma.github.io/Logging_0583/tillsyn/A 1931-2025 tillsynsbegäran.docx", "A 1931-2025")</f>
        <v/>
      </c>
      <c r="Y193">
        <f>HYPERLINK("https://klasma.github.io/Logging_0583/tillsynsmail/A 1931-2025 tillsynsbegäran mail.docx", "A 1931-2025")</f>
        <v/>
      </c>
    </row>
    <row r="194" ht="15" customHeight="1">
      <c r="A194" t="inlineStr">
        <is>
          <t>A 20297-2025</t>
        </is>
      </c>
      <c r="B194" s="1" t="n">
        <v>45774.74971064815</v>
      </c>
      <c r="C194" s="1" t="n">
        <v>46093</v>
      </c>
      <c r="D194" t="inlineStr">
        <is>
          <t>ÖSTERGÖTLANDS LÄN</t>
        </is>
      </c>
      <c r="E194" t="inlineStr">
        <is>
          <t>LINKÖPING</t>
        </is>
      </c>
      <c r="G194" t="n">
        <v>1.5</v>
      </c>
      <c r="H194" t="n">
        <v>1</v>
      </c>
      <c r="I194" t="n">
        <v>1</v>
      </c>
      <c r="J194" t="n">
        <v>0</v>
      </c>
      <c r="K194" t="n">
        <v>0</v>
      </c>
      <c r="L194" t="n">
        <v>0</v>
      </c>
      <c r="M194" t="n">
        <v>0</v>
      </c>
      <c r="N194" t="n">
        <v>0</v>
      </c>
      <c r="O194" t="n">
        <v>0</v>
      </c>
      <c r="P194" t="n">
        <v>0</v>
      </c>
      <c r="Q194" t="n">
        <v>2</v>
      </c>
      <c r="R194" s="2" t="inlineStr">
        <is>
          <t>Blanksvart trämyra
Blåsippa</t>
        </is>
      </c>
      <c r="S194">
        <f>HYPERLINK("https://klasma.github.io/Logging_0580/artfynd/A 20297-2025 artfynd.xlsx", "A 20297-2025")</f>
        <v/>
      </c>
      <c r="T194">
        <f>HYPERLINK("https://klasma.github.io/Logging_0580/kartor/A 20297-2025 karta.png", "A 20297-2025")</f>
        <v/>
      </c>
      <c r="V194">
        <f>HYPERLINK("https://klasma.github.io/Logging_0580/klagomål/A 20297-2025 FSC-klagomål.docx", "A 20297-2025")</f>
        <v/>
      </c>
      <c r="W194">
        <f>HYPERLINK("https://klasma.github.io/Logging_0580/klagomålsmail/A 20297-2025 FSC-klagomål mail.docx", "A 20297-2025")</f>
        <v/>
      </c>
      <c r="X194">
        <f>HYPERLINK("https://klasma.github.io/Logging_0580/tillsyn/A 20297-2025 tillsynsbegäran.docx", "A 20297-2025")</f>
        <v/>
      </c>
      <c r="Y194">
        <f>HYPERLINK("https://klasma.github.io/Logging_0580/tillsynsmail/A 20297-2025 tillsynsbegäran mail.docx", "A 20297-2025")</f>
        <v/>
      </c>
    </row>
    <row r="195" ht="15" customHeight="1">
      <c r="A195" t="inlineStr">
        <is>
          <t>A 33659-2022</t>
        </is>
      </c>
      <c r="B195" s="1" t="n">
        <v>44789</v>
      </c>
      <c r="C195" s="1" t="n">
        <v>46093</v>
      </c>
      <c r="D195" t="inlineStr">
        <is>
          <t>ÖSTERGÖTLANDS LÄN</t>
        </is>
      </c>
      <c r="E195" t="inlineStr">
        <is>
          <t>NORRKÖPING</t>
        </is>
      </c>
      <c r="F195" t="inlineStr">
        <is>
          <t>Kommuner</t>
        </is>
      </c>
      <c r="G195" t="n">
        <v>3.4</v>
      </c>
      <c r="H195" t="n">
        <v>0</v>
      </c>
      <c r="I195" t="n">
        <v>1</v>
      </c>
      <c r="J195" t="n">
        <v>0</v>
      </c>
      <c r="K195" t="n">
        <v>0</v>
      </c>
      <c r="L195" t="n">
        <v>1</v>
      </c>
      <c r="M195" t="n">
        <v>0</v>
      </c>
      <c r="N195" t="n">
        <v>0</v>
      </c>
      <c r="O195" t="n">
        <v>1</v>
      </c>
      <c r="P195" t="n">
        <v>1</v>
      </c>
      <c r="Q195" t="n">
        <v>2</v>
      </c>
      <c r="R195" s="2" t="inlineStr">
        <is>
          <t>Ask
Sotlav</t>
        </is>
      </c>
      <c r="S195">
        <f>HYPERLINK("https://klasma.github.io/Logging_0581/artfynd/A 33659-2022 artfynd.xlsx", "A 33659-2022")</f>
        <v/>
      </c>
      <c r="T195">
        <f>HYPERLINK("https://klasma.github.io/Logging_0581/kartor/A 33659-2022 karta.png", "A 33659-2022")</f>
        <v/>
      </c>
      <c r="V195">
        <f>HYPERLINK("https://klasma.github.io/Logging_0581/klagomål/A 33659-2022 FSC-klagomål.docx", "A 33659-2022")</f>
        <v/>
      </c>
      <c r="W195">
        <f>HYPERLINK("https://klasma.github.io/Logging_0581/klagomålsmail/A 33659-2022 FSC-klagomål mail.docx", "A 33659-2022")</f>
        <v/>
      </c>
      <c r="X195">
        <f>HYPERLINK("https://klasma.github.io/Logging_0581/tillsyn/A 33659-2022 tillsynsbegäran.docx", "A 33659-2022")</f>
        <v/>
      </c>
      <c r="Y195">
        <f>HYPERLINK("https://klasma.github.io/Logging_0581/tillsynsmail/A 33659-2022 tillsynsbegäran mail.docx", "A 33659-2022")</f>
        <v/>
      </c>
    </row>
    <row r="196" ht="15" customHeight="1">
      <c r="A196" t="inlineStr">
        <is>
          <t>A 22603-2024</t>
        </is>
      </c>
      <c r="B196" s="1" t="n">
        <v>45447</v>
      </c>
      <c r="C196" s="1" t="n">
        <v>46093</v>
      </c>
      <c r="D196" t="inlineStr">
        <is>
          <t>ÖSTERGÖTLANDS LÄN</t>
        </is>
      </c>
      <c r="E196" t="inlineStr">
        <is>
          <t>FINSPÅNG</t>
        </is>
      </c>
      <c r="F196" t="inlineStr">
        <is>
          <t>Holmen skog AB</t>
        </is>
      </c>
      <c r="G196" t="n">
        <v>5.6</v>
      </c>
      <c r="H196" t="n">
        <v>0</v>
      </c>
      <c r="I196" t="n">
        <v>2</v>
      </c>
      <c r="J196" t="n">
        <v>0</v>
      </c>
      <c r="K196" t="n">
        <v>0</v>
      </c>
      <c r="L196" t="n">
        <v>0</v>
      </c>
      <c r="M196" t="n">
        <v>0</v>
      </c>
      <c r="N196" t="n">
        <v>0</v>
      </c>
      <c r="O196" t="n">
        <v>0</v>
      </c>
      <c r="P196" t="n">
        <v>0</v>
      </c>
      <c r="Q196" t="n">
        <v>2</v>
      </c>
      <c r="R196" s="2" t="inlineStr">
        <is>
          <t>Blodticka
Scharlakansskål</t>
        </is>
      </c>
      <c r="S196">
        <f>HYPERLINK("https://klasma.github.io/Logging_0562/artfynd/A 22603-2024 artfynd.xlsx", "A 22603-2024")</f>
        <v/>
      </c>
      <c r="T196">
        <f>HYPERLINK("https://klasma.github.io/Logging_0562/kartor/A 22603-2024 karta.png", "A 22603-2024")</f>
        <v/>
      </c>
      <c r="V196">
        <f>HYPERLINK("https://klasma.github.io/Logging_0562/klagomål/A 22603-2024 FSC-klagomål.docx", "A 22603-2024")</f>
        <v/>
      </c>
      <c r="W196">
        <f>HYPERLINK("https://klasma.github.io/Logging_0562/klagomålsmail/A 22603-2024 FSC-klagomål mail.docx", "A 22603-2024")</f>
        <v/>
      </c>
      <c r="X196">
        <f>HYPERLINK("https://klasma.github.io/Logging_0562/tillsyn/A 22603-2024 tillsynsbegäran.docx", "A 22603-2024")</f>
        <v/>
      </c>
      <c r="Y196">
        <f>HYPERLINK("https://klasma.github.io/Logging_0562/tillsynsmail/A 22603-2024 tillsynsbegäran mail.docx", "A 22603-2024")</f>
        <v/>
      </c>
    </row>
    <row r="197" ht="15" customHeight="1">
      <c r="A197" t="inlineStr">
        <is>
          <t>A 58068-2021</t>
        </is>
      </c>
      <c r="B197" s="1" t="n">
        <v>44487</v>
      </c>
      <c r="C197" s="1" t="n">
        <v>46093</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49188-2024</t>
        </is>
      </c>
      <c r="B198" s="1" t="n">
        <v>45595</v>
      </c>
      <c r="C198" s="1" t="n">
        <v>46093</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17429-2024</t>
        </is>
      </c>
      <c r="B199" s="1" t="n">
        <v>45415.32003472222</v>
      </c>
      <c r="C199" s="1" t="n">
        <v>46093</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5588-2025</t>
        </is>
      </c>
      <c r="B200" s="1" t="n">
        <v>45693.56063657408</v>
      </c>
      <c r="C200" s="1" t="n">
        <v>46093</v>
      </c>
      <c r="D200" t="inlineStr">
        <is>
          <t>ÖSTERGÖTLANDS LÄN</t>
        </is>
      </c>
      <c r="E200" t="inlineStr">
        <is>
          <t>KINDA</t>
        </is>
      </c>
      <c r="G200" t="n">
        <v>3.5</v>
      </c>
      <c r="H200" t="n">
        <v>1</v>
      </c>
      <c r="I200" t="n">
        <v>1</v>
      </c>
      <c r="J200" t="n">
        <v>0</v>
      </c>
      <c r="K200" t="n">
        <v>0</v>
      </c>
      <c r="L200" t="n">
        <v>0</v>
      </c>
      <c r="M200" t="n">
        <v>0</v>
      </c>
      <c r="N200" t="n">
        <v>0</v>
      </c>
      <c r="O200" t="n">
        <v>0</v>
      </c>
      <c r="P200" t="n">
        <v>0</v>
      </c>
      <c r="Q200" t="n">
        <v>2</v>
      </c>
      <c r="R200" s="2" t="inlineStr">
        <is>
          <t>Stubbspretmossa
Blåsippa</t>
        </is>
      </c>
      <c r="S200">
        <f>HYPERLINK("https://klasma.github.io/Logging_0513/artfynd/A 5588-2025 artfynd.xlsx", "A 5588-2025")</f>
        <v/>
      </c>
      <c r="T200">
        <f>HYPERLINK("https://klasma.github.io/Logging_0513/kartor/A 5588-2025 karta.png", "A 5588-2025")</f>
        <v/>
      </c>
      <c r="V200">
        <f>HYPERLINK("https://klasma.github.io/Logging_0513/klagomål/A 5588-2025 FSC-klagomål.docx", "A 5588-2025")</f>
        <v/>
      </c>
      <c r="W200">
        <f>HYPERLINK("https://klasma.github.io/Logging_0513/klagomålsmail/A 5588-2025 FSC-klagomål mail.docx", "A 5588-2025")</f>
        <v/>
      </c>
      <c r="X200">
        <f>HYPERLINK("https://klasma.github.io/Logging_0513/tillsyn/A 5588-2025 tillsynsbegäran.docx", "A 5588-2025")</f>
        <v/>
      </c>
      <c r="Y200">
        <f>HYPERLINK("https://klasma.github.io/Logging_0513/tillsynsmail/A 5588-2025 tillsynsbegäran mail.docx", "A 5588-2025")</f>
        <v/>
      </c>
    </row>
    <row r="201" ht="15" customHeight="1">
      <c r="A201" t="inlineStr">
        <is>
          <t>A 33570-2023</t>
        </is>
      </c>
      <c r="B201" s="1" t="n">
        <v>45131</v>
      </c>
      <c r="C201" s="1" t="n">
        <v>46093</v>
      </c>
      <c r="D201" t="inlineStr">
        <is>
          <t>ÖSTERGÖTLANDS LÄN</t>
        </is>
      </c>
      <c r="E201" t="inlineStr">
        <is>
          <t>ÅTVIDABERG</t>
        </is>
      </c>
      <c r="G201" t="n">
        <v>10.6</v>
      </c>
      <c r="H201" t="n">
        <v>1</v>
      </c>
      <c r="I201" t="n">
        <v>0</v>
      </c>
      <c r="J201" t="n">
        <v>0</v>
      </c>
      <c r="K201" t="n">
        <v>2</v>
      </c>
      <c r="L201" t="n">
        <v>0</v>
      </c>
      <c r="M201" t="n">
        <v>0</v>
      </c>
      <c r="N201" t="n">
        <v>0</v>
      </c>
      <c r="O201" t="n">
        <v>2</v>
      </c>
      <c r="P201" t="n">
        <v>2</v>
      </c>
      <c r="Q201" t="n">
        <v>2</v>
      </c>
      <c r="R201" s="2" t="inlineStr">
        <is>
          <t>Hypebaeus flavipes
Läderbagge</t>
        </is>
      </c>
      <c r="S201">
        <f>HYPERLINK("https://klasma.github.io/Logging_0561/artfynd/A 33570-2023 artfynd.xlsx", "A 33570-2023")</f>
        <v/>
      </c>
      <c r="T201">
        <f>HYPERLINK("https://klasma.github.io/Logging_0561/kartor/A 33570-2023 karta.png", "A 33570-2023")</f>
        <v/>
      </c>
      <c r="V201">
        <f>HYPERLINK("https://klasma.github.io/Logging_0561/klagomål/A 33570-2023 FSC-klagomål.docx", "A 33570-2023")</f>
        <v/>
      </c>
      <c r="W201">
        <f>HYPERLINK("https://klasma.github.io/Logging_0561/klagomålsmail/A 33570-2023 FSC-klagomål mail.docx", "A 33570-2023")</f>
        <v/>
      </c>
      <c r="X201">
        <f>HYPERLINK("https://klasma.github.io/Logging_0561/tillsyn/A 33570-2023 tillsynsbegäran.docx", "A 33570-2023")</f>
        <v/>
      </c>
      <c r="Y201">
        <f>HYPERLINK("https://klasma.github.io/Logging_0561/tillsynsmail/A 33570-2023 tillsynsbegäran mail.docx", "A 33570-2023")</f>
        <v/>
      </c>
    </row>
    <row r="202" ht="15" customHeight="1">
      <c r="A202" t="inlineStr">
        <is>
          <t>A 21566-2024</t>
        </is>
      </c>
      <c r="B202" s="1" t="n">
        <v>45441</v>
      </c>
      <c r="C202" s="1" t="n">
        <v>46093</v>
      </c>
      <c r="D202" t="inlineStr">
        <is>
          <t>ÖSTERGÖTLANDS LÄN</t>
        </is>
      </c>
      <c r="E202" t="inlineStr">
        <is>
          <t>FINSPÅNG</t>
        </is>
      </c>
      <c r="F202" t="inlineStr">
        <is>
          <t>Holmen skog AB</t>
        </is>
      </c>
      <c r="G202" t="n">
        <v>5.8</v>
      </c>
      <c r="H202" t="n">
        <v>0</v>
      </c>
      <c r="I202" t="n">
        <v>1</v>
      </c>
      <c r="J202" t="n">
        <v>1</v>
      </c>
      <c r="K202" t="n">
        <v>0</v>
      </c>
      <c r="L202" t="n">
        <v>0</v>
      </c>
      <c r="M202" t="n">
        <v>0</v>
      </c>
      <c r="N202" t="n">
        <v>0</v>
      </c>
      <c r="O202" t="n">
        <v>1</v>
      </c>
      <c r="P202" t="n">
        <v>0</v>
      </c>
      <c r="Q202" t="n">
        <v>2</v>
      </c>
      <c r="R202" s="2" t="inlineStr">
        <is>
          <t>Tallticka
Blompraktbagge</t>
        </is>
      </c>
      <c r="S202">
        <f>HYPERLINK("https://klasma.github.io/Logging_0562/artfynd/A 21566-2024 artfynd.xlsx", "A 21566-2024")</f>
        <v/>
      </c>
      <c r="T202">
        <f>HYPERLINK("https://klasma.github.io/Logging_0562/kartor/A 21566-2024 karta.png", "A 21566-2024")</f>
        <v/>
      </c>
      <c r="V202">
        <f>HYPERLINK("https://klasma.github.io/Logging_0562/klagomål/A 21566-2024 FSC-klagomål.docx", "A 21566-2024")</f>
        <v/>
      </c>
      <c r="W202">
        <f>HYPERLINK("https://klasma.github.io/Logging_0562/klagomålsmail/A 21566-2024 FSC-klagomål mail.docx", "A 21566-2024")</f>
        <v/>
      </c>
      <c r="X202">
        <f>HYPERLINK("https://klasma.github.io/Logging_0562/tillsyn/A 21566-2024 tillsynsbegäran.docx", "A 21566-2024")</f>
        <v/>
      </c>
      <c r="Y202">
        <f>HYPERLINK("https://klasma.github.io/Logging_0562/tillsynsmail/A 21566-2024 tillsynsbegäran mail.docx", "A 21566-2024")</f>
        <v/>
      </c>
    </row>
    <row r="203" ht="15" customHeight="1">
      <c r="A203" t="inlineStr">
        <is>
          <t>A 7879-2023</t>
        </is>
      </c>
      <c r="B203" s="1" t="n">
        <v>44973</v>
      </c>
      <c r="C203" s="1" t="n">
        <v>46093</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60171-2023</t>
        </is>
      </c>
      <c r="B204" s="1" t="n">
        <v>45258.56491898148</v>
      </c>
      <c r="C204" s="1" t="n">
        <v>46093</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55022-2022</t>
        </is>
      </c>
      <c r="B205" s="1" t="n">
        <v>44886.54420138889</v>
      </c>
      <c r="C205" s="1" t="n">
        <v>46093</v>
      </c>
      <c r="D205" t="inlineStr">
        <is>
          <t>ÖSTERGÖTLANDS LÄN</t>
        </is>
      </c>
      <c r="E205" t="inlineStr">
        <is>
          <t>NORRKÖPING</t>
        </is>
      </c>
      <c r="G205" t="n">
        <v>1.4</v>
      </c>
      <c r="H205" t="n">
        <v>1</v>
      </c>
      <c r="I205" t="n">
        <v>1</v>
      </c>
      <c r="J205" t="n">
        <v>1</v>
      </c>
      <c r="K205" t="n">
        <v>0</v>
      </c>
      <c r="L205" t="n">
        <v>0</v>
      </c>
      <c r="M205" t="n">
        <v>0</v>
      </c>
      <c r="N205" t="n">
        <v>0</v>
      </c>
      <c r="O205" t="n">
        <v>1</v>
      </c>
      <c r="P205" t="n">
        <v>0</v>
      </c>
      <c r="Q205" t="n">
        <v>2</v>
      </c>
      <c r="R205" s="2" t="inlineStr">
        <is>
          <t>Svart taggsvamp agg.
Purpurknipprot</t>
        </is>
      </c>
      <c r="S205">
        <f>HYPERLINK("https://klasma.github.io/Logging_0581/artfynd/A 55022-2022 artfynd.xlsx", "A 55022-2022")</f>
        <v/>
      </c>
      <c r="T205">
        <f>HYPERLINK("https://klasma.github.io/Logging_0581/kartor/A 55022-2022 karta.png", "A 55022-2022")</f>
        <v/>
      </c>
      <c r="V205">
        <f>HYPERLINK("https://klasma.github.io/Logging_0581/klagomål/A 55022-2022 FSC-klagomål.docx", "A 55022-2022")</f>
        <v/>
      </c>
      <c r="W205">
        <f>HYPERLINK("https://klasma.github.io/Logging_0581/klagomålsmail/A 55022-2022 FSC-klagomål mail.docx", "A 55022-2022")</f>
        <v/>
      </c>
      <c r="X205">
        <f>HYPERLINK("https://klasma.github.io/Logging_0581/tillsyn/A 55022-2022 tillsynsbegäran.docx", "A 55022-2022")</f>
        <v/>
      </c>
      <c r="Y205">
        <f>HYPERLINK("https://klasma.github.io/Logging_0581/tillsynsmail/A 55022-2022 tillsynsbegäran mail.docx", "A 55022-2022")</f>
        <v/>
      </c>
    </row>
    <row r="206" ht="15" customHeight="1">
      <c r="A206" t="inlineStr">
        <is>
          <t>A 58068-2021</t>
        </is>
      </c>
      <c r="B206" s="1" t="n">
        <v>44487</v>
      </c>
      <c r="C206" s="1" t="n">
        <v>46093</v>
      </c>
      <c r="D206" t="inlineStr">
        <is>
          <t>ÖSTERGÖTLANDS LÄN</t>
        </is>
      </c>
      <c r="E206" t="inlineStr">
        <is>
          <t>LINKÖPING</t>
        </is>
      </c>
      <c r="F206" t="inlineStr">
        <is>
          <t>Övriga Aktiebolag</t>
        </is>
      </c>
      <c r="G206" t="n">
        <v>1.2</v>
      </c>
      <c r="H206" t="n">
        <v>0</v>
      </c>
      <c r="I206" t="n">
        <v>0</v>
      </c>
      <c r="J206" t="n">
        <v>2</v>
      </c>
      <c r="K206" t="n">
        <v>0</v>
      </c>
      <c r="L206" t="n">
        <v>0</v>
      </c>
      <c r="M206" t="n">
        <v>0</v>
      </c>
      <c r="N206" t="n">
        <v>0</v>
      </c>
      <c r="O206" t="n">
        <v>2</v>
      </c>
      <c r="P206" t="n">
        <v>0</v>
      </c>
      <c r="Q206" t="n">
        <v>2</v>
      </c>
      <c r="R206" s="2" t="inlineStr">
        <is>
          <t>Rödbrun blekspik
Skuggorangelav</t>
        </is>
      </c>
      <c r="S206">
        <f>HYPERLINK("https://klasma.github.io/Logging_0580/artfynd/A 58068-2021 artfynd.xlsx", "A 58068-2021")</f>
        <v/>
      </c>
      <c r="T206">
        <f>HYPERLINK("https://klasma.github.io/Logging_0580/kartor/A 58068-2021 karta.png", "A 58068-2021")</f>
        <v/>
      </c>
      <c r="V206">
        <f>HYPERLINK("https://klasma.github.io/Logging_0580/klagomål/A 58068-2021 FSC-klagomål.docx", "A 58068-2021")</f>
        <v/>
      </c>
      <c r="W206">
        <f>HYPERLINK("https://klasma.github.io/Logging_0580/klagomålsmail/A 58068-2021 FSC-klagomål mail.docx", "A 58068-2021")</f>
        <v/>
      </c>
      <c r="X206">
        <f>HYPERLINK("https://klasma.github.io/Logging_0580/tillsyn/A 58068-2021 tillsynsbegäran.docx", "A 58068-2021")</f>
        <v/>
      </c>
      <c r="Y206">
        <f>HYPERLINK("https://klasma.github.io/Logging_0580/tillsynsmail/A 58068-2021 tillsynsbegäran mail.docx", "A 58068-2021")</f>
        <v/>
      </c>
    </row>
    <row r="207" ht="15" customHeight="1">
      <c r="A207" t="inlineStr">
        <is>
          <t>A 25985-2025</t>
        </is>
      </c>
      <c r="B207" s="1" t="n">
        <v>45804.64479166667</v>
      </c>
      <c r="C207" s="1" t="n">
        <v>46093</v>
      </c>
      <c r="D207" t="inlineStr">
        <is>
          <t>ÖSTERGÖTLANDS LÄN</t>
        </is>
      </c>
      <c r="E207" t="inlineStr">
        <is>
          <t>LINKÖPING</t>
        </is>
      </c>
      <c r="G207" t="n">
        <v>4.5</v>
      </c>
      <c r="H207" t="n">
        <v>2</v>
      </c>
      <c r="I207" t="n">
        <v>0</v>
      </c>
      <c r="J207" t="n">
        <v>1</v>
      </c>
      <c r="K207" t="n">
        <v>0</v>
      </c>
      <c r="L207" t="n">
        <v>0</v>
      </c>
      <c r="M207" t="n">
        <v>0</v>
      </c>
      <c r="N207" t="n">
        <v>0</v>
      </c>
      <c r="O207" t="n">
        <v>1</v>
      </c>
      <c r="P207" t="n">
        <v>0</v>
      </c>
      <c r="Q207" t="n">
        <v>2</v>
      </c>
      <c r="R207" s="2" t="inlineStr">
        <is>
          <t>Spillkråka
Revlummer</t>
        </is>
      </c>
      <c r="S207">
        <f>HYPERLINK("https://klasma.github.io/Logging_0580/artfynd/A 25985-2025 artfynd.xlsx", "A 25985-2025")</f>
        <v/>
      </c>
      <c r="T207">
        <f>HYPERLINK("https://klasma.github.io/Logging_0580/kartor/A 25985-2025 karta.png", "A 25985-2025")</f>
        <v/>
      </c>
      <c r="V207">
        <f>HYPERLINK("https://klasma.github.io/Logging_0580/klagomål/A 25985-2025 FSC-klagomål.docx", "A 25985-2025")</f>
        <v/>
      </c>
      <c r="W207">
        <f>HYPERLINK("https://klasma.github.io/Logging_0580/klagomålsmail/A 25985-2025 FSC-klagomål mail.docx", "A 25985-2025")</f>
        <v/>
      </c>
      <c r="X207">
        <f>HYPERLINK("https://klasma.github.io/Logging_0580/tillsyn/A 25985-2025 tillsynsbegäran.docx", "A 25985-2025")</f>
        <v/>
      </c>
      <c r="Y207">
        <f>HYPERLINK("https://klasma.github.io/Logging_0580/tillsynsmail/A 25985-2025 tillsynsbegäran mail.docx", "A 25985-2025")</f>
        <v/>
      </c>
      <c r="Z207">
        <f>HYPERLINK("https://klasma.github.io/Logging_0580/fåglar/A 25985-2025 prioriterade fågelarter.docx", "A 25985-2025")</f>
        <v/>
      </c>
    </row>
    <row r="208" ht="15" customHeight="1">
      <c r="A208" t="inlineStr">
        <is>
          <t>A 46154-2023</t>
        </is>
      </c>
      <c r="B208" s="1" t="n">
        <v>45196</v>
      </c>
      <c r="C208" s="1" t="n">
        <v>46093</v>
      </c>
      <c r="D208" t="inlineStr">
        <is>
          <t>ÖSTERGÖTLANDS LÄN</t>
        </is>
      </c>
      <c r="E208" t="inlineStr">
        <is>
          <t>KINDA</t>
        </is>
      </c>
      <c r="G208" t="n">
        <v>6.6</v>
      </c>
      <c r="H208" t="n">
        <v>1</v>
      </c>
      <c r="I208" t="n">
        <v>2</v>
      </c>
      <c r="J208" t="n">
        <v>0</v>
      </c>
      <c r="K208" t="n">
        <v>0</v>
      </c>
      <c r="L208" t="n">
        <v>0</v>
      </c>
      <c r="M208" t="n">
        <v>0</v>
      </c>
      <c r="N208" t="n">
        <v>0</v>
      </c>
      <c r="O208" t="n">
        <v>0</v>
      </c>
      <c r="P208" t="n">
        <v>0</v>
      </c>
      <c r="Q208" t="n">
        <v>2</v>
      </c>
      <c r="R208" s="2" t="inlineStr">
        <is>
          <t>Dvärgkällmossa
Grön sköldmossa</t>
        </is>
      </c>
      <c r="S208">
        <f>HYPERLINK("https://klasma.github.io/Logging_0513/artfynd/A 46154-2023 artfynd.xlsx", "A 46154-2023")</f>
        <v/>
      </c>
      <c r="T208">
        <f>HYPERLINK("https://klasma.github.io/Logging_0513/kartor/A 46154-2023 karta.png", "A 46154-2023")</f>
        <v/>
      </c>
      <c r="V208">
        <f>HYPERLINK("https://klasma.github.io/Logging_0513/klagomål/A 46154-2023 FSC-klagomål.docx", "A 46154-2023")</f>
        <v/>
      </c>
      <c r="W208">
        <f>HYPERLINK("https://klasma.github.io/Logging_0513/klagomålsmail/A 46154-2023 FSC-klagomål mail.docx", "A 46154-2023")</f>
        <v/>
      </c>
      <c r="X208">
        <f>HYPERLINK("https://klasma.github.io/Logging_0513/tillsyn/A 46154-2023 tillsynsbegäran.docx", "A 46154-2023")</f>
        <v/>
      </c>
      <c r="Y208">
        <f>HYPERLINK("https://klasma.github.io/Logging_0513/tillsynsmail/A 46154-2023 tillsynsbegäran mail.docx", "A 46154-2023")</f>
        <v/>
      </c>
    </row>
    <row r="209" ht="15" customHeight="1">
      <c r="A209" t="inlineStr">
        <is>
          <t>A 49665-2024</t>
        </is>
      </c>
      <c r="B209" s="1" t="n">
        <v>45596.64424768519</v>
      </c>
      <c r="C209" s="1" t="n">
        <v>46093</v>
      </c>
      <c r="D209" t="inlineStr">
        <is>
          <t>ÖSTERGÖTLANDS LÄN</t>
        </is>
      </c>
      <c r="E209" t="inlineStr">
        <is>
          <t>MOTALA</t>
        </is>
      </c>
      <c r="F209" t="inlineStr">
        <is>
          <t>Kyrkan</t>
        </is>
      </c>
      <c r="G209" t="n">
        <v>7.2</v>
      </c>
      <c r="H209" t="n">
        <v>0</v>
      </c>
      <c r="I209" t="n">
        <v>2</v>
      </c>
      <c r="J209" t="n">
        <v>0</v>
      </c>
      <c r="K209" t="n">
        <v>0</v>
      </c>
      <c r="L209" t="n">
        <v>0</v>
      </c>
      <c r="M209" t="n">
        <v>0</v>
      </c>
      <c r="N209" t="n">
        <v>0</v>
      </c>
      <c r="O209" t="n">
        <v>0</v>
      </c>
      <c r="P209" t="n">
        <v>0</v>
      </c>
      <c r="Q209" t="n">
        <v>2</v>
      </c>
      <c r="R209" s="2" t="inlineStr">
        <is>
          <t>Flagellkvastmossa
Mindre märgborre</t>
        </is>
      </c>
      <c r="S209">
        <f>HYPERLINK("https://klasma.github.io/Logging_0583/artfynd/A 49665-2024 artfynd.xlsx", "A 49665-2024")</f>
        <v/>
      </c>
      <c r="T209">
        <f>HYPERLINK("https://klasma.github.io/Logging_0583/kartor/A 49665-2024 karta.png", "A 49665-2024")</f>
        <v/>
      </c>
      <c r="V209">
        <f>HYPERLINK("https://klasma.github.io/Logging_0583/klagomål/A 49665-2024 FSC-klagomål.docx", "A 49665-2024")</f>
        <v/>
      </c>
      <c r="W209">
        <f>HYPERLINK("https://klasma.github.io/Logging_0583/klagomålsmail/A 49665-2024 FSC-klagomål mail.docx", "A 49665-2024")</f>
        <v/>
      </c>
      <c r="X209">
        <f>HYPERLINK("https://klasma.github.io/Logging_0583/tillsyn/A 49665-2024 tillsynsbegäran.docx", "A 49665-2024")</f>
        <v/>
      </c>
      <c r="Y209">
        <f>HYPERLINK("https://klasma.github.io/Logging_0583/tillsynsmail/A 49665-2024 tillsynsbegäran mail.docx", "A 49665-2024")</f>
        <v/>
      </c>
    </row>
    <row r="210" ht="15" customHeight="1">
      <c r="A210" t="inlineStr">
        <is>
          <t>A 53205-2022</t>
        </is>
      </c>
      <c r="B210" s="1" t="n">
        <v>44874</v>
      </c>
      <c r="C210" s="1" t="n">
        <v>46093</v>
      </c>
      <c r="D210" t="inlineStr">
        <is>
          <t>ÖSTERGÖTLANDS LÄN</t>
        </is>
      </c>
      <c r="E210" t="inlineStr">
        <is>
          <t>ÅTVIDABERG</t>
        </is>
      </c>
      <c r="F210" t="inlineStr">
        <is>
          <t>Övriga Aktiebolag</t>
        </is>
      </c>
      <c r="G210" t="n">
        <v>12.8</v>
      </c>
      <c r="H210" t="n">
        <v>1</v>
      </c>
      <c r="I210" t="n">
        <v>1</v>
      </c>
      <c r="J210" t="n">
        <v>1</v>
      </c>
      <c r="K210" t="n">
        <v>0</v>
      </c>
      <c r="L210" t="n">
        <v>0</v>
      </c>
      <c r="M210" t="n">
        <v>0</v>
      </c>
      <c r="N210" t="n">
        <v>0</v>
      </c>
      <c r="O210" t="n">
        <v>1</v>
      </c>
      <c r="P210" t="n">
        <v>0</v>
      </c>
      <c r="Q210" t="n">
        <v>2</v>
      </c>
      <c r="R210" s="2" t="inlineStr">
        <is>
          <t>Havsörn
Skogsbräsma</t>
        </is>
      </c>
      <c r="S210">
        <f>HYPERLINK("https://klasma.github.io/Logging_0561/artfynd/A 53205-2022 artfynd.xlsx", "A 53205-2022")</f>
        <v/>
      </c>
      <c r="T210">
        <f>HYPERLINK("https://klasma.github.io/Logging_0561/kartor/A 53205-2022 karta.png", "A 53205-2022")</f>
        <v/>
      </c>
      <c r="V210">
        <f>HYPERLINK("https://klasma.github.io/Logging_0561/klagomål/A 53205-2022 FSC-klagomål.docx", "A 53205-2022")</f>
        <v/>
      </c>
      <c r="W210">
        <f>HYPERLINK("https://klasma.github.io/Logging_0561/klagomålsmail/A 53205-2022 FSC-klagomål mail.docx", "A 53205-2022")</f>
        <v/>
      </c>
      <c r="X210">
        <f>HYPERLINK("https://klasma.github.io/Logging_0561/tillsyn/A 53205-2022 tillsynsbegäran.docx", "A 53205-2022")</f>
        <v/>
      </c>
      <c r="Y210">
        <f>HYPERLINK("https://klasma.github.io/Logging_0561/tillsynsmail/A 53205-2022 tillsynsbegäran mail.docx", "A 53205-2022")</f>
        <v/>
      </c>
      <c r="Z210">
        <f>HYPERLINK("https://klasma.github.io/Logging_0561/fåglar/A 53205-2022 prioriterade fågelarter.docx", "A 53205-2022")</f>
        <v/>
      </c>
    </row>
    <row r="211" ht="15" customHeight="1">
      <c r="A211" t="inlineStr">
        <is>
          <t>A 42388-2025</t>
        </is>
      </c>
      <c r="B211" s="1" t="n">
        <v>45905.35103009259</v>
      </c>
      <c r="C211" s="1" t="n">
        <v>46093</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878-2024</t>
        </is>
      </c>
      <c r="B212" s="1" t="n">
        <v>45301</v>
      </c>
      <c r="C212" s="1" t="n">
        <v>46093</v>
      </c>
      <c r="D212" t="inlineStr">
        <is>
          <t>ÖSTERGÖTLANDS LÄN</t>
        </is>
      </c>
      <c r="E212" t="inlineStr">
        <is>
          <t>KINDA</t>
        </is>
      </c>
      <c r="G212" t="n">
        <v>1.6</v>
      </c>
      <c r="H212" t="n">
        <v>0</v>
      </c>
      <c r="I212" t="n">
        <v>0</v>
      </c>
      <c r="J212" t="n">
        <v>0</v>
      </c>
      <c r="K212" t="n">
        <v>1</v>
      </c>
      <c r="L212" t="n">
        <v>1</v>
      </c>
      <c r="M212" t="n">
        <v>0</v>
      </c>
      <c r="N212" t="n">
        <v>0</v>
      </c>
      <c r="O212" t="n">
        <v>2</v>
      </c>
      <c r="P212" t="n">
        <v>2</v>
      </c>
      <c r="Q212" t="n">
        <v>2</v>
      </c>
      <c r="R212" s="2" t="inlineStr">
        <is>
          <t>Tofsfibbla
Växeltandsfibbla</t>
        </is>
      </c>
      <c r="S212">
        <f>HYPERLINK("https://klasma.github.io/Logging_0513/artfynd/A 878-2024 artfynd.xlsx", "A 878-2024")</f>
        <v/>
      </c>
      <c r="T212">
        <f>HYPERLINK("https://klasma.github.io/Logging_0513/kartor/A 878-2024 karta.png", "A 878-2024")</f>
        <v/>
      </c>
      <c r="V212">
        <f>HYPERLINK("https://klasma.github.io/Logging_0513/klagomål/A 878-2024 FSC-klagomål.docx", "A 878-2024")</f>
        <v/>
      </c>
      <c r="W212">
        <f>HYPERLINK("https://klasma.github.io/Logging_0513/klagomålsmail/A 878-2024 FSC-klagomål mail.docx", "A 878-2024")</f>
        <v/>
      </c>
      <c r="X212">
        <f>HYPERLINK("https://klasma.github.io/Logging_0513/tillsyn/A 878-2024 tillsynsbegäran.docx", "A 878-2024")</f>
        <v/>
      </c>
      <c r="Y212">
        <f>HYPERLINK("https://klasma.github.io/Logging_0513/tillsynsmail/A 878-2024 tillsynsbegäran mail.docx", "A 878-2024")</f>
        <v/>
      </c>
    </row>
    <row r="213" ht="15" customHeight="1">
      <c r="A213" t="inlineStr">
        <is>
          <t>A 11501-2022</t>
        </is>
      </c>
      <c r="B213" s="1" t="n">
        <v>44631</v>
      </c>
      <c r="C213" s="1" t="n">
        <v>46093</v>
      </c>
      <c r="D213" t="inlineStr">
        <is>
          <t>ÖSTERGÖTLANDS LÄN</t>
        </is>
      </c>
      <c r="E213" t="inlineStr">
        <is>
          <t>ÅTVIDABERG</t>
        </is>
      </c>
      <c r="G213" t="n">
        <v>1</v>
      </c>
      <c r="H213" t="n">
        <v>0</v>
      </c>
      <c r="I213" t="n">
        <v>2</v>
      </c>
      <c r="J213" t="n">
        <v>0</v>
      </c>
      <c r="K213" t="n">
        <v>0</v>
      </c>
      <c r="L213" t="n">
        <v>0</v>
      </c>
      <c r="M213" t="n">
        <v>0</v>
      </c>
      <c r="N213" t="n">
        <v>0</v>
      </c>
      <c r="O213" t="n">
        <v>0</v>
      </c>
      <c r="P213" t="n">
        <v>0</v>
      </c>
      <c r="Q213" t="n">
        <v>2</v>
      </c>
      <c r="R213" s="2" t="inlineStr">
        <is>
          <t>Dvärghäxört
Springkorn</t>
        </is>
      </c>
      <c r="S213">
        <f>HYPERLINK("https://klasma.github.io/Logging_0561/artfynd/A 11501-2022 artfynd.xlsx", "A 11501-2022")</f>
        <v/>
      </c>
      <c r="T213">
        <f>HYPERLINK("https://klasma.github.io/Logging_0561/kartor/A 11501-2022 karta.png", "A 11501-2022")</f>
        <v/>
      </c>
      <c r="V213">
        <f>HYPERLINK("https://klasma.github.io/Logging_0561/klagomål/A 11501-2022 FSC-klagomål.docx", "A 11501-2022")</f>
        <v/>
      </c>
      <c r="W213">
        <f>HYPERLINK("https://klasma.github.io/Logging_0561/klagomålsmail/A 11501-2022 FSC-klagomål mail.docx", "A 11501-2022")</f>
        <v/>
      </c>
      <c r="X213">
        <f>HYPERLINK("https://klasma.github.io/Logging_0561/tillsyn/A 11501-2022 tillsynsbegäran.docx", "A 11501-2022")</f>
        <v/>
      </c>
      <c r="Y213">
        <f>HYPERLINK("https://klasma.github.io/Logging_0561/tillsynsmail/A 11501-2022 tillsynsbegäran mail.docx", "A 11501-2022")</f>
        <v/>
      </c>
    </row>
    <row r="214" ht="15" customHeight="1">
      <c r="A214" t="inlineStr">
        <is>
          <t>A 28464-2025</t>
        </is>
      </c>
      <c r="B214" s="1" t="n">
        <v>45819</v>
      </c>
      <c r="C214" s="1" t="n">
        <v>46093</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48628-2023</t>
        </is>
      </c>
      <c r="B215" s="1" t="n">
        <v>45208</v>
      </c>
      <c r="C215" s="1" t="n">
        <v>46093</v>
      </c>
      <c r="D215" t="inlineStr">
        <is>
          <t>ÖSTERGÖTLANDS LÄN</t>
        </is>
      </c>
      <c r="E215" t="inlineStr">
        <is>
          <t>KINDA</t>
        </is>
      </c>
      <c r="G215" t="n">
        <v>3.8</v>
      </c>
      <c r="H215" t="n">
        <v>0</v>
      </c>
      <c r="I215" t="n">
        <v>0</v>
      </c>
      <c r="J215" t="n">
        <v>0</v>
      </c>
      <c r="K215" t="n">
        <v>0</v>
      </c>
      <c r="L215" t="n">
        <v>1</v>
      </c>
      <c r="M215" t="n">
        <v>1</v>
      </c>
      <c r="N215" t="n">
        <v>0</v>
      </c>
      <c r="O215" t="n">
        <v>2</v>
      </c>
      <c r="P215" t="n">
        <v>2</v>
      </c>
      <c r="Q215" t="n">
        <v>2</v>
      </c>
      <c r="R215" s="2" t="inlineStr">
        <is>
          <t>Skogsalm
Ask</t>
        </is>
      </c>
      <c r="S215">
        <f>HYPERLINK("https://klasma.github.io/Logging_0513/artfynd/A 48628-2023 artfynd.xlsx", "A 48628-2023")</f>
        <v/>
      </c>
      <c r="T215">
        <f>HYPERLINK("https://klasma.github.io/Logging_0513/kartor/A 48628-2023 karta.png", "A 48628-2023")</f>
        <v/>
      </c>
      <c r="V215">
        <f>HYPERLINK("https://klasma.github.io/Logging_0513/klagomål/A 48628-2023 FSC-klagomål.docx", "A 48628-2023")</f>
        <v/>
      </c>
      <c r="W215">
        <f>HYPERLINK("https://klasma.github.io/Logging_0513/klagomålsmail/A 48628-2023 FSC-klagomål mail.docx", "A 48628-2023")</f>
        <v/>
      </c>
      <c r="X215">
        <f>HYPERLINK("https://klasma.github.io/Logging_0513/tillsyn/A 48628-2023 tillsynsbegäran.docx", "A 48628-2023")</f>
        <v/>
      </c>
      <c r="Y215">
        <f>HYPERLINK("https://klasma.github.io/Logging_0513/tillsynsmail/A 48628-2023 tillsynsbegäran mail.docx", "A 48628-2023")</f>
        <v/>
      </c>
    </row>
    <row r="216" ht="15" customHeight="1">
      <c r="A216" t="inlineStr">
        <is>
          <t>A 30576-2025</t>
        </is>
      </c>
      <c r="B216" s="1" t="n">
        <v>45831.41356481481</v>
      </c>
      <c r="C216" s="1" t="n">
        <v>46093</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44938-2025</t>
        </is>
      </c>
      <c r="B217" s="1" t="n">
        <v>45918.58255787037</v>
      </c>
      <c r="C217" s="1" t="n">
        <v>46093</v>
      </c>
      <c r="D217" t="inlineStr">
        <is>
          <t>ÖSTERGÖTLANDS LÄN</t>
        </is>
      </c>
      <c r="E217" t="inlineStr">
        <is>
          <t>MOTALA</t>
        </is>
      </c>
      <c r="G217" t="n">
        <v>2.1</v>
      </c>
      <c r="H217" t="n">
        <v>1</v>
      </c>
      <c r="I217" t="n">
        <v>1</v>
      </c>
      <c r="J217" t="n">
        <v>0</v>
      </c>
      <c r="K217" t="n">
        <v>0</v>
      </c>
      <c r="L217" t="n">
        <v>0</v>
      </c>
      <c r="M217" t="n">
        <v>0</v>
      </c>
      <c r="N217" t="n">
        <v>0</v>
      </c>
      <c r="O217" t="n">
        <v>0</v>
      </c>
      <c r="P217" t="n">
        <v>0</v>
      </c>
      <c r="Q217" t="n">
        <v>2</v>
      </c>
      <c r="R217" s="2" t="inlineStr">
        <is>
          <t>Blomkålssvamp
Revlummer</t>
        </is>
      </c>
      <c r="S217">
        <f>HYPERLINK("https://klasma.github.io/Logging_0583/artfynd/A 44938-2025 artfynd.xlsx", "A 44938-2025")</f>
        <v/>
      </c>
      <c r="T217">
        <f>HYPERLINK("https://klasma.github.io/Logging_0583/kartor/A 44938-2025 karta.png", "A 44938-2025")</f>
        <v/>
      </c>
      <c r="V217">
        <f>HYPERLINK("https://klasma.github.io/Logging_0583/klagomål/A 44938-2025 FSC-klagomål.docx", "A 44938-2025")</f>
        <v/>
      </c>
      <c r="W217">
        <f>HYPERLINK("https://klasma.github.io/Logging_0583/klagomålsmail/A 44938-2025 FSC-klagomål mail.docx", "A 44938-2025")</f>
        <v/>
      </c>
      <c r="X217">
        <f>HYPERLINK("https://klasma.github.io/Logging_0583/tillsyn/A 44938-2025 tillsynsbegäran.docx", "A 44938-2025")</f>
        <v/>
      </c>
      <c r="Y217">
        <f>HYPERLINK("https://klasma.github.io/Logging_0583/tillsynsmail/A 44938-2025 tillsynsbegäran mail.docx", "A 44938-2025")</f>
        <v/>
      </c>
    </row>
    <row r="218" ht="15" customHeight="1">
      <c r="A218" t="inlineStr">
        <is>
          <t>A 34096-2022</t>
        </is>
      </c>
      <c r="B218" s="1" t="n">
        <v>44791</v>
      </c>
      <c r="C218" s="1" t="n">
        <v>46093</v>
      </c>
      <c r="D218" t="inlineStr">
        <is>
          <t>ÖSTERGÖTLANDS LÄN</t>
        </is>
      </c>
      <c r="E218" t="inlineStr">
        <is>
          <t>FINSPÅNG</t>
        </is>
      </c>
      <c r="F218" t="inlineStr">
        <is>
          <t>Holmen skog AB</t>
        </is>
      </c>
      <c r="G218" t="n">
        <v>1.3</v>
      </c>
      <c r="H218" t="n">
        <v>0</v>
      </c>
      <c r="I218" t="n">
        <v>0</v>
      </c>
      <c r="J218" t="n">
        <v>1</v>
      </c>
      <c r="K218" t="n">
        <v>1</v>
      </c>
      <c r="L218" t="n">
        <v>0</v>
      </c>
      <c r="M218" t="n">
        <v>0</v>
      </c>
      <c r="N218" t="n">
        <v>0</v>
      </c>
      <c r="O218" t="n">
        <v>2</v>
      </c>
      <c r="P218" t="n">
        <v>1</v>
      </c>
      <c r="Q218" t="n">
        <v>2</v>
      </c>
      <c r="R218" s="2" t="inlineStr">
        <is>
          <t>Jättemusseron
Tallticka</t>
        </is>
      </c>
      <c r="S218">
        <f>HYPERLINK("https://klasma.github.io/Logging_0562/artfynd/A 34096-2022 artfynd.xlsx", "A 34096-2022")</f>
        <v/>
      </c>
      <c r="T218">
        <f>HYPERLINK("https://klasma.github.io/Logging_0562/kartor/A 34096-2022 karta.png", "A 34096-2022")</f>
        <v/>
      </c>
      <c r="V218">
        <f>HYPERLINK("https://klasma.github.io/Logging_0562/klagomål/A 34096-2022 FSC-klagomål.docx", "A 34096-2022")</f>
        <v/>
      </c>
      <c r="W218">
        <f>HYPERLINK("https://klasma.github.io/Logging_0562/klagomålsmail/A 34096-2022 FSC-klagomål mail.docx", "A 34096-2022")</f>
        <v/>
      </c>
      <c r="X218">
        <f>HYPERLINK("https://klasma.github.io/Logging_0562/tillsyn/A 34096-2022 tillsynsbegäran.docx", "A 34096-2022")</f>
        <v/>
      </c>
      <c r="Y218">
        <f>HYPERLINK("https://klasma.github.io/Logging_0562/tillsynsmail/A 34096-2022 tillsynsbegäran mail.docx", "A 34096-2022")</f>
        <v/>
      </c>
    </row>
    <row r="219" ht="15" customHeight="1">
      <c r="A219" t="inlineStr">
        <is>
          <t>A 42463-2024</t>
        </is>
      </c>
      <c r="B219" s="1" t="n">
        <v>45565.47502314814</v>
      </c>
      <c r="C219" s="1" t="n">
        <v>46093</v>
      </c>
      <c r="D219" t="inlineStr">
        <is>
          <t>ÖSTERGÖTLANDS LÄN</t>
        </is>
      </c>
      <c r="E219" t="inlineStr">
        <is>
          <t>ÅTVIDABERG</t>
        </is>
      </c>
      <c r="F219" t="inlineStr">
        <is>
          <t>Sveaskog</t>
        </is>
      </c>
      <c r="G219" t="n">
        <v>2.1</v>
      </c>
      <c r="H219" t="n">
        <v>1</v>
      </c>
      <c r="I219" t="n">
        <v>1</v>
      </c>
      <c r="J219" t="n">
        <v>0</v>
      </c>
      <c r="K219" t="n">
        <v>0</v>
      </c>
      <c r="L219" t="n">
        <v>0</v>
      </c>
      <c r="M219" t="n">
        <v>0</v>
      </c>
      <c r="N219" t="n">
        <v>0</v>
      </c>
      <c r="O219" t="n">
        <v>0</v>
      </c>
      <c r="P219" t="n">
        <v>0</v>
      </c>
      <c r="Q219" t="n">
        <v>2</v>
      </c>
      <c r="R219" s="2" t="inlineStr">
        <is>
          <t>Fällmossa
Blåsippa</t>
        </is>
      </c>
      <c r="S219">
        <f>HYPERLINK("https://klasma.github.io/Logging_0561/artfynd/A 42463-2024 artfynd.xlsx", "A 42463-2024")</f>
        <v/>
      </c>
      <c r="T219">
        <f>HYPERLINK("https://klasma.github.io/Logging_0561/kartor/A 42463-2024 karta.png", "A 42463-2024")</f>
        <v/>
      </c>
      <c r="V219">
        <f>HYPERLINK("https://klasma.github.io/Logging_0561/klagomål/A 42463-2024 FSC-klagomål.docx", "A 42463-2024")</f>
        <v/>
      </c>
      <c r="W219">
        <f>HYPERLINK("https://klasma.github.io/Logging_0561/klagomålsmail/A 42463-2024 FSC-klagomål mail.docx", "A 42463-2024")</f>
        <v/>
      </c>
      <c r="X219">
        <f>HYPERLINK("https://klasma.github.io/Logging_0561/tillsyn/A 42463-2024 tillsynsbegäran.docx", "A 42463-2024")</f>
        <v/>
      </c>
      <c r="Y219">
        <f>HYPERLINK("https://klasma.github.io/Logging_0561/tillsynsmail/A 42463-2024 tillsynsbegäran mail.docx", "A 42463-2024")</f>
        <v/>
      </c>
    </row>
    <row r="220" ht="15" customHeight="1">
      <c r="A220" t="inlineStr">
        <is>
          <t>A 43306-2024</t>
        </is>
      </c>
      <c r="B220" s="1" t="n">
        <v>45568.44137731481</v>
      </c>
      <c r="C220" s="1" t="n">
        <v>46093</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27981-2022</t>
        </is>
      </c>
      <c r="B221" s="1" t="n">
        <v>44745</v>
      </c>
      <c r="C221" s="1" t="n">
        <v>46093</v>
      </c>
      <c r="D221" t="inlineStr">
        <is>
          <t>ÖSTERGÖTLANDS LÄN</t>
        </is>
      </c>
      <c r="E221" t="inlineStr">
        <is>
          <t>LINKÖPING</t>
        </is>
      </c>
      <c r="G221" t="n">
        <v>8.4</v>
      </c>
      <c r="H221" t="n">
        <v>0</v>
      </c>
      <c r="I221" t="n">
        <v>0</v>
      </c>
      <c r="J221" t="n">
        <v>2</v>
      </c>
      <c r="K221" t="n">
        <v>0</v>
      </c>
      <c r="L221" t="n">
        <v>0</v>
      </c>
      <c r="M221" t="n">
        <v>0</v>
      </c>
      <c r="N221" t="n">
        <v>0</v>
      </c>
      <c r="O221" t="n">
        <v>2</v>
      </c>
      <c r="P221" t="n">
        <v>0</v>
      </c>
      <c r="Q221" t="n">
        <v>2</v>
      </c>
      <c r="R221" s="2" t="inlineStr">
        <is>
          <t>Solvända
Svinrot</t>
        </is>
      </c>
      <c r="S221">
        <f>HYPERLINK("https://klasma.github.io/Logging_0580/artfynd/A 27981-2022 artfynd.xlsx", "A 27981-2022")</f>
        <v/>
      </c>
      <c r="T221">
        <f>HYPERLINK("https://klasma.github.io/Logging_0580/kartor/A 27981-2022 karta.png", "A 27981-2022")</f>
        <v/>
      </c>
      <c r="V221">
        <f>HYPERLINK("https://klasma.github.io/Logging_0580/klagomål/A 27981-2022 FSC-klagomål.docx", "A 27981-2022")</f>
        <v/>
      </c>
      <c r="W221">
        <f>HYPERLINK("https://klasma.github.io/Logging_0580/klagomålsmail/A 27981-2022 FSC-klagomål mail.docx", "A 27981-2022")</f>
        <v/>
      </c>
      <c r="X221">
        <f>HYPERLINK("https://klasma.github.io/Logging_0580/tillsyn/A 27981-2022 tillsynsbegäran.docx", "A 27981-2022")</f>
        <v/>
      </c>
      <c r="Y221">
        <f>HYPERLINK("https://klasma.github.io/Logging_0580/tillsynsmail/A 27981-2022 tillsynsbegäran mail.docx", "A 27981-2022")</f>
        <v/>
      </c>
    </row>
    <row r="222" ht="15" customHeight="1">
      <c r="A222" t="inlineStr">
        <is>
          <t>A 54673-2023</t>
        </is>
      </c>
      <c r="B222" s="1" t="n">
        <v>45235</v>
      </c>
      <c r="C222" s="1" t="n">
        <v>46093</v>
      </c>
      <c r="D222" t="inlineStr">
        <is>
          <t>ÖSTERGÖTLANDS LÄN</t>
        </is>
      </c>
      <c r="E222" t="inlineStr">
        <is>
          <t>KINDA</t>
        </is>
      </c>
      <c r="G222" t="n">
        <v>2.7</v>
      </c>
      <c r="H222" t="n">
        <v>0</v>
      </c>
      <c r="I222" t="n">
        <v>2</v>
      </c>
      <c r="J222" t="n">
        <v>0</v>
      </c>
      <c r="K222" t="n">
        <v>0</v>
      </c>
      <c r="L222" t="n">
        <v>0</v>
      </c>
      <c r="M222" t="n">
        <v>0</v>
      </c>
      <c r="N222" t="n">
        <v>0</v>
      </c>
      <c r="O222" t="n">
        <v>0</v>
      </c>
      <c r="P222" t="n">
        <v>0</v>
      </c>
      <c r="Q222" t="n">
        <v>2</v>
      </c>
      <c r="R222" s="2" t="inlineStr">
        <is>
          <t>Hasselticka
Sårläka</t>
        </is>
      </c>
      <c r="S222">
        <f>HYPERLINK("https://klasma.github.io/Logging_0513/artfynd/A 54673-2023 artfynd.xlsx", "A 54673-2023")</f>
        <v/>
      </c>
      <c r="T222">
        <f>HYPERLINK("https://klasma.github.io/Logging_0513/kartor/A 54673-2023 karta.png", "A 54673-2023")</f>
        <v/>
      </c>
      <c r="V222">
        <f>HYPERLINK("https://klasma.github.io/Logging_0513/klagomål/A 54673-2023 FSC-klagomål.docx", "A 54673-2023")</f>
        <v/>
      </c>
      <c r="W222">
        <f>HYPERLINK("https://klasma.github.io/Logging_0513/klagomålsmail/A 54673-2023 FSC-klagomål mail.docx", "A 54673-2023")</f>
        <v/>
      </c>
      <c r="X222">
        <f>HYPERLINK("https://klasma.github.io/Logging_0513/tillsyn/A 54673-2023 tillsynsbegäran.docx", "A 54673-2023")</f>
        <v/>
      </c>
      <c r="Y222">
        <f>HYPERLINK("https://klasma.github.io/Logging_0513/tillsynsmail/A 54673-2023 tillsynsbegäran mail.docx", "A 54673-2023")</f>
        <v/>
      </c>
    </row>
    <row r="223" ht="15" customHeight="1">
      <c r="A223" t="inlineStr">
        <is>
          <t>A 42858-2023</t>
        </is>
      </c>
      <c r="B223" s="1" t="n">
        <v>45177</v>
      </c>
      <c r="C223" s="1" t="n">
        <v>46093</v>
      </c>
      <c r="D223" t="inlineStr">
        <is>
          <t>ÖSTERGÖTLANDS LÄN</t>
        </is>
      </c>
      <c r="E223" t="inlineStr">
        <is>
          <t>LINKÖPING</t>
        </is>
      </c>
      <c r="G223" t="n">
        <v>5.3</v>
      </c>
      <c r="H223" t="n">
        <v>1</v>
      </c>
      <c r="I223" t="n">
        <v>0</v>
      </c>
      <c r="J223" t="n">
        <v>1</v>
      </c>
      <c r="K223" t="n">
        <v>0</v>
      </c>
      <c r="L223" t="n">
        <v>0</v>
      </c>
      <c r="M223" t="n">
        <v>0</v>
      </c>
      <c r="N223" t="n">
        <v>0</v>
      </c>
      <c r="O223" t="n">
        <v>1</v>
      </c>
      <c r="P223" t="n">
        <v>0</v>
      </c>
      <c r="Q223" t="n">
        <v>2</v>
      </c>
      <c r="R223" s="2" t="inlineStr">
        <is>
          <t>Svinrot
Skogsödla</t>
        </is>
      </c>
      <c r="S223">
        <f>HYPERLINK("https://klasma.github.io/Logging_0580/artfynd/A 42858-2023 artfynd.xlsx", "A 42858-2023")</f>
        <v/>
      </c>
      <c r="T223">
        <f>HYPERLINK("https://klasma.github.io/Logging_0580/kartor/A 42858-2023 karta.png", "A 42858-2023")</f>
        <v/>
      </c>
      <c r="V223">
        <f>HYPERLINK("https://klasma.github.io/Logging_0580/klagomål/A 42858-2023 FSC-klagomål.docx", "A 42858-2023")</f>
        <v/>
      </c>
      <c r="W223">
        <f>HYPERLINK("https://klasma.github.io/Logging_0580/klagomålsmail/A 42858-2023 FSC-klagomål mail.docx", "A 42858-2023")</f>
        <v/>
      </c>
      <c r="X223">
        <f>HYPERLINK("https://klasma.github.io/Logging_0580/tillsyn/A 42858-2023 tillsynsbegäran.docx", "A 42858-2023")</f>
        <v/>
      </c>
      <c r="Y223">
        <f>HYPERLINK("https://klasma.github.io/Logging_0580/tillsynsmail/A 42858-2023 tillsynsbegäran mail.docx", "A 42858-2023")</f>
        <v/>
      </c>
    </row>
    <row r="224" ht="15" customHeight="1">
      <c r="A224" t="inlineStr">
        <is>
          <t>A 11613-2025</t>
        </is>
      </c>
      <c r="B224" s="1" t="n">
        <v>45727.44623842592</v>
      </c>
      <c r="C224" s="1" t="n">
        <v>46093</v>
      </c>
      <c r="D224" t="inlineStr">
        <is>
          <t>ÖSTERGÖTLANDS LÄN</t>
        </is>
      </c>
      <c r="E224" t="inlineStr">
        <is>
          <t>LINKÖPING</t>
        </is>
      </c>
      <c r="G224" t="n">
        <v>5.7</v>
      </c>
      <c r="H224" t="n">
        <v>1</v>
      </c>
      <c r="I224" t="n">
        <v>1</v>
      </c>
      <c r="J224" t="n">
        <v>0</v>
      </c>
      <c r="K224" t="n">
        <v>1</v>
      </c>
      <c r="L224" t="n">
        <v>0</v>
      </c>
      <c r="M224" t="n">
        <v>0</v>
      </c>
      <c r="N224" t="n">
        <v>0</v>
      </c>
      <c r="O224" t="n">
        <v>1</v>
      </c>
      <c r="P224" t="n">
        <v>1</v>
      </c>
      <c r="Q224" t="n">
        <v>2</v>
      </c>
      <c r="R224" s="2" t="inlineStr">
        <is>
          <t>Knärot
Grönpyrola</t>
        </is>
      </c>
      <c r="S224">
        <f>HYPERLINK("https://klasma.github.io/Logging_0580/artfynd/A 11613-2025 artfynd.xlsx", "A 11613-2025")</f>
        <v/>
      </c>
      <c r="T224">
        <f>HYPERLINK("https://klasma.github.io/Logging_0580/kartor/A 11613-2025 karta.png", "A 11613-2025")</f>
        <v/>
      </c>
      <c r="U224">
        <f>HYPERLINK("https://klasma.github.io/Logging_0580/knärot/A 11613-2025 karta knärot.png", "A 11613-2025")</f>
        <v/>
      </c>
      <c r="V224">
        <f>HYPERLINK("https://klasma.github.io/Logging_0580/klagomål/A 11613-2025 FSC-klagomål.docx", "A 11613-2025")</f>
        <v/>
      </c>
      <c r="W224">
        <f>HYPERLINK("https://klasma.github.io/Logging_0580/klagomålsmail/A 11613-2025 FSC-klagomål mail.docx", "A 11613-2025")</f>
        <v/>
      </c>
      <c r="X224">
        <f>HYPERLINK("https://klasma.github.io/Logging_0580/tillsyn/A 11613-2025 tillsynsbegäran.docx", "A 11613-2025")</f>
        <v/>
      </c>
      <c r="Y224">
        <f>HYPERLINK("https://klasma.github.io/Logging_0580/tillsynsmail/A 11613-2025 tillsynsbegäran mail.docx", "A 11613-2025")</f>
        <v/>
      </c>
    </row>
    <row r="225" ht="15" customHeight="1">
      <c r="A225" t="inlineStr">
        <is>
          <t>A 20262-2022</t>
        </is>
      </c>
      <c r="B225" s="1" t="n">
        <v>44698</v>
      </c>
      <c r="C225" s="1" t="n">
        <v>46093</v>
      </c>
      <c r="D225" t="inlineStr">
        <is>
          <t>ÖSTERGÖTLANDS LÄN</t>
        </is>
      </c>
      <c r="E225" t="inlineStr">
        <is>
          <t>ÖDESHÖG</t>
        </is>
      </c>
      <c r="F225" t="inlineStr">
        <is>
          <t>Allmännings- och besparingsskogar</t>
        </is>
      </c>
      <c r="G225" t="n">
        <v>10.3</v>
      </c>
      <c r="H225" t="n">
        <v>1</v>
      </c>
      <c r="I225" t="n">
        <v>1</v>
      </c>
      <c r="J225" t="n">
        <v>0</v>
      </c>
      <c r="K225" t="n">
        <v>1</v>
      </c>
      <c r="L225" t="n">
        <v>0</v>
      </c>
      <c r="M225" t="n">
        <v>0</v>
      </c>
      <c r="N225" t="n">
        <v>0</v>
      </c>
      <c r="O225" t="n">
        <v>1</v>
      </c>
      <c r="P225" t="n">
        <v>1</v>
      </c>
      <c r="Q225" t="n">
        <v>2</v>
      </c>
      <c r="R225" s="2" t="inlineStr">
        <is>
          <t>Knärot
Blåmossa</t>
        </is>
      </c>
      <c r="S225">
        <f>HYPERLINK("https://klasma.github.io/Logging_0509/artfynd/A 20262-2022 artfynd.xlsx", "A 20262-2022")</f>
        <v/>
      </c>
      <c r="T225">
        <f>HYPERLINK("https://klasma.github.io/Logging_0509/kartor/A 20262-2022 karta.png", "A 20262-2022")</f>
        <v/>
      </c>
      <c r="U225">
        <f>HYPERLINK("https://klasma.github.io/Logging_0509/knärot/A 20262-2022 karta knärot.png", "A 20262-2022")</f>
        <v/>
      </c>
      <c r="V225">
        <f>HYPERLINK("https://klasma.github.io/Logging_0509/klagomål/A 20262-2022 FSC-klagomål.docx", "A 20262-2022")</f>
        <v/>
      </c>
      <c r="W225">
        <f>HYPERLINK("https://klasma.github.io/Logging_0509/klagomålsmail/A 20262-2022 FSC-klagomål mail.docx", "A 20262-2022")</f>
        <v/>
      </c>
      <c r="X225">
        <f>HYPERLINK("https://klasma.github.io/Logging_0509/tillsyn/A 20262-2022 tillsynsbegäran.docx", "A 20262-2022")</f>
        <v/>
      </c>
      <c r="Y225">
        <f>HYPERLINK("https://klasma.github.io/Logging_0509/tillsynsmail/A 20262-2022 tillsynsbegäran mail.docx", "A 20262-2022")</f>
        <v/>
      </c>
    </row>
    <row r="226" ht="15" customHeight="1">
      <c r="A226" t="inlineStr">
        <is>
          <t>A 41751-2023</t>
        </is>
      </c>
      <c r="B226" s="1" t="n">
        <v>45176</v>
      </c>
      <c r="C226" s="1" t="n">
        <v>46093</v>
      </c>
      <c r="D226" t="inlineStr">
        <is>
          <t>ÖSTERGÖTLANDS LÄN</t>
        </is>
      </c>
      <c r="E226" t="inlineStr">
        <is>
          <t>LINKÖPING</t>
        </is>
      </c>
      <c r="G226" t="n">
        <v>1.5</v>
      </c>
      <c r="H226" t="n">
        <v>1</v>
      </c>
      <c r="I226" t="n">
        <v>0</v>
      </c>
      <c r="J226" t="n">
        <v>1</v>
      </c>
      <c r="K226" t="n">
        <v>0</v>
      </c>
      <c r="L226" t="n">
        <v>0</v>
      </c>
      <c r="M226" t="n">
        <v>0</v>
      </c>
      <c r="N226" t="n">
        <v>0</v>
      </c>
      <c r="O226" t="n">
        <v>1</v>
      </c>
      <c r="P226" t="n">
        <v>0</v>
      </c>
      <c r="Q226" t="n">
        <v>2</v>
      </c>
      <c r="R226" s="2" t="inlineStr">
        <is>
          <t>Svinrot
Grönvit nattviol</t>
        </is>
      </c>
      <c r="S226">
        <f>HYPERLINK("https://klasma.github.io/Logging_0580/artfynd/A 41751-2023 artfynd.xlsx", "A 41751-2023")</f>
        <v/>
      </c>
      <c r="T226">
        <f>HYPERLINK("https://klasma.github.io/Logging_0580/kartor/A 41751-2023 karta.png", "A 41751-2023")</f>
        <v/>
      </c>
      <c r="V226">
        <f>HYPERLINK("https://klasma.github.io/Logging_0580/klagomål/A 41751-2023 FSC-klagomål.docx", "A 41751-2023")</f>
        <v/>
      </c>
      <c r="W226">
        <f>HYPERLINK("https://klasma.github.io/Logging_0580/klagomålsmail/A 41751-2023 FSC-klagomål mail.docx", "A 41751-2023")</f>
        <v/>
      </c>
      <c r="X226">
        <f>HYPERLINK("https://klasma.github.io/Logging_0580/tillsyn/A 41751-2023 tillsynsbegäran.docx", "A 41751-2023")</f>
        <v/>
      </c>
      <c r="Y226">
        <f>HYPERLINK("https://klasma.github.io/Logging_0580/tillsynsmail/A 41751-2023 tillsynsbegäran mail.docx", "A 41751-2023")</f>
        <v/>
      </c>
    </row>
    <row r="227" ht="15" customHeight="1">
      <c r="A227" t="inlineStr">
        <is>
          <t>A 42365-2025</t>
        </is>
      </c>
      <c r="B227" s="1" t="n">
        <v>45905</v>
      </c>
      <c r="C227" s="1" t="n">
        <v>46093</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46093</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37183-2025</t>
        </is>
      </c>
      <c r="B229" s="1" t="n">
        <v>45875</v>
      </c>
      <c r="C229" s="1" t="n">
        <v>46093</v>
      </c>
      <c r="D229" t="inlineStr">
        <is>
          <t>ÖSTERGÖTLANDS LÄN</t>
        </is>
      </c>
      <c r="E229" t="inlineStr">
        <is>
          <t>SÖDERKÖPING</t>
        </is>
      </c>
      <c r="G229" t="n">
        <v>4.8</v>
      </c>
      <c r="H229" t="n">
        <v>1</v>
      </c>
      <c r="I229" t="n">
        <v>0</v>
      </c>
      <c r="J229" t="n">
        <v>1</v>
      </c>
      <c r="K229" t="n">
        <v>0</v>
      </c>
      <c r="L229" t="n">
        <v>0</v>
      </c>
      <c r="M229" t="n">
        <v>0</v>
      </c>
      <c r="N229" t="n">
        <v>0</v>
      </c>
      <c r="O229" t="n">
        <v>1</v>
      </c>
      <c r="P229" t="n">
        <v>0</v>
      </c>
      <c r="Q229" t="n">
        <v>2</v>
      </c>
      <c r="R229" s="2" t="inlineStr">
        <is>
          <t>Vedskivlav
Vanlig padda</t>
        </is>
      </c>
      <c r="S229">
        <f>HYPERLINK("https://klasma.github.io/Logging_0582/artfynd/A 37183-2025 artfynd.xlsx", "A 37183-2025")</f>
        <v/>
      </c>
      <c r="T229">
        <f>HYPERLINK("https://klasma.github.io/Logging_0582/kartor/A 37183-2025 karta.png", "A 37183-2025")</f>
        <v/>
      </c>
      <c r="V229">
        <f>HYPERLINK("https://klasma.github.io/Logging_0582/klagomål/A 37183-2025 FSC-klagomål.docx", "A 37183-2025")</f>
        <v/>
      </c>
      <c r="W229">
        <f>HYPERLINK("https://klasma.github.io/Logging_0582/klagomålsmail/A 37183-2025 FSC-klagomål mail.docx", "A 37183-2025")</f>
        <v/>
      </c>
      <c r="X229">
        <f>HYPERLINK("https://klasma.github.io/Logging_0582/tillsyn/A 37183-2025 tillsynsbegäran.docx", "A 37183-2025")</f>
        <v/>
      </c>
      <c r="Y229">
        <f>HYPERLINK("https://klasma.github.io/Logging_0582/tillsynsmail/A 37183-2025 tillsynsbegäran mail.docx", "A 37183-2025")</f>
        <v/>
      </c>
    </row>
    <row r="230" ht="15" customHeight="1">
      <c r="A230" t="inlineStr">
        <is>
          <t>A 63381-2023</t>
        </is>
      </c>
      <c r="B230" s="1" t="n">
        <v>45274</v>
      </c>
      <c r="C230" s="1" t="n">
        <v>46093</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6298-2025</t>
        </is>
      </c>
      <c r="B231" s="1" t="n">
        <v>45698.67474537037</v>
      </c>
      <c r="C231" s="1" t="n">
        <v>46093</v>
      </c>
      <c r="D231" t="inlineStr">
        <is>
          <t>ÖSTERGÖTLANDS LÄN</t>
        </is>
      </c>
      <c r="E231" t="inlineStr">
        <is>
          <t>KINDA</t>
        </is>
      </c>
      <c r="G231" t="n">
        <v>1.5</v>
      </c>
      <c r="H231" t="n">
        <v>0</v>
      </c>
      <c r="I231" t="n">
        <v>1</v>
      </c>
      <c r="J231" t="n">
        <v>1</v>
      </c>
      <c r="K231" t="n">
        <v>0</v>
      </c>
      <c r="L231" t="n">
        <v>0</v>
      </c>
      <c r="M231" t="n">
        <v>0</v>
      </c>
      <c r="N231" t="n">
        <v>0</v>
      </c>
      <c r="O231" t="n">
        <v>1</v>
      </c>
      <c r="P231" t="n">
        <v>0</v>
      </c>
      <c r="Q231" t="n">
        <v>2</v>
      </c>
      <c r="R231" s="2" t="inlineStr">
        <is>
          <t>Vedtrappmossa
Bronshjon</t>
        </is>
      </c>
      <c r="S231">
        <f>HYPERLINK("https://klasma.github.io/Logging_0513/artfynd/A 6298-2025 artfynd.xlsx", "A 6298-2025")</f>
        <v/>
      </c>
      <c r="T231">
        <f>HYPERLINK("https://klasma.github.io/Logging_0513/kartor/A 6298-2025 karta.png", "A 6298-2025")</f>
        <v/>
      </c>
      <c r="V231">
        <f>HYPERLINK("https://klasma.github.io/Logging_0513/klagomål/A 6298-2025 FSC-klagomål.docx", "A 6298-2025")</f>
        <v/>
      </c>
      <c r="W231">
        <f>HYPERLINK("https://klasma.github.io/Logging_0513/klagomålsmail/A 6298-2025 FSC-klagomål mail.docx", "A 6298-2025")</f>
        <v/>
      </c>
      <c r="X231">
        <f>HYPERLINK("https://klasma.github.io/Logging_0513/tillsyn/A 6298-2025 tillsynsbegäran.docx", "A 6298-2025")</f>
        <v/>
      </c>
      <c r="Y231">
        <f>HYPERLINK("https://klasma.github.io/Logging_0513/tillsynsmail/A 6298-2025 tillsynsbegäran mail.docx", "A 6298-2025")</f>
        <v/>
      </c>
    </row>
    <row r="232" ht="15" customHeight="1">
      <c r="A232" t="inlineStr">
        <is>
          <t>A 52454-2025</t>
        </is>
      </c>
      <c r="B232" s="1" t="n">
        <v>45954.42666666667</v>
      </c>
      <c r="C232" s="1" t="n">
        <v>46093</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53201-2025</t>
        </is>
      </c>
      <c r="B233" s="1" t="n">
        <v>45958.57498842593</v>
      </c>
      <c r="C233" s="1" t="n">
        <v>46093</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8818-2025</t>
        </is>
      </c>
      <c r="B234" s="1" t="n">
        <v>45712</v>
      </c>
      <c r="C234" s="1" t="n">
        <v>46093</v>
      </c>
      <c r="D234" t="inlineStr">
        <is>
          <t>ÖSTERGÖTLANDS LÄN</t>
        </is>
      </c>
      <c r="E234" t="inlineStr">
        <is>
          <t>LINKÖPING</t>
        </is>
      </c>
      <c r="F234" t="inlineStr">
        <is>
          <t>Kommuner</t>
        </is>
      </c>
      <c r="G234" t="n">
        <v>0.6</v>
      </c>
      <c r="H234" t="n">
        <v>0</v>
      </c>
      <c r="I234" t="n">
        <v>0</v>
      </c>
      <c r="J234" t="n">
        <v>1</v>
      </c>
      <c r="K234" t="n">
        <v>1</v>
      </c>
      <c r="L234" t="n">
        <v>0</v>
      </c>
      <c r="M234" t="n">
        <v>0</v>
      </c>
      <c r="N234" t="n">
        <v>0</v>
      </c>
      <c r="O234" t="n">
        <v>2</v>
      </c>
      <c r="P234" t="n">
        <v>1</v>
      </c>
      <c r="Q234" t="n">
        <v>2</v>
      </c>
      <c r="R234" s="2" t="inlineStr">
        <is>
          <t>Luddvicker
Klubbsprötad bastardsvärmare</t>
        </is>
      </c>
      <c r="S234">
        <f>HYPERLINK("https://klasma.github.io/Logging_0580/artfynd/A 8818-2025 artfynd.xlsx", "A 8818-2025")</f>
        <v/>
      </c>
      <c r="T234">
        <f>HYPERLINK("https://klasma.github.io/Logging_0580/kartor/A 8818-2025 karta.png", "A 8818-2025")</f>
        <v/>
      </c>
      <c r="V234">
        <f>HYPERLINK("https://klasma.github.io/Logging_0580/klagomål/A 8818-2025 FSC-klagomål.docx", "A 8818-2025")</f>
        <v/>
      </c>
      <c r="W234">
        <f>HYPERLINK("https://klasma.github.io/Logging_0580/klagomålsmail/A 8818-2025 FSC-klagomål mail.docx", "A 8818-2025")</f>
        <v/>
      </c>
      <c r="X234">
        <f>HYPERLINK("https://klasma.github.io/Logging_0580/tillsyn/A 8818-2025 tillsynsbegäran.docx", "A 8818-2025")</f>
        <v/>
      </c>
      <c r="Y234">
        <f>HYPERLINK("https://klasma.github.io/Logging_0580/tillsynsmail/A 8818-2025 tillsynsbegäran mail.docx", "A 8818-2025")</f>
        <v/>
      </c>
    </row>
    <row r="235" ht="15" customHeight="1">
      <c r="A235" t="inlineStr">
        <is>
          <t>A 53708-2025</t>
        </is>
      </c>
      <c r="B235" s="1" t="n">
        <v>45960.61328703703</v>
      </c>
      <c r="C235" s="1" t="n">
        <v>46093</v>
      </c>
      <c r="D235" t="inlineStr">
        <is>
          <t>ÖSTERGÖTLANDS LÄN</t>
        </is>
      </c>
      <c r="E235" t="inlineStr">
        <is>
          <t>KINDA</t>
        </is>
      </c>
      <c r="G235" t="n">
        <v>2</v>
      </c>
      <c r="H235" t="n">
        <v>1</v>
      </c>
      <c r="I235" t="n">
        <v>0</v>
      </c>
      <c r="J235" t="n">
        <v>0</v>
      </c>
      <c r="K235" t="n">
        <v>1</v>
      </c>
      <c r="L235" t="n">
        <v>0</v>
      </c>
      <c r="M235" t="n">
        <v>0</v>
      </c>
      <c r="N235" t="n">
        <v>0</v>
      </c>
      <c r="O235" t="n">
        <v>1</v>
      </c>
      <c r="P235" t="n">
        <v>1</v>
      </c>
      <c r="Q235" t="n">
        <v>2</v>
      </c>
      <c r="R235" s="2" t="inlineStr">
        <is>
          <t>Växeltandsfibbla
Blåsippa</t>
        </is>
      </c>
      <c r="S235">
        <f>HYPERLINK("https://klasma.github.io/Logging_0513/artfynd/A 53708-2025 artfynd.xlsx", "A 53708-2025")</f>
        <v/>
      </c>
      <c r="T235">
        <f>HYPERLINK("https://klasma.github.io/Logging_0513/kartor/A 53708-2025 karta.png", "A 53708-2025")</f>
        <v/>
      </c>
      <c r="V235">
        <f>HYPERLINK("https://klasma.github.io/Logging_0513/klagomål/A 53708-2025 FSC-klagomål.docx", "A 53708-2025")</f>
        <v/>
      </c>
      <c r="W235">
        <f>HYPERLINK("https://klasma.github.io/Logging_0513/klagomålsmail/A 53708-2025 FSC-klagomål mail.docx", "A 53708-2025")</f>
        <v/>
      </c>
      <c r="X235">
        <f>HYPERLINK("https://klasma.github.io/Logging_0513/tillsyn/A 53708-2025 tillsynsbegäran.docx", "A 53708-2025")</f>
        <v/>
      </c>
      <c r="Y235">
        <f>HYPERLINK("https://klasma.github.io/Logging_0513/tillsynsmail/A 53708-2025 tillsynsbegäran mail.docx", "A 53708-2025")</f>
        <v/>
      </c>
    </row>
    <row r="236" ht="15" customHeight="1">
      <c r="A236" t="inlineStr">
        <is>
          <t>A 12692-2025</t>
        </is>
      </c>
      <c r="B236" s="1" t="n">
        <v>45733.45780092593</v>
      </c>
      <c r="C236" s="1" t="n">
        <v>46093</v>
      </c>
      <c r="D236" t="inlineStr">
        <is>
          <t>ÖSTERGÖTLANDS LÄN</t>
        </is>
      </c>
      <c r="E236" t="inlineStr">
        <is>
          <t>NORRKÖPING</t>
        </is>
      </c>
      <c r="F236" t="inlineStr">
        <is>
          <t>Holmen skog AB</t>
        </is>
      </c>
      <c r="G236" t="n">
        <v>6.1</v>
      </c>
      <c r="H236" t="n">
        <v>1</v>
      </c>
      <c r="I236" t="n">
        <v>0</v>
      </c>
      <c r="J236" t="n">
        <v>1</v>
      </c>
      <c r="K236" t="n">
        <v>0</v>
      </c>
      <c r="L236" t="n">
        <v>0</v>
      </c>
      <c r="M236" t="n">
        <v>0</v>
      </c>
      <c r="N236" t="n">
        <v>0</v>
      </c>
      <c r="O236" t="n">
        <v>1</v>
      </c>
      <c r="P236" t="n">
        <v>0</v>
      </c>
      <c r="Q236" t="n">
        <v>2</v>
      </c>
      <c r="R236" s="2" t="inlineStr">
        <is>
          <t>Vedskivlav
Mattlummer</t>
        </is>
      </c>
      <c r="S236">
        <f>HYPERLINK("https://klasma.github.io/Logging_0581/artfynd/A 12692-2025 artfynd.xlsx", "A 12692-2025")</f>
        <v/>
      </c>
      <c r="T236">
        <f>HYPERLINK("https://klasma.github.io/Logging_0581/kartor/A 12692-2025 karta.png", "A 12692-2025")</f>
        <v/>
      </c>
      <c r="V236">
        <f>HYPERLINK("https://klasma.github.io/Logging_0581/klagomål/A 12692-2025 FSC-klagomål.docx", "A 12692-2025")</f>
        <v/>
      </c>
      <c r="W236">
        <f>HYPERLINK("https://klasma.github.io/Logging_0581/klagomålsmail/A 12692-2025 FSC-klagomål mail.docx", "A 12692-2025")</f>
        <v/>
      </c>
      <c r="X236">
        <f>HYPERLINK("https://klasma.github.io/Logging_0581/tillsyn/A 12692-2025 tillsynsbegäran.docx", "A 12692-2025")</f>
        <v/>
      </c>
      <c r="Y236">
        <f>HYPERLINK("https://klasma.github.io/Logging_0581/tillsynsmail/A 12692-2025 tillsynsbegäran mail.docx", "A 12692-2025")</f>
        <v/>
      </c>
    </row>
    <row r="237" ht="15" customHeight="1">
      <c r="A237" t="inlineStr">
        <is>
          <t>A 5809-2025</t>
        </is>
      </c>
      <c r="B237" s="1" t="n">
        <v>45694</v>
      </c>
      <c r="C237" s="1" t="n">
        <v>46093</v>
      </c>
      <c r="D237" t="inlineStr">
        <is>
          <t>ÖSTERGÖTLANDS LÄN</t>
        </is>
      </c>
      <c r="E237" t="inlineStr">
        <is>
          <t>NORRKÖPING</t>
        </is>
      </c>
      <c r="G237" t="n">
        <v>3.7</v>
      </c>
      <c r="H237" t="n">
        <v>2</v>
      </c>
      <c r="I237" t="n">
        <v>0</v>
      </c>
      <c r="J237" t="n">
        <v>0</v>
      </c>
      <c r="K237" t="n">
        <v>0</v>
      </c>
      <c r="L237" t="n">
        <v>0</v>
      </c>
      <c r="M237" t="n">
        <v>0</v>
      </c>
      <c r="N237" t="n">
        <v>0</v>
      </c>
      <c r="O237" t="n">
        <v>0</v>
      </c>
      <c r="P237" t="n">
        <v>0</v>
      </c>
      <c r="Q237" t="n">
        <v>2</v>
      </c>
      <c r="R237" s="2" t="inlineStr">
        <is>
          <t>Vanlig padda
Blåsippa</t>
        </is>
      </c>
      <c r="S237">
        <f>HYPERLINK("https://klasma.github.io/Logging_0581/artfynd/A 5809-2025 artfynd.xlsx", "A 5809-2025")</f>
        <v/>
      </c>
      <c r="T237">
        <f>HYPERLINK("https://klasma.github.io/Logging_0581/kartor/A 5809-2025 karta.png", "A 5809-2025")</f>
        <v/>
      </c>
      <c r="V237">
        <f>HYPERLINK("https://klasma.github.io/Logging_0581/klagomål/A 5809-2025 FSC-klagomål.docx", "A 5809-2025")</f>
        <v/>
      </c>
      <c r="W237">
        <f>HYPERLINK("https://klasma.github.io/Logging_0581/klagomålsmail/A 5809-2025 FSC-klagomål mail.docx", "A 5809-2025")</f>
        <v/>
      </c>
      <c r="X237">
        <f>HYPERLINK("https://klasma.github.io/Logging_0581/tillsyn/A 5809-2025 tillsynsbegäran.docx", "A 5809-2025")</f>
        <v/>
      </c>
      <c r="Y237">
        <f>HYPERLINK("https://klasma.github.io/Logging_0581/tillsynsmail/A 5809-2025 tillsynsbegäran mail.docx", "A 5809-2025")</f>
        <v/>
      </c>
    </row>
    <row r="238" ht="15" customHeight="1">
      <c r="A238" t="inlineStr">
        <is>
          <t>A 14879-2024</t>
        </is>
      </c>
      <c r="B238" s="1" t="n">
        <v>45398</v>
      </c>
      <c r="C238" s="1" t="n">
        <v>46093</v>
      </c>
      <c r="D238" t="inlineStr">
        <is>
          <t>ÖSTERGÖTLANDS LÄN</t>
        </is>
      </c>
      <c r="E238" t="inlineStr">
        <is>
          <t>LINKÖPING</t>
        </is>
      </c>
      <c r="F238" t="inlineStr">
        <is>
          <t>Övriga Aktiebolag</t>
        </is>
      </c>
      <c r="G238" t="n">
        <v>1.7</v>
      </c>
      <c r="H238" t="n">
        <v>1</v>
      </c>
      <c r="I238" t="n">
        <v>1</v>
      </c>
      <c r="J238" t="n">
        <v>0</v>
      </c>
      <c r="K238" t="n">
        <v>0</v>
      </c>
      <c r="L238" t="n">
        <v>0</v>
      </c>
      <c r="M238" t="n">
        <v>0</v>
      </c>
      <c r="N238" t="n">
        <v>0</v>
      </c>
      <c r="O238" t="n">
        <v>0</v>
      </c>
      <c r="P238" t="n">
        <v>0</v>
      </c>
      <c r="Q238" t="n">
        <v>2</v>
      </c>
      <c r="R238" s="2" t="inlineStr">
        <is>
          <t>Svart trolldruva
Grönvit nattviol</t>
        </is>
      </c>
      <c r="S238">
        <f>HYPERLINK("https://klasma.github.io/Logging_0580/artfynd/A 14879-2024 artfynd.xlsx", "A 14879-2024")</f>
        <v/>
      </c>
      <c r="T238">
        <f>HYPERLINK("https://klasma.github.io/Logging_0580/kartor/A 14879-2024 karta.png", "A 14879-2024")</f>
        <v/>
      </c>
      <c r="V238">
        <f>HYPERLINK("https://klasma.github.io/Logging_0580/klagomål/A 14879-2024 FSC-klagomål.docx", "A 14879-2024")</f>
        <v/>
      </c>
      <c r="W238">
        <f>HYPERLINK("https://klasma.github.io/Logging_0580/klagomålsmail/A 14879-2024 FSC-klagomål mail.docx", "A 14879-2024")</f>
        <v/>
      </c>
      <c r="X238">
        <f>HYPERLINK("https://klasma.github.io/Logging_0580/tillsyn/A 14879-2024 tillsynsbegäran.docx", "A 14879-2024")</f>
        <v/>
      </c>
      <c r="Y238">
        <f>HYPERLINK("https://klasma.github.io/Logging_0580/tillsynsmail/A 14879-2024 tillsynsbegäran mail.docx", "A 14879-2024")</f>
        <v/>
      </c>
    </row>
    <row r="239" ht="15" customHeight="1">
      <c r="A239" t="inlineStr">
        <is>
          <t>A 49366-2021</t>
        </is>
      </c>
      <c r="B239" s="1" t="n">
        <v>44454</v>
      </c>
      <c r="C239" s="1" t="n">
        <v>46093</v>
      </c>
      <c r="D239" t="inlineStr">
        <is>
          <t>ÖSTERGÖTLANDS LÄN</t>
        </is>
      </c>
      <c r="E239" t="inlineStr">
        <is>
          <t>NORRKÖPING</t>
        </is>
      </c>
      <c r="F239" t="inlineStr">
        <is>
          <t>Allmännings- och besparingsskogar</t>
        </is>
      </c>
      <c r="G239" t="n">
        <v>7</v>
      </c>
      <c r="H239" t="n">
        <v>1</v>
      </c>
      <c r="I239" t="n">
        <v>1</v>
      </c>
      <c r="J239" t="n">
        <v>0</v>
      </c>
      <c r="K239" t="n">
        <v>1</v>
      </c>
      <c r="L239" t="n">
        <v>0</v>
      </c>
      <c r="M239" t="n">
        <v>0</v>
      </c>
      <c r="N239" t="n">
        <v>0</v>
      </c>
      <c r="O239" t="n">
        <v>1</v>
      </c>
      <c r="P239" t="n">
        <v>1</v>
      </c>
      <c r="Q239" t="n">
        <v>2</v>
      </c>
      <c r="R239" s="2" t="inlineStr">
        <is>
          <t>Knärot
Sårläka</t>
        </is>
      </c>
      <c r="S239">
        <f>HYPERLINK("https://klasma.github.io/Logging_0581/artfynd/A 49366-2021 artfynd.xlsx", "A 49366-2021")</f>
        <v/>
      </c>
      <c r="T239">
        <f>HYPERLINK("https://klasma.github.io/Logging_0581/kartor/A 49366-2021 karta.png", "A 49366-2021")</f>
        <v/>
      </c>
      <c r="U239">
        <f>HYPERLINK("https://klasma.github.io/Logging_0581/knärot/A 49366-2021 karta knärot.png", "A 49366-2021")</f>
        <v/>
      </c>
      <c r="V239">
        <f>HYPERLINK("https://klasma.github.io/Logging_0581/klagomål/A 49366-2021 FSC-klagomål.docx", "A 49366-2021")</f>
        <v/>
      </c>
      <c r="W239">
        <f>HYPERLINK("https://klasma.github.io/Logging_0581/klagomålsmail/A 49366-2021 FSC-klagomål mail.docx", "A 49366-2021")</f>
        <v/>
      </c>
      <c r="X239">
        <f>HYPERLINK("https://klasma.github.io/Logging_0581/tillsyn/A 49366-2021 tillsynsbegäran.docx", "A 49366-2021")</f>
        <v/>
      </c>
      <c r="Y239">
        <f>HYPERLINK("https://klasma.github.io/Logging_0581/tillsynsmail/A 49366-2021 tillsynsbegäran mail.docx", "A 49366-2021")</f>
        <v/>
      </c>
    </row>
    <row r="240" ht="15" customHeight="1">
      <c r="A240" t="inlineStr">
        <is>
          <t>A 17793-2025</t>
        </is>
      </c>
      <c r="B240" s="1" t="n">
        <v>45758.54390046297</v>
      </c>
      <c r="C240" s="1" t="n">
        <v>46093</v>
      </c>
      <c r="D240" t="inlineStr">
        <is>
          <t>ÖSTERGÖTLANDS LÄN</t>
        </is>
      </c>
      <c r="E240" t="inlineStr">
        <is>
          <t>NORRKÖPING</t>
        </is>
      </c>
      <c r="F240" t="inlineStr">
        <is>
          <t>Holmen skog AB</t>
        </is>
      </c>
      <c r="G240" t="n">
        <v>6.7</v>
      </c>
      <c r="H240" t="n">
        <v>1</v>
      </c>
      <c r="I240" t="n">
        <v>1</v>
      </c>
      <c r="J240" t="n">
        <v>0</v>
      </c>
      <c r="K240" t="n">
        <v>0</v>
      </c>
      <c r="L240" t="n">
        <v>0</v>
      </c>
      <c r="M240" t="n">
        <v>0</v>
      </c>
      <c r="N240" t="n">
        <v>0</v>
      </c>
      <c r="O240" t="n">
        <v>0</v>
      </c>
      <c r="P240" t="n">
        <v>0</v>
      </c>
      <c r="Q240" t="n">
        <v>2</v>
      </c>
      <c r="R240" s="2" t="inlineStr">
        <is>
          <t>Blåmossa
Huggorm</t>
        </is>
      </c>
      <c r="S240">
        <f>HYPERLINK("https://klasma.github.io/Logging_0581/artfynd/A 17793-2025 artfynd.xlsx", "A 17793-2025")</f>
        <v/>
      </c>
      <c r="T240">
        <f>HYPERLINK("https://klasma.github.io/Logging_0581/kartor/A 17793-2025 karta.png", "A 17793-2025")</f>
        <v/>
      </c>
      <c r="V240">
        <f>HYPERLINK("https://klasma.github.io/Logging_0581/klagomål/A 17793-2025 FSC-klagomål.docx", "A 17793-2025")</f>
        <v/>
      </c>
      <c r="W240">
        <f>HYPERLINK("https://klasma.github.io/Logging_0581/klagomålsmail/A 17793-2025 FSC-klagomål mail.docx", "A 17793-2025")</f>
        <v/>
      </c>
      <c r="X240">
        <f>HYPERLINK("https://klasma.github.io/Logging_0581/tillsyn/A 17793-2025 tillsynsbegäran.docx", "A 17793-2025")</f>
        <v/>
      </c>
      <c r="Y240">
        <f>HYPERLINK("https://klasma.github.io/Logging_0581/tillsynsmail/A 17793-2025 tillsynsbegäran mail.docx", "A 17793-2025")</f>
        <v/>
      </c>
    </row>
    <row r="241" ht="15" customHeight="1">
      <c r="A241" t="inlineStr">
        <is>
          <t>A 25291-2023</t>
        </is>
      </c>
      <c r="B241" s="1" t="n">
        <v>45086</v>
      </c>
      <c r="C241" s="1" t="n">
        <v>46093</v>
      </c>
      <c r="D241" t="inlineStr">
        <is>
          <t>ÖSTERGÖTLANDS LÄN</t>
        </is>
      </c>
      <c r="E241" t="inlineStr">
        <is>
          <t>NORRKÖPING</t>
        </is>
      </c>
      <c r="F241" t="inlineStr">
        <is>
          <t>Allmännings- och besparingsskogar</t>
        </is>
      </c>
      <c r="G241" t="n">
        <v>2.1</v>
      </c>
      <c r="H241" t="n">
        <v>1</v>
      </c>
      <c r="I241" t="n">
        <v>0</v>
      </c>
      <c r="J241" t="n">
        <v>2</v>
      </c>
      <c r="K241" t="n">
        <v>0</v>
      </c>
      <c r="L241" t="n">
        <v>0</v>
      </c>
      <c r="M241" t="n">
        <v>0</v>
      </c>
      <c r="N241" t="n">
        <v>0</v>
      </c>
      <c r="O241" t="n">
        <v>2</v>
      </c>
      <c r="P241" t="n">
        <v>0</v>
      </c>
      <c r="Q241" t="n">
        <v>2</v>
      </c>
      <c r="R241" s="2" t="inlineStr">
        <is>
          <t>Slåtterfibbla
Svartvit flugsnappare</t>
        </is>
      </c>
      <c r="S241">
        <f>HYPERLINK("https://klasma.github.io/Logging_0581/artfynd/A 25291-2023 artfynd.xlsx", "A 25291-2023")</f>
        <v/>
      </c>
      <c r="T241">
        <f>HYPERLINK("https://klasma.github.io/Logging_0581/kartor/A 25291-2023 karta.png", "A 25291-2023")</f>
        <v/>
      </c>
      <c r="V241">
        <f>HYPERLINK("https://klasma.github.io/Logging_0581/klagomål/A 25291-2023 FSC-klagomål.docx", "A 25291-2023")</f>
        <v/>
      </c>
      <c r="W241">
        <f>HYPERLINK("https://klasma.github.io/Logging_0581/klagomålsmail/A 25291-2023 FSC-klagomål mail.docx", "A 25291-2023")</f>
        <v/>
      </c>
      <c r="X241">
        <f>HYPERLINK("https://klasma.github.io/Logging_0581/tillsyn/A 25291-2023 tillsynsbegäran.docx", "A 25291-2023")</f>
        <v/>
      </c>
      <c r="Y241">
        <f>HYPERLINK("https://klasma.github.io/Logging_0581/tillsynsmail/A 25291-2023 tillsynsbegäran mail.docx", "A 25291-2023")</f>
        <v/>
      </c>
      <c r="Z241">
        <f>HYPERLINK("https://klasma.github.io/Logging_0581/fåglar/A 25291-2023 prioriterade fågelarter.docx", "A 25291-2023")</f>
        <v/>
      </c>
    </row>
    <row r="242" ht="15" customHeight="1">
      <c r="A242" t="inlineStr">
        <is>
          <t>A 58380-2025</t>
        </is>
      </c>
      <c r="B242" s="1" t="n">
        <v>45985.5396875</v>
      </c>
      <c r="C242" s="1" t="n">
        <v>46093</v>
      </c>
      <c r="D242" t="inlineStr">
        <is>
          <t>ÖSTERGÖTLANDS LÄN</t>
        </is>
      </c>
      <c r="E242" t="inlineStr">
        <is>
          <t>NORRKÖPING</t>
        </is>
      </c>
      <c r="F242" t="inlineStr">
        <is>
          <t>Holmen skog AB</t>
        </is>
      </c>
      <c r="G242" t="n">
        <v>10</v>
      </c>
      <c r="H242" t="n">
        <v>1</v>
      </c>
      <c r="I242" t="n">
        <v>0</v>
      </c>
      <c r="J242" t="n">
        <v>1</v>
      </c>
      <c r="K242" t="n">
        <v>1</v>
      </c>
      <c r="L242" t="n">
        <v>0</v>
      </c>
      <c r="M242" t="n">
        <v>0</v>
      </c>
      <c r="N242" t="n">
        <v>0</v>
      </c>
      <c r="O242" t="n">
        <v>2</v>
      </c>
      <c r="P242" t="n">
        <v>1</v>
      </c>
      <c r="Q242" t="n">
        <v>2</v>
      </c>
      <c r="R242" s="2" t="inlineStr">
        <is>
          <t>Knärot
Tallticka</t>
        </is>
      </c>
      <c r="S242">
        <f>HYPERLINK("https://klasma.github.io/Logging_0581/artfynd/A 58380-2025 artfynd.xlsx", "A 58380-2025")</f>
        <v/>
      </c>
      <c r="T242">
        <f>HYPERLINK("https://klasma.github.io/Logging_0581/kartor/A 58380-2025 karta.png", "A 58380-2025")</f>
        <v/>
      </c>
      <c r="U242">
        <f>HYPERLINK("https://klasma.github.io/Logging_0581/knärot/A 58380-2025 karta knärot.png", "A 58380-2025")</f>
        <v/>
      </c>
      <c r="V242">
        <f>HYPERLINK("https://klasma.github.io/Logging_0581/klagomål/A 58380-2025 FSC-klagomål.docx", "A 58380-2025")</f>
        <v/>
      </c>
      <c r="W242">
        <f>HYPERLINK("https://klasma.github.io/Logging_0581/klagomålsmail/A 58380-2025 FSC-klagomål mail.docx", "A 58380-2025")</f>
        <v/>
      </c>
      <c r="X242">
        <f>HYPERLINK("https://klasma.github.io/Logging_0581/tillsyn/A 58380-2025 tillsynsbegäran.docx", "A 58380-2025")</f>
        <v/>
      </c>
      <c r="Y242">
        <f>HYPERLINK("https://klasma.github.io/Logging_0581/tillsynsmail/A 58380-2025 tillsynsbegäran mail.docx", "A 58380-2025")</f>
        <v/>
      </c>
    </row>
    <row r="243" ht="15" customHeight="1">
      <c r="A243" t="inlineStr">
        <is>
          <t>A 42539-2024</t>
        </is>
      </c>
      <c r="B243" s="1" t="n">
        <v>45565.58633101852</v>
      </c>
      <c r="C243" s="1" t="n">
        <v>46093</v>
      </c>
      <c r="D243" t="inlineStr">
        <is>
          <t>ÖSTERGÖTLANDS LÄN</t>
        </is>
      </c>
      <c r="E243" t="inlineStr">
        <is>
          <t>ÅTVIDABERG</t>
        </is>
      </c>
      <c r="F243" t="inlineStr">
        <is>
          <t>Sveaskog</t>
        </is>
      </c>
      <c r="G243" t="n">
        <v>7.4</v>
      </c>
      <c r="H243" t="n">
        <v>1</v>
      </c>
      <c r="I243" t="n">
        <v>0</v>
      </c>
      <c r="J243" t="n">
        <v>1</v>
      </c>
      <c r="K243" t="n">
        <v>0</v>
      </c>
      <c r="L243" t="n">
        <v>0</v>
      </c>
      <c r="M243" t="n">
        <v>0</v>
      </c>
      <c r="N243" t="n">
        <v>0</v>
      </c>
      <c r="O243" t="n">
        <v>1</v>
      </c>
      <c r="P243" t="n">
        <v>0</v>
      </c>
      <c r="Q243" t="n">
        <v>2</v>
      </c>
      <c r="R243" s="2" t="inlineStr">
        <is>
          <t>Vårstarr
Gullviva</t>
        </is>
      </c>
      <c r="S243">
        <f>HYPERLINK("https://klasma.github.io/Logging_0561/artfynd/A 42539-2024 artfynd.xlsx", "A 42539-2024")</f>
        <v/>
      </c>
      <c r="T243">
        <f>HYPERLINK("https://klasma.github.io/Logging_0561/kartor/A 42539-2024 karta.png", "A 42539-2024")</f>
        <v/>
      </c>
      <c r="V243">
        <f>HYPERLINK("https://klasma.github.io/Logging_0561/klagomål/A 42539-2024 FSC-klagomål.docx", "A 42539-2024")</f>
        <v/>
      </c>
      <c r="W243">
        <f>HYPERLINK("https://klasma.github.io/Logging_0561/klagomålsmail/A 42539-2024 FSC-klagomål mail.docx", "A 42539-2024")</f>
        <v/>
      </c>
      <c r="X243">
        <f>HYPERLINK("https://klasma.github.io/Logging_0561/tillsyn/A 42539-2024 tillsynsbegäran.docx", "A 42539-2024")</f>
        <v/>
      </c>
      <c r="Y243">
        <f>HYPERLINK("https://klasma.github.io/Logging_0561/tillsynsmail/A 42539-2024 tillsynsbegäran mail.docx", "A 42539-2024")</f>
        <v/>
      </c>
    </row>
    <row r="244" ht="15" customHeight="1">
      <c r="A244" t="inlineStr">
        <is>
          <t>A 46692-2024</t>
        </is>
      </c>
      <c r="B244" s="1" t="n">
        <v>45583</v>
      </c>
      <c r="C244" s="1" t="n">
        <v>46093</v>
      </c>
      <c r="D244" t="inlineStr">
        <is>
          <t>ÖSTERGÖTLANDS LÄN</t>
        </is>
      </c>
      <c r="E244" t="inlineStr">
        <is>
          <t>NORRKÖPING</t>
        </is>
      </c>
      <c r="F244" t="inlineStr">
        <is>
          <t>Holmen skog AB</t>
        </is>
      </c>
      <c r="G244" t="n">
        <v>1.4</v>
      </c>
      <c r="H244" t="n">
        <v>0</v>
      </c>
      <c r="I244" t="n">
        <v>1</v>
      </c>
      <c r="J244" t="n">
        <v>1</v>
      </c>
      <c r="K244" t="n">
        <v>0</v>
      </c>
      <c r="L244" t="n">
        <v>0</v>
      </c>
      <c r="M244" t="n">
        <v>0</v>
      </c>
      <c r="N244" t="n">
        <v>0</v>
      </c>
      <c r="O244" t="n">
        <v>1</v>
      </c>
      <c r="P244" t="n">
        <v>0</v>
      </c>
      <c r="Q244" t="n">
        <v>2</v>
      </c>
      <c r="R244" s="2" t="inlineStr">
        <is>
          <t>Dvärgbägarlav
Flagellkvastmossa</t>
        </is>
      </c>
      <c r="S244">
        <f>HYPERLINK("https://klasma.github.io/Logging_0581/artfynd/A 46692-2024 artfynd.xlsx", "A 46692-2024")</f>
        <v/>
      </c>
      <c r="T244">
        <f>HYPERLINK("https://klasma.github.io/Logging_0581/kartor/A 46692-2024 karta.png", "A 46692-2024")</f>
        <v/>
      </c>
      <c r="V244">
        <f>HYPERLINK("https://klasma.github.io/Logging_0581/klagomål/A 46692-2024 FSC-klagomål.docx", "A 46692-2024")</f>
        <v/>
      </c>
      <c r="W244">
        <f>HYPERLINK("https://klasma.github.io/Logging_0581/klagomålsmail/A 46692-2024 FSC-klagomål mail.docx", "A 46692-2024")</f>
        <v/>
      </c>
      <c r="X244">
        <f>HYPERLINK("https://klasma.github.io/Logging_0581/tillsyn/A 46692-2024 tillsynsbegäran.docx", "A 46692-2024")</f>
        <v/>
      </c>
      <c r="Y244">
        <f>HYPERLINK("https://klasma.github.io/Logging_0581/tillsynsmail/A 46692-2024 tillsynsbegäran mail.docx", "A 46692-2024")</f>
        <v/>
      </c>
    </row>
    <row r="245" ht="15" customHeight="1">
      <c r="A245" t="inlineStr">
        <is>
          <t>A 49937-2024</t>
        </is>
      </c>
      <c r="B245" s="1" t="n">
        <v>45597.58802083333</v>
      </c>
      <c r="C245" s="1" t="n">
        <v>46093</v>
      </c>
      <c r="D245" t="inlineStr">
        <is>
          <t>ÖSTERGÖTLANDS LÄN</t>
        </is>
      </c>
      <c r="E245" t="inlineStr">
        <is>
          <t>MOTALA</t>
        </is>
      </c>
      <c r="F245" t="inlineStr">
        <is>
          <t>Sveaskog</t>
        </is>
      </c>
      <c r="G245" t="n">
        <v>2.6</v>
      </c>
      <c r="H245" t="n">
        <v>0</v>
      </c>
      <c r="I245" t="n">
        <v>1</v>
      </c>
      <c r="J245" t="n">
        <v>0</v>
      </c>
      <c r="K245" t="n">
        <v>0</v>
      </c>
      <c r="L245" t="n">
        <v>0</v>
      </c>
      <c r="M245" t="n">
        <v>1</v>
      </c>
      <c r="N245" t="n">
        <v>0</v>
      </c>
      <c r="O245" t="n">
        <v>1</v>
      </c>
      <c r="P245" t="n">
        <v>1</v>
      </c>
      <c r="Q245" t="n">
        <v>2</v>
      </c>
      <c r="R245" s="2" t="inlineStr">
        <is>
          <t>Skogsalm
Tibast</t>
        </is>
      </c>
      <c r="S245">
        <f>HYPERLINK("https://klasma.github.io/Logging_0583/artfynd/A 49937-2024 artfynd.xlsx", "A 49937-2024")</f>
        <v/>
      </c>
      <c r="T245">
        <f>HYPERLINK("https://klasma.github.io/Logging_0583/kartor/A 49937-2024 karta.png", "A 49937-2024")</f>
        <v/>
      </c>
      <c r="V245">
        <f>HYPERLINK("https://klasma.github.io/Logging_0583/klagomål/A 49937-2024 FSC-klagomål.docx", "A 49937-2024")</f>
        <v/>
      </c>
      <c r="W245">
        <f>HYPERLINK("https://klasma.github.io/Logging_0583/klagomålsmail/A 49937-2024 FSC-klagomål mail.docx", "A 49937-2024")</f>
        <v/>
      </c>
      <c r="X245">
        <f>HYPERLINK("https://klasma.github.io/Logging_0583/tillsyn/A 49937-2024 tillsynsbegäran.docx", "A 49937-2024")</f>
        <v/>
      </c>
      <c r="Y245">
        <f>HYPERLINK("https://klasma.github.io/Logging_0583/tillsynsmail/A 49937-2024 tillsynsbegäran mail.docx", "A 49937-2024")</f>
        <v/>
      </c>
    </row>
    <row r="246" ht="15" customHeight="1">
      <c r="A246" t="inlineStr">
        <is>
          <t>A 55344-2024</t>
        </is>
      </c>
      <c r="B246" s="1" t="n">
        <v>45621.7202662037</v>
      </c>
      <c r="C246" s="1" t="n">
        <v>46093</v>
      </c>
      <c r="D246" t="inlineStr">
        <is>
          <t>ÖSTERGÖTLANDS LÄN</t>
        </is>
      </c>
      <c r="E246" t="inlineStr">
        <is>
          <t>LINKÖPING</t>
        </is>
      </c>
      <c r="G246" t="n">
        <v>6.6</v>
      </c>
      <c r="H246" t="n">
        <v>0</v>
      </c>
      <c r="I246" t="n">
        <v>0</v>
      </c>
      <c r="J246" t="n">
        <v>2</v>
      </c>
      <c r="K246" t="n">
        <v>0</v>
      </c>
      <c r="L246" t="n">
        <v>0</v>
      </c>
      <c r="M246" t="n">
        <v>0</v>
      </c>
      <c r="N246" t="n">
        <v>0</v>
      </c>
      <c r="O246" t="n">
        <v>2</v>
      </c>
      <c r="P246" t="n">
        <v>0</v>
      </c>
      <c r="Q246" t="n">
        <v>2</v>
      </c>
      <c r="R246" s="2" t="inlineStr">
        <is>
          <t>Kandelabersvamp
Stjärnnästing</t>
        </is>
      </c>
      <c r="S246">
        <f>HYPERLINK("https://klasma.github.io/Logging_0580/artfynd/A 55344-2024 artfynd.xlsx", "A 55344-2024")</f>
        <v/>
      </c>
      <c r="T246">
        <f>HYPERLINK("https://klasma.github.io/Logging_0580/kartor/A 55344-2024 karta.png", "A 55344-2024")</f>
        <v/>
      </c>
      <c r="V246">
        <f>HYPERLINK("https://klasma.github.io/Logging_0580/klagomål/A 55344-2024 FSC-klagomål.docx", "A 55344-2024")</f>
        <v/>
      </c>
      <c r="W246">
        <f>HYPERLINK("https://klasma.github.io/Logging_0580/klagomålsmail/A 55344-2024 FSC-klagomål mail.docx", "A 55344-2024")</f>
        <v/>
      </c>
      <c r="X246">
        <f>HYPERLINK("https://klasma.github.io/Logging_0580/tillsyn/A 55344-2024 tillsynsbegäran.docx", "A 55344-2024")</f>
        <v/>
      </c>
      <c r="Y246">
        <f>HYPERLINK("https://klasma.github.io/Logging_0580/tillsynsmail/A 55344-2024 tillsynsbegäran mail.docx", "A 55344-2024")</f>
        <v/>
      </c>
    </row>
    <row r="247" ht="15" customHeight="1">
      <c r="A247" t="inlineStr">
        <is>
          <t>A 15823-2022</t>
        </is>
      </c>
      <c r="B247" s="1" t="n">
        <v>44664</v>
      </c>
      <c r="C247" s="1" t="n">
        <v>46093</v>
      </c>
      <c r="D247" t="inlineStr">
        <is>
          <t>ÖSTERGÖTLANDS LÄN</t>
        </is>
      </c>
      <c r="E247" t="inlineStr">
        <is>
          <t>ÖDESHÖG</t>
        </is>
      </c>
      <c r="F247" t="inlineStr">
        <is>
          <t>Sveaskog</t>
        </is>
      </c>
      <c r="G247" t="n">
        <v>6.5</v>
      </c>
      <c r="H247" t="n">
        <v>1</v>
      </c>
      <c r="I247" t="n">
        <v>1</v>
      </c>
      <c r="J247" t="n">
        <v>0</v>
      </c>
      <c r="K247" t="n">
        <v>0</v>
      </c>
      <c r="L247" t="n">
        <v>0</v>
      </c>
      <c r="M247" t="n">
        <v>0</v>
      </c>
      <c r="N247" t="n">
        <v>0</v>
      </c>
      <c r="O247" t="n">
        <v>0</v>
      </c>
      <c r="P247" t="n">
        <v>0</v>
      </c>
      <c r="Q247" t="n">
        <v>2</v>
      </c>
      <c r="R247" s="2" t="inlineStr">
        <is>
          <t>Trubbfjädermossa
Hasselmus</t>
        </is>
      </c>
      <c r="S247">
        <f>HYPERLINK("https://klasma.github.io/Logging_0509/artfynd/A 15823-2022 artfynd.xlsx", "A 15823-2022")</f>
        <v/>
      </c>
      <c r="T247">
        <f>HYPERLINK("https://klasma.github.io/Logging_0509/kartor/A 15823-2022 karta.png", "A 15823-2022")</f>
        <v/>
      </c>
      <c r="V247">
        <f>HYPERLINK("https://klasma.github.io/Logging_0509/klagomål/A 15823-2022 FSC-klagomål.docx", "A 15823-2022")</f>
        <v/>
      </c>
      <c r="W247">
        <f>HYPERLINK("https://klasma.github.io/Logging_0509/klagomålsmail/A 15823-2022 FSC-klagomål mail.docx", "A 15823-2022")</f>
        <v/>
      </c>
      <c r="X247">
        <f>HYPERLINK("https://klasma.github.io/Logging_0509/tillsyn/A 15823-2022 tillsynsbegäran.docx", "A 15823-2022")</f>
        <v/>
      </c>
      <c r="Y247">
        <f>HYPERLINK("https://klasma.github.io/Logging_0509/tillsynsmail/A 15823-2022 tillsynsbegäran mail.docx", "A 15823-2022")</f>
        <v/>
      </c>
    </row>
    <row r="248" ht="15" customHeight="1">
      <c r="A248" t="inlineStr">
        <is>
          <t>A 58806-2022</t>
        </is>
      </c>
      <c r="B248" s="1" t="n">
        <v>44903.44127314815</v>
      </c>
      <c r="C248" s="1" t="n">
        <v>46093</v>
      </c>
      <c r="D248" t="inlineStr">
        <is>
          <t>ÖSTERGÖTLANDS LÄN</t>
        </is>
      </c>
      <c r="E248" t="inlineStr">
        <is>
          <t>FINSPÅNG</t>
        </is>
      </c>
      <c r="G248" t="n">
        <v>3</v>
      </c>
      <c r="H248" t="n">
        <v>1</v>
      </c>
      <c r="I248" t="n">
        <v>1</v>
      </c>
      <c r="J248" t="n">
        <v>0</v>
      </c>
      <c r="K248" t="n">
        <v>1</v>
      </c>
      <c r="L248" t="n">
        <v>0</v>
      </c>
      <c r="M248" t="n">
        <v>0</v>
      </c>
      <c r="N248" t="n">
        <v>0</v>
      </c>
      <c r="O248" t="n">
        <v>1</v>
      </c>
      <c r="P248" t="n">
        <v>1</v>
      </c>
      <c r="Q248" t="n">
        <v>2</v>
      </c>
      <c r="R248" s="2" t="inlineStr">
        <is>
          <t>Knärot
Flagellkvastmossa</t>
        </is>
      </c>
      <c r="S248">
        <f>HYPERLINK("https://klasma.github.io/Logging_0562/artfynd/A 58806-2022 artfynd.xlsx", "A 58806-2022")</f>
        <v/>
      </c>
      <c r="T248">
        <f>HYPERLINK("https://klasma.github.io/Logging_0562/kartor/A 58806-2022 karta.png", "A 58806-2022")</f>
        <v/>
      </c>
      <c r="U248">
        <f>HYPERLINK("https://klasma.github.io/Logging_0562/knärot/A 58806-2022 karta knärot.png", "A 58806-2022")</f>
        <v/>
      </c>
      <c r="V248">
        <f>HYPERLINK("https://klasma.github.io/Logging_0562/klagomål/A 58806-2022 FSC-klagomål.docx", "A 58806-2022")</f>
        <v/>
      </c>
      <c r="W248">
        <f>HYPERLINK("https://klasma.github.io/Logging_0562/klagomålsmail/A 58806-2022 FSC-klagomål mail.docx", "A 58806-2022")</f>
        <v/>
      </c>
      <c r="X248">
        <f>HYPERLINK("https://klasma.github.io/Logging_0562/tillsyn/A 58806-2022 tillsynsbegäran.docx", "A 58806-2022")</f>
        <v/>
      </c>
      <c r="Y248">
        <f>HYPERLINK("https://klasma.github.io/Logging_0562/tillsynsmail/A 58806-2022 tillsynsbegäran mail.docx", "A 58806-2022")</f>
        <v/>
      </c>
    </row>
    <row r="249" ht="15" customHeight="1">
      <c r="A249" t="inlineStr">
        <is>
          <t>A 18894-2023</t>
        </is>
      </c>
      <c r="B249" s="1" t="n">
        <v>45044</v>
      </c>
      <c r="C249" s="1" t="n">
        <v>46093</v>
      </c>
      <c r="D249" t="inlineStr">
        <is>
          <t>ÖSTERGÖTLANDS LÄN</t>
        </is>
      </c>
      <c r="E249" t="inlineStr">
        <is>
          <t>MOTALA</t>
        </is>
      </c>
      <c r="G249" t="n">
        <v>2.3</v>
      </c>
      <c r="H249" t="n">
        <v>0</v>
      </c>
      <c r="I249" t="n">
        <v>0</v>
      </c>
      <c r="J249" t="n">
        <v>0</v>
      </c>
      <c r="K249" t="n">
        <v>0</v>
      </c>
      <c r="L249" t="n">
        <v>1</v>
      </c>
      <c r="M249" t="n">
        <v>1</v>
      </c>
      <c r="N249" t="n">
        <v>0</v>
      </c>
      <c r="O249" t="n">
        <v>2</v>
      </c>
      <c r="P249" t="n">
        <v>2</v>
      </c>
      <c r="Q249" t="n">
        <v>2</v>
      </c>
      <c r="R249" s="2" t="inlineStr">
        <is>
          <t>Skogsalm
Ask</t>
        </is>
      </c>
      <c r="S249">
        <f>HYPERLINK("https://klasma.github.io/Logging_0583/artfynd/A 18894-2023 artfynd.xlsx", "A 18894-2023")</f>
        <v/>
      </c>
      <c r="T249">
        <f>HYPERLINK("https://klasma.github.io/Logging_0583/kartor/A 18894-2023 karta.png", "A 18894-2023")</f>
        <v/>
      </c>
      <c r="V249">
        <f>HYPERLINK("https://klasma.github.io/Logging_0583/klagomål/A 18894-2023 FSC-klagomål.docx", "A 18894-2023")</f>
        <v/>
      </c>
      <c r="W249">
        <f>HYPERLINK("https://klasma.github.io/Logging_0583/klagomålsmail/A 18894-2023 FSC-klagomål mail.docx", "A 18894-2023")</f>
        <v/>
      </c>
      <c r="X249">
        <f>HYPERLINK("https://klasma.github.io/Logging_0583/tillsyn/A 18894-2023 tillsynsbegäran.docx", "A 18894-2023")</f>
        <v/>
      </c>
      <c r="Y249">
        <f>HYPERLINK("https://klasma.github.io/Logging_0583/tillsynsmail/A 18894-2023 tillsynsbegäran mail.docx", "A 18894-2023")</f>
        <v/>
      </c>
    </row>
    <row r="250" ht="15" customHeight="1">
      <c r="A250" t="inlineStr">
        <is>
          <t>A 61795-2025</t>
        </is>
      </c>
      <c r="B250" s="1" t="n">
        <v>46002.69612268519</v>
      </c>
      <c r="C250" s="1" t="n">
        <v>46093</v>
      </c>
      <c r="D250" t="inlineStr">
        <is>
          <t>ÖSTERGÖTLANDS LÄN</t>
        </is>
      </c>
      <c r="E250" t="inlineStr">
        <is>
          <t>BOXHOLM</t>
        </is>
      </c>
      <c r="F250" t="inlineStr">
        <is>
          <t>Allmännings- och besparingsskogar</t>
        </is>
      </c>
      <c r="G250" t="n">
        <v>10.3</v>
      </c>
      <c r="H250" t="n">
        <v>1</v>
      </c>
      <c r="I250" t="n">
        <v>0</v>
      </c>
      <c r="J250" t="n">
        <v>1</v>
      </c>
      <c r="K250" t="n">
        <v>1</v>
      </c>
      <c r="L250" t="n">
        <v>0</v>
      </c>
      <c r="M250" t="n">
        <v>0</v>
      </c>
      <c r="N250" t="n">
        <v>0</v>
      </c>
      <c r="O250" t="n">
        <v>2</v>
      </c>
      <c r="P250" t="n">
        <v>1</v>
      </c>
      <c r="Q250" t="n">
        <v>2</v>
      </c>
      <c r="R250" s="2" t="inlineStr">
        <is>
          <t>Knärot
Kolflarnlav</t>
        </is>
      </c>
      <c r="S250">
        <f>HYPERLINK("https://klasma.github.io/Logging_0560/artfynd/A 61795-2025 artfynd.xlsx", "A 61795-2025")</f>
        <v/>
      </c>
      <c r="T250">
        <f>HYPERLINK("https://klasma.github.io/Logging_0560/kartor/A 61795-2025 karta.png", "A 61795-2025")</f>
        <v/>
      </c>
      <c r="U250">
        <f>HYPERLINK("https://klasma.github.io/Logging_0560/knärot/A 61795-2025 karta knärot.png", "A 61795-2025")</f>
        <v/>
      </c>
      <c r="V250">
        <f>HYPERLINK("https://klasma.github.io/Logging_0560/klagomål/A 61795-2025 FSC-klagomål.docx", "A 61795-2025")</f>
        <v/>
      </c>
      <c r="W250">
        <f>HYPERLINK("https://klasma.github.io/Logging_0560/klagomålsmail/A 61795-2025 FSC-klagomål mail.docx", "A 61795-2025")</f>
        <v/>
      </c>
      <c r="X250">
        <f>HYPERLINK("https://klasma.github.io/Logging_0560/tillsyn/A 61795-2025 tillsynsbegäran.docx", "A 61795-2025")</f>
        <v/>
      </c>
      <c r="Y250">
        <f>HYPERLINK("https://klasma.github.io/Logging_0560/tillsynsmail/A 61795-2025 tillsynsbegäran mail.docx", "A 61795-2025")</f>
        <v/>
      </c>
    </row>
    <row r="251" ht="15" customHeight="1">
      <c r="A251" t="inlineStr">
        <is>
          <t>A 20292-2025</t>
        </is>
      </c>
      <c r="B251" s="1" t="n">
        <v>45774.7449537037</v>
      </c>
      <c r="C251" s="1" t="n">
        <v>46093</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46582-2023</t>
        </is>
      </c>
      <c r="B252" s="1" t="n">
        <v>45198</v>
      </c>
      <c r="C252" s="1" t="n">
        <v>46093</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22040-2023</t>
        </is>
      </c>
      <c r="B253" s="1" t="n">
        <v>45068</v>
      </c>
      <c r="C253" s="1" t="n">
        <v>46093</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37068-2025</t>
        </is>
      </c>
      <c r="B254" s="1" t="n">
        <v>45875</v>
      </c>
      <c r="C254" s="1" t="n">
        <v>46093</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40509-2023</t>
        </is>
      </c>
      <c r="B255" s="1" t="n">
        <v>45170</v>
      </c>
      <c r="C255" s="1" t="n">
        <v>46093</v>
      </c>
      <c r="D255" t="inlineStr">
        <is>
          <t>ÖSTERGÖTLANDS LÄN</t>
        </is>
      </c>
      <c r="E255" t="inlineStr">
        <is>
          <t>BOXHOLM</t>
        </is>
      </c>
      <c r="F255" t="inlineStr">
        <is>
          <t>Kyrkan</t>
        </is>
      </c>
      <c r="G255" t="n">
        <v>3.4</v>
      </c>
      <c r="H255" t="n">
        <v>1</v>
      </c>
      <c r="I255" t="n">
        <v>1</v>
      </c>
      <c r="J255" t="n">
        <v>0</v>
      </c>
      <c r="K255" t="n">
        <v>0</v>
      </c>
      <c r="L255" t="n">
        <v>0</v>
      </c>
      <c r="M255" t="n">
        <v>0</v>
      </c>
      <c r="N255" t="n">
        <v>0</v>
      </c>
      <c r="O255" t="n">
        <v>0</v>
      </c>
      <c r="P255" t="n">
        <v>0</v>
      </c>
      <c r="Q255" t="n">
        <v>2</v>
      </c>
      <c r="R255" s="2" t="inlineStr">
        <is>
          <t>Fällmossa
Blåsippa</t>
        </is>
      </c>
      <c r="S255">
        <f>HYPERLINK("https://klasma.github.io/Logging_0560/artfynd/A 40509-2023 artfynd.xlsx", "A 40509-2023")</f>
        <v/>
      </c>
      <c r="T255">
        <f>HYPERLINK("https://klasma.github.io/Logging_0560/kartor/A 40509-2023 karta.png", "A 40509-2023")</f>
        <v/>
      </c>
      <c r="V255">
        <f>HYPERLINK("https://klasma.github.io/Logging_0560/klagomål/A 40509-2023 FSC-klagomål.docx", "A 40509-2023")</f>
        <v/>
      </c>
      <c r="W255">
        <f>HYPERLINK("https://klasma.github.io/Logging_0560/klagomålsmail/A 40509-2023 FSC-klagomål mail.docx", "A 40509-2023")</f>
        <v/>
      </c>
      <c r="X255">
        <f>HYPERLINK("https://klasma.github.io/Logging_0560/tillsyn/A 40509-2023 tillsynsbegäran.docx", "A 40509-2023")</f>
        <v/>
      </c>
      <c r="Y255">
        <f>HYPERLINK("https://klasma.github.io/Logging_0560/tillsynsmail/A 40509-2023 tillsynsbegäran mail.docx", "A 40509-2023")</f>
        <v/>
      </c>
    </row>
    <row r="256" ht="15" customHeight="1">
      <c r="A256" t="inlineStr">
        <is>
          <t>A 28395-2024</t>
        </is>
      </c>
      <c r="B256" s="1" t="n">
        <v>45477.60511574074</v>
      </c>
      <c r="C256" s="1" t="n">
        <v>46093</v>
      </c>
      <c r="D256" t="inlineStr">
        <is>
          <t>ÖSTERGÖTLANDS LÄN</t>
        </is>
      </c>
      <c r="E256" t="inlineStr">
        <is>
          <t>FINSPÅNG</t>
        </is>
      </c>
      <c r="F256" t="inlineStr">
        <is>
          <t>Naturvårdsverket</t>
        </is>
      </c>
      <c r="G256" t="n">
        <v>0.6</v>
      </c>
      <c r="H256" t="n">
        <v>2</v>
      </c>
      <c r="I256" t="n">
        <v>0</v>
      </c>
      <c r="J256" t="n">
        <v>1</v>
      </c>
      <c r="K256" t="n">
        <v>0</v>
      </c>
      <c r="L256" t="n">
        <v>0</v>
      </c>
      <c r="M256" t="n">
        <v>0</v>
      </c>
      <c r="N256" t="n">
        <v>0</v>
      </c>
      <c r="O256" t="n">
        <v>1</v>
      </c>
      <c r="P256" t="n">
        <v>0</v>
      </c>
      <c r="Q256" t="n">
        <v>2</v>
      </c>
      <c r="R256" s="2" t="inlineStr">
        <is>
          <t>Talltita
Fläcknycklar</t>
        </is>
      </c>
      <c r="S256">
        <f>HYPERLINK("https://klasma.github.io/Logging_0562/artfynd/A 28395-2024 artfynd.xlsx", "A 28395-2024")</f>
        <v/>
      </c>
      <c r="T256">
        <f>HYPERLINK("https://klasma.github.io/Logging_0562/kartor/A 28395-2024 karta.png", "A 28395-2024")</f>
        <v/>
      </c>
      <c r="V256">
        <f>HYPERLINK("https://klasma.github.io/Logging_0562/klagomål/A 28395-2024 FSC-klagomål.docx", "A 28395-2024")</f>
        <v/>
      </c>
      <c r="W256">
        <f>HYPERLINK("https://klasma.github.io/Logging_0562/klagomålsmail/A 28395-2024 FSC-klagomål mail.docx", "A 28395-2024")</f>
        <v/>
      </c>
      <c r="X256">
        <f>HYPERLINK("https://klasma.github.io/Logging_0562/tillsyn/A 28395-2024 tillsynsbegäran.docx", "A 28395-2024")</f>
        <v/>
      </c>
      <c r="Y256">
        <f>HYPERLINK("https://klasma.github.io/Logging_0562/tillsynsmail/A 28395-2024 tillsynsbegäran mail.docx", "A 28395-2024")</f>
        <v/>
      </c>
      <c r="Z256">
        <f>HYPERLINK("https://klasma.github.io/Logging_0562/fåglar/A 28395-2024 prioriterade fågelarter.docx", "A 28395-2024")</f>
        <v/>
      </c>
    </row>
    <row r="257" ht="15" customHeight="1">
      <c r="A257" t="inlineStr">
        <is>
          <t>A 63760-2025</t>
        </is>
      </c>
      <c r="B257" s="1" t="n">
        <v>46018.65306712963</v>
      </c>
      <c r="C257" s="1" t="n">
        <v>46093</v>
      </c>
      <c r="D257" t="inlineStr">
        <is>
          <t>ÖSTERGÖTLANDS LÄN</t>
        </is>
      </c>
      <c r="E257" t="inlineStr">
        <is>
          <t>VALDEMARSVIK</t>
        </is>
      </c>
      <c r="G257" t="n">
        <v>3.3</v>
      </c>
      <c r="H257" t="n">
        <v>1</v>
      </c>
      <c r="I257" t="n">
        <v>1</v>
      </c>
      <c r="J257" t="n">
        <v>0</v>
      </c>
      <c r="K257" t="n">
        <v>0</v>
      </c>
      <c r="L257" t="n">
        <v>0</v>
      </c>
      <c r="M257" t="n">
        <v>0</v>
      </c>
      <c r="N257" t="n">
        <v>0</v>
      </c>
      <c r="O257" t="n">
        <v>0</v>
      </c>
      <c r="P257" t="n">
        <v>0</v>
      </c>
      <c r="Q257" t="n">
        <v>2</v>
      </c>
      <c r="R257" s="2" t="inlineStr">
        <is>
          <t>Grovticka
Revlummer</t>
        </is>
      </c>
      <c r="S257">
        <f>HYPERLINK("https://klasma.github.io/Logging_0563/artfynd/A 63760-2025 artfynd.xlsx", "A 63760-2025")</f>
        <v/>
      </c>
      <c r="T257">
        <f>HYPERLINK("https://klasma.github.io/Logging_0563/kartor/A 63760-2025 karta.png", "A 63760-2025")</f>
        <v/>
      </c>
      <c r="V257">
        <f>HYPERLINK("https://klasma.github.io/Logging_0563/klagomål/A 63760-2025 FSC-klagomål.docx", "A 63760-2025")</f>
        <v/>
      </c>
      <c r="W257">
        <f>HYPERLINK("https://klasma.github.io/Logging_0563/klagomålsmail/A 63760-2025 FSC-klagomål mail.docx", "A 63760-2025")</f>
        <v/>
      </c>
      <c r="X257">
        <f>HYPERLINK("https://klasma.github.io/Logging_0563/tillsyn/A 63760-2025 tillsynsbegäran.docx", "A 63760-2025")</f>
        <v/>
      </c>
      <c r="Y257">
        <f>HYPERLINK("https://klasma.github.io/Logging_0563/tillsynsmail/A 63760-2025 tillsynsbegäran mail.docx", "A 63760-2025")</f>
        <v/>
      </c>
    </row>
    <row r="258" ht="15" customHeight="1">
      <c r="A258" t="inlineStr">
        <is>
          <t>A 8240-2026</t>
        </is>
      </c>
      <c r="B258" s="1" t="n">
        <v>46064.4896875</v>
      </c>
      <c r="C258" s="1" t="n">
        <v>46093</v>
      </c>
      <c r="D258" t="inlineStr">
        <is>
          <t>ÖSTERGÖTLANDS LÄN</t>
        </is>
      </c>
      <c r="E258" t="inlineStr">
        <is>
          <t>FINSPÅNG</t>
        </is>
      </c>
      <c r="F258" t="inlineStr">
        <is>
          <t>Sveaskog</t>
        </is>
      </c>
      <c r="G258" t="n">
        <v>2.6</v>
      </c>
      <c r="H258" t="n">
        <v>2</v>
      </c>
      <c r="I258" t="n">
        <v>0</v>
      </c>
      <c r="J258" t="n">
        <v>0</v>
      </c>
      <c r="K258" t="n">
        <v>0</v>
      </c>
      <c r="L258" t="n">
        <v>0</v>
      </c>
      <c r="M258" t="n">
        <v>0</v>
      </c>
      <c r="N258" t="n">
        <v>0</v>
      </c>
      <c r="O258" t="n">
        <v>0</v>
      </c>
      <c r="P258" t="n">
        <v>0</v>
      </c>
      <c r="Q258" t="n">
        <v>2</v>
      </c>
      <c r="R258" s="2" t="inlineStr">
        <is>
          <t>Blåsippa
Revlummer</t>
        </is>
      </c>
      <c r="S258">
        <f>HYPERLINK("https://klasma.github.io/Logging_0562/artfynd/A 8240-2026 artfynd.xlsx", "A 8240-2026")</f>
        <v/>
      </c>
      <c r="T258">
        <f>HYPERLINK("https://klasma.github.io/Logging_0562/kartor/A 8240-2026 karta.png", "A 8240-2026")</f>
        <v/>
      </c>
      <c r="V258">
        <f>HYPERLINK("https://klasma.github.io/Logging_0562/klagomål/A 8240-2026 FSC-klagomål.docx", "A 8240-2026")</f>
        <v/>
      </c>
      <c r="W258">
        <f>HYPERLINK("https://klasma.github.io/Logging_0562/klagomålsmail/A 8240-2026 FSC-klagomål mail.docx", "A 8240-2026")</f>
        <v/>
      </c>
      <c r="X258">
        <f>HYPERLINK("https://klasma.github.io/Logging_0562/tillsyn/A 8240-2026 tillsynsbegäran.docx", "A 8240-2026")</f>
        <v/>
      </c>
      <c r="Y258">
        <f>HYPERLINK("https://klasma.github.io/Logging_0562/tillsynsmail/A 8240-2026 tillsynsbegäran mail.docx", "A 8240-2026")</f>
        <v/>
      </c>
    </row>
    <row r="259" ht="15" customHeight="1">
      <c r="A259" t="inlineStr">
        <is>
          <t>A 12823-2025</t>
        </is>
      </c>
      <c r="B259" s="1" t="n">
        <v>45733</v>
      </c>
      <c r="C259" s="1" t="n">
        <v>46093</v>
      </c>
      <c r="D259" t="inlineStr">
        <is>
          <t>ÖSTERGÖTLANDS LÄN</t>
        </is>
      </c>
      <c r="E259" t="inlineStr">
        <is>
          <t>FINSPÅNG</t>
        </is>
      </c>
      <c r="G259" t="n">
        <v>7.1</v>
      </c>
      <c r="H259" t="n">
        <v>0</v>
      </c>
      <c r="I259" t="n">
        <v>1</v>
      </c>
      <c r="J259" t="n">
        <v>1</v>
      </c>
      <c r="K259" t="n">
        <v>0</v>
      </c>
      <c r="L259" t="n">
        <v>0</v>
      </c>
      <c r="M259" t="n">
        <v>0</v>
      </c>
      <c r="N259" t="n">
        <v>0</v>
      </c>
      <c r="O259" t="n">
        <v>1</v>
      </c>
      <c r="P259" t="n">
        <v>0</v>
      </c>
      <c r="Q259" t="n">
        <v>2</v>
      </c>
      <c r="R259" s="2" t="inlineStr">
        <is>
          <t>Tallticka
Skinnlav</t>
        </is>
      </c>
      <c r="S259">
        <f>HYPERLINK("https://klasma.github.io/Logging_0562/artfynd/A 12823-2025 artfynd.xlsx", "A 12823-2025")</f>
        <v/>
      </c>
      <c r="T259">
        <f>HYPERLINK("https://klasma.github.io/Logging_0562/kartor/A 12823-2025 karta.png", "A 12823-2025")</f>
        <v/>
      </c>
      <c r="V259">
        <f>HYPERLINK("https://klasma.github.io/Logging_0562/klagomål/A 12823-2025 FSC-klagomål.docx", "A 12823-2025")</f>
        <v/>
      </c>
      <c r="W259">
        <f>HYPERLINK("https://klasma.github.io/Logging_0562/klagomålsmail/A 12823-2025 FSC-klagomål mail.docx", "A 12823-2025")</f>
        <v/>
      </c>
      <c r="X259">
        <f>HYPERLINK("https://klasma.github.io/Logging_0562/tillsyn/A 12823-2025 tillsynsbegäran.docx", "A 12823-2025")</f>
        <v/>
      </c>
      <c r="Y259">
        <f>HYPERLINK("https://klasma.github.io/Logging_0562/tillsynsmail/A 12823-2025 tillsynsbegäran mail.docx", "A 12823-2025")</f>
        <v/>
      </c>
    </row>
    <row r="260" ht="15" customHeight="1">
      <c r="A260" t="inlineStr">
        <is>
          <t>A 50404-2023</t>
        </is>
      </c>
      <c r="B260" s="1" t="n">
        <v>45216</v>
      </c>
      <c r="C260" s="1" t="n">
        <v>46093</v>
      </c>
      <c r="D260" t="inlineStr">
        <is>
          <t>ÖSTERGÖTLANDS LÄN</t>
        </is>
      </c>
      <c r="E260" t="inlineStr">
        <is>
          <t>LINKÖPING</t>
        </is>
      </c>
      <c r="G260" t="n">
        <v>1.2</v>
      </c>
      <c r="H260" t="n">
        <v>1</v>
      </c>
      <c r="I260" t="n">
        <v>1</v>
      </c>
      <c r="J260" t="n">
        <v>0</v>
      </c>
      <c r="K260" t="n">
        <v>0</v>
      </c>
      <c r="L260" t="n">
        <v>0</v>
      </c>
      <c r="M260" t="n">
        <v>0</v>
      </c>
      <c r="N260" t="n">
        <v>0</v>
      </c>
      <c r="O260" t="n">
        <v>0</v>
      </c>
      <c r="P260" t="n">
        <v>0</v>
      </c>
      <c r="Q260" t="n">
        <v>2</v>
      </c>
      <c r="R260" s="2" t="inlineStr">
        <is>
          <t>Hasselticka
Gullviva</t>
        </is>
      </c>
      <c r="S260">
        <f>HYPERLINK("https://klasma.github.io/Logging_0580/artfynd/A 50404-2023 artfynd.xlsx", "A 50404-2023")</f>
        <v/>
      </c>
      <c r="T260">
        <f>HYPERLINK("https://klasma.github.io/Logging_0580/kartor/A 50404-2023 karta.png", "A 50404-2023")</f>
        <v/>
      </c>
      <c r="V260">
        <f>HYPERLINK("https://klasma.github.io/Logging_0580/klagomål/A 50404-2023 FSC-klagomål.docx", "A 50404-2023")</f>
        <v/>
      </c>
      <c r="W260">
        <f>HYPERLINK("https://klasma.github.io/Logging_0580/klagomålsmail/A 50404-2023 FSC-klagomål mail.docx", "A 50404-2023")</f>
        <v/>
      </c>
      <c r="X260">
        <f>HYPERLINK("https://klasma.github.io/Logging_0580/tillsyn/A 50404-2023 tillsynsbegäran.docx", "A 50404-2023")</f>
        <v/>
      </c>
      <c r="Y260">
        <f>HYPERLINK("https://klasma.github.io/Logging_0580/tillsynsmail/A 50404-2023 tillsynsbegäran mail.docx", "A 50404-2023")</f>
        <v/>
      </c>
    </row>
    <row r="261" ht="15" customHeight="1">
      <c r="A261" t="inlineStr">
        <is>
          <t>A 25498-2022</t>
        </is>
      </c>
      <c r="B261" s="1" t="n">
        <v>44732</v>
      </c>
      <c r="C261" s="1" t="n">
        <v>46093</v>
      </c>
      <c r="D261" t="inlineStr">
        <is>
          <t>ÖSTERGÖTLANDS LÄN</t>
        </is>
      </c>
      <c r="E261" t="inlineStr">
        <is>
          <t>YDRE</t>
        </is>
      </c>
      <c r="F261" t="inlineStr">
        <is>
          <t>Kyrkan</t>
        </is>
      </c>
      <c r="G261" t="n">
        <v>71.09999999999999</v>
      </c>
      <c r="H261" t="n">
        <v>0</v>
      </c>
      <c r="I261" t="n">
        <v>0</v>
      </c>
      <c r="J261" t="n">
        <v>2</v>
      </c>
      <c r="K261" t="n">
        <v>0</v>
      </c>
      <c r="L261" t="n">
        <v>0</v>
      </c>
      <c r="M261" t="n">
        <v>0</v>
      </c>
      <c r="N261" t="n">
        <v>0</v>
      </c>
      <c r="O261" t="n">
        <v>2</v>
      </c>
      <c r="P261" t="n">
        <v>0</v>
      </c>
      <c r="Q261" t="n">
        <v>2</v>
      </c>
      <c r="R261" s="2" t="inlineStr">
        <is>
          <t>Brunpudrad nållav
Garnlav</t>
        </is>
      </c>
      <c r="S261">
        <f>HYPERLINK("https://klasma.github.io/Logging_0512/artfynd/A 25498-2022 artfynd.xlsx", "A 25498-2022")</f>
        <v/>
      </c>
      <c r="T261">
        <f>HYPERLINK("https://klasma.github.io/Logging_0512/kartor/A 25498-2022 karta.png", "A 25498-2022")</f>
        <v/>
      </c>
      <c r="V261">
        <f>HYPERLINK("https://klasma.github.io/Logging_0512/klagomål/A 25498-2022 FSC-klagomål.docx", "A 25498-2022")</f>
        <v/>
      </c>
      <c r="W261">
        <f>HYPERLINK("https://klasma.github.io/Logging_0512/klagomålsmail/A 25498-2022 FSC-klagomål mail.docx", "A 25498-2022")</f>
        <v/>
      </c>
      <c r="X261">
        <f>HYPERLINK("https://klasma.github.io/Logging_0512/tillsyn/A 25498-2022 tillsynsbegäran.docx", "A 25498-2022")</f>
        <v/>
      </c>
      <c r="Y261">
        <f>HYPERLINK("https://klasma.github.io/Logging_0512/tillsynsmail/A 25498-2022 tillsynsbegäran mail.docx", "A 25498-2022")</f>
        <v/>
      </c>
    </row>
    <row r="262" ht="15" customHeight="1">
      <c r="A262" t="inlineStr">
        <is>
          <t>A 21326-2025</t>
        </is>
      </c>
      <c r="B262" s="1" t="n">
        <v>45782.35407407407</v>
      </c>
      <c r="C262" s="1" t="n">
        <v>46093</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46093</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22006-2025</t>
        </is>
      </c>
      <c r="B264" s="1" t="n">
        <v>45784.71938657408</v>
      </c>
      <c r="C264" s="1" t="n">
        <v>46093</v>
      </c>
      <c r="D264" t="inlineStr">
        <is>
          <t>ÖSTERGÖTLANDS LÄN</t>
        </is>
      </c>
      <c r="E264" t="inlineStr">
        <is>
          <t>KINDA</t>
        </is>
      </c>
      <c r="G264" t="n">
        <v>3.1</v>
      </c>
      <c r="H264" t="n">
        <v>2</v>
      </c>
      <c r="I264" t="n">
        <v>0</v>
      </c>
      <c r="J264" t="n">
        <v>0</v>
      </c>
      <c r="K264" t="n">
        <v>0</v>
      </c>
      <c r="L264" t="n">
        <v>0</v>
      </c>
      <c r="M264" t="n">
        <v>0</v>
      </c>
      <c r="N264" t="n">
        <v>0</v>
      </c>
      <c r="O264" t="n">
        <v>0</v>
      </c>
      <c r="P264" t="n">
        <v>0</v>
      </c>
      <c r="Q264" t="n">
        <v>2</v>
      </c>
      <c r="R264" s="2" t="inlineStr">
        <is>
          <t>Kungsfågel
Blåsippa</t>
        </is>
      </c>
      <c r="S264">
        <f>HYPERLINK("https://klasma.github.io/Logging_0513/artfynd/A 22006-2025 artfynd.xlsx", "A 22006-2025")</f>
        <v/>
      </c>
      <c r="T264">
        <f>HYPERLINK("https://klasma.github.io/Logging_0513/kartor/A 22006-2025 karta.png", "A 22006-2025")</f>
        <v/>
      </c>
      <c r="V264">
        <f>HYPERLINK("https://klasma.github.io/Logging_0513/klagomål/A 22006-2025 FSC-klagomål.docx", "A 22006-2025")</f>
        <v/>
      </c>
      <c r="W264">
        <f>HYPERLINK("https://klasma.github.io/Logging_0513/klagomålsmail/A 22006-2025 FSC-klagomål mail.docx", "A 22006-2025")</f>
        <v/>
      </c>
      <c r="X264">
        <f>HYPERLINK("https://klasma.github.io/Logging_0513/tillsyn/A 22006-2025 tillsynsbegäran.docx", "A 22006-2025")</f>
        <v/>
      </c>
      <c r="Y264">
        <f>HYPERLINK("https://klasma.github.io/Logging_0513/tillsynsmail/A 22006-2025 tillsynsbegäran mail.docx", "A 22006-2025")</f>
        <v/>
      </c>
      <c r="Z264">
        <f>HYPERLINK("https://klasma.github.io/Logging_0513/fåglar/A 22006-2025 prioriterade fågelarter.docx", "A 22006-2025")</f>
        <v/>
      </c>
    </row>
    <row r="265" ht="15" customHeight="1">
      <c r="A265" t="inlineStr">
        <is>
          <t>A 21799-2025</t>
        </is>
      </c>
      <c r="B265" s="1" t="n">
        <v>45783.68689814815</v>
      </c>
      <c r="C265" s="1" t="n">
        <v>46093</v>
      </c>
      <c r="D265" t="inlineStr">
        <is>
          <t>ÖSTERGÖTLANDS LÄN</t>
        </is>
      </c>
      <c r="E265" t="inlineStr">
        <is>
          <t>NORRKÖPING</t>
        </is>
      </c>
      <c r="G265" t="n">
        <v>3.5</v>
      </c>
      <c r="H265" t="n">
        <v>1</v>
      </c>
      <c r="I265" t="n">
        <v>1</v>
      </c>
      <c r="J265" t="n">
        <v>0</v>
      </c>
      <c r="K265" t="n">
        <v>0</v>
      </c>
      <c r="L265" t="n">
        <v>0</v>
      </c>
      <c r="M265" t="n">
        <v>0</v>
      </c>
      <c r="N265" t="n">
        <v>0</v>
      </c>
      <c r="O265" t="n">
        <v>0</v>
      </c>
      <c r="P265" t="n">
        <v>0</v>
      </c>
      <c r="Q265" t="n">
        <v>2</v>
      </c>
      <c r="R265" s="2" t="inlineStr">
        <is>
          <t>Blåmossa
Revlummer</t>
        </is>
      </c>
      <c r="S265">
        <f>HYPERLINK("https://klasma.github.io/Logging_0581/artfynd/A 21799-2025 artfynd.xlsx", "A 21799-2025")</f>
        <v/>
      </c>
      <c r="T265">
        <f>HYPERLINK("https://klasma.github.io/Logging_0581/kartor/A 21799-2025 karta.png", "A 21799-2025")</f>
        <v/>
      </c>
      <c r="V265">
        <f>HYPERLINK("https://klasma.github.io/Logging_0581/klagomål/A 21799-2025 FSC-klagomål.docx", "A 21799-2025")</f>
        <v/>
      </c>
      <c r="W265">
        <f>HYPERLINK("https://klasma.github.io/Logging_0581/klagomålsmail/A 21799-2025 FSC-klagomål mail.docx", "A 21799-2025")</f>
        <v/>
      </c>
      <c r="X265">
        <f>HYPERLINK("https://klasma.github.io/Logging_0581/tillsyn/A 21799-2025 tillsynsbegäran.docx", "A 21799-2025")</f>
        <v/>
      </c>
      <c r="Y265">
        <f>HYPERLINK("https://klasma.github.io/Logging_0581/tillsynsmail/A 21799-2025 tillsynsbegäran mail.docx", "A 21799-2025")</f>
        <v/>
      </c>
    </row>
    <row r="266" ht="15" customHeight="1">
      <c r="A266" t="inlineStr">
        <is>
          <t>A 62160-2023</t>
        </is>
      </c>
      <c r="B266" s="1" t="n">
        <v>45267.39979166666</v>
      </c>
      <c r="C266" s="1" t="n">
        <v>46093</v>
      </c>
      <c r="D266" t="inlineStr">
        <is>
          <t>ÖSTERGÖTLANDS LÄN</t>
        </is>
      </c>
      <c r="E266" t="inlineStr">
        <is>
          <t>FINSPÅNG</t>
        </is>
      </c>
      <c r="F266" t="inlineStr">
        <is>
          <t>Holmen skog AB</t>
        </is>
      </c>
      <c r="G266" t="n">
        <v>0.9</v>
      </c>
      <c r="H266" t="n">
        <v>0</v>
      </c>
      <c r="I266" t="n">
        <v>1</v>
      </c>
      <c r="J266" t="n">
        <v>1</v>
      </c>
      <c r="K266" t="n">
        <v>0</v>
      </c>
      <c r="L266" t="n">
        <v>0</v>
      </c>
      <c r="M266" t="n">
        <v>0</v>
      </c>
      <c r="N266" t="n">
        <v>0</v>
      </c>
      <c r="O266" t="n">
        <v>1</v>
      </c>
      <c r="P266" t="n">
        <v>0</v>
      </c>
      <c r="Q266" t="n">
        <v>2</v>
      </c>
      <c r="R266" s="2" t="inlineStr">
        <is>
          <t>Svart taggsvamp agg.
Skarp dropptaggsvamp</t>
        </is>
      </c>
      <c r="S266">
        <f>HYPERLINK("https://klasma.github.io/Logging_0562/artfynd/A 62160-2023 artfynd.xlsx", "A 62160-2023")</f>
        <v/>
      </c>
      <c r="T266">
        <f>HYPERLINK("https://klasma.github.io/Logging_0562/kartor/A 62160-2023 karta.png", "A 62160-2023")</f>
        <v/>
      </c>
      <c r="V266">
        <f>HYPERLINK("https://klasma.github.io/Logging_0562/klagomål/A 62160-2023 FSC-klagomål.docx", "A 62160-2023")</f>
        <v/>
      </c>
      <c r="W266">
        <f>HYPERLINK("https://klasma.github.io/Logging_0562/klagomålsmail/A 62160-2023 FSC-klagomål mail.docx", "A 62160-2023")</f>
        <v/>
      </c>
      <c r="X266">
        <f>HYPERLINK("https://klasma.github.io/Logging_0562/tillsyn/A 62160-2023 tillsynsbegäran.docx", "A 62160-2023")</f>
        <v/>
      </c>
      <c r="Y266">
        <f>HYPERLINK("https://klasma.github.io/Logging_0562/tillsynsmail/A 62160-2023 tillsynsbegäran mail.docx", "A 62160-2023")</f>
        <v/>
      </c>
    </row>
    <row r="267" ht="15" customHeight="1">
      <c r="A267" t="inlineStr">
        <is>
          <t>A 590-2026</t>
        </is>
      </c>
      <c r="B267" s="1" t="n">
        <v>46029</v>
      </c>
      <c r="C267" s="1" t="n">
        <v>46093</v>
      </c>
      <c r="D267" t="inlineStr">
        <is>
          <t>ÖSTERGÖTLANDS LÄN</t>
        </is>
      </c>
      <c r="E267" t="inlineStr">
        <is>
          <t>BOXHOLM</t>
        </is>
      </c>
      <c r="F267" t="inlineStr">
        <is>
          <t>Övriga Aktiebolag</t>
        </is>
      </c>
      <c r="G267" t="n">
        <v>0.6</v>
      </c>
      <c r="H267" t="n">
        <v>0</v>
      </c>
      <c r="I267" t="n">
        <v>2</v>
      </c>
      <c r="J267" t="n">
        <v>0</v>
      </c>
      <c r="K267" t="n">
        <v>0</v>
      </c>
      <c r="L267" t="n">
        <v>0</v>
      </c>
      <c r="M267" t="n">
        <v>0</v>
      </c>
      <c r="N267" t="n">
        <v>0</v>
      </c>
      <c r="O267" t="n">
        <v>0</v>
      </c>
      <c r="P267" t="n">
        <v>0</v>
      </c>
      <c r="Q267" t="n">
        <v>2</v>
      </c>
      <c r="R267" s="2" t="inlineStr">
        <is>
          <t>Rostfläck
Svart trolldruva</t>
        </is>
      </c>
      <c r="S267">
        <f>HYPERLINK("https://klasma.github.io/Logging_0560/artfynd/A 590-2026 artfynd.xlsx", "A 590-2026")</f>
        <v/>
      </c>
      <c r="T267">
        <f>HYPERLINK("https://klasma.github.io/Logging_0560/kartor/A 590-2026 karta.png", "A 590-2026")</f>
        <v/>
      </c>
      <c r="V267">
        <f>HYPERLINK("https://klasma.github.io/Logging_0560/klagomål/A 590-2026 FSC-klagomål.docx", "A 590-2026")</f>
        <v/>
      </c>
      <c r="W267">
        <f>HYPERLINK("https://klasma.github.io/Logging_0560/klagomålsmail/A 590-2026 FSC-klagomål mail.docx", "A 590-2026")</f>
        <v/>
      </c>
      <c r="X267">
        <f>HYPERLINK("https://klasma.github.io/Logging_0560/tillsyn/A 590-2026 tillsynsbegäran.docx", "A 590-2026")</f>
        <v/>
      </c>
      <c r="Y267">
        <f>HYPERLINK("https://klasma.github.io/Logging_0560/tillsynsmail/A 590-2026 tillsynsbegäran mail.docx", "A 590-2026")</f>
        <v/>
      </c>
    </row>
    <row r="268" ht="15" customHeight="1">
      <c r="A268" t="inlineStr">
        <is>
          <t>A 2153-2026</t>
        </is>
      </c>
      <c r="B268" s="1" t="n">
        <v>46036.42396990741</v>
      </c>
      <c r="C268" s="1" t="n">
        <v>46093</v>
      </c>
      <c r="D268" t="inlineStr">
        <is>
          <t>ÖSTERGÖTLANDS LÄN</t>
        </is>
      </c>
      <c r="E268" t="inlineStr">
        <is>
          <t>MOTALA</t>
        </is>
      </c>
      <c r="G268" t="n">
        <v>2.8</v>
      </c>
      <c r="H268" t="n">
        <v>1</v>
      </c>
      <c r="I268" t="n">
        <v>1</v>
      </c>
      <c r="J268" t="n">
        <v>0</v>
      </c>
      <c r="K268" t="n">
        <v>0</v>
      </c>
      <c r="L268" t="n">
        <v>0</v>
      </c>
      <c r="M268" t="n">
        <v>0</v>
      </c>
      <c r="N268" t="n">
        <v>0</v>
      </c>
      <c r="O268" t="n">
        <v>0</v>
      </c>
      <c r="P268" t="n">
        <v>0</v>
      </c>
      <c r="Q268" t="n">
        <v>2</v>
      </c>
      <c r="R268" s="2" t="inlineStr">
        <is>
          <t>Blomkålssvamp
Mattlummer</t>
        </is>
      </c>
      <c r="S268">
        <f>HYPERLINK("https://klasma.github.io/Logging_0583/artfynd/A 2153-2026 artfynd.xlsx", "A 2153-2026")</f>
        <v/>
      </c>
      <c r="T268">
        <f>HYPERLINK("https://klasma.github.io/Logging_0583/kartor/A 2153-2026 karta.png", "A 2153-2026")</f>
        <v/>
      </c>
      <c r="V268">
        <f>HYPERLINK("https://klasma.github.io/Logging_0583/klagomål/A 2153-2026 FSC-klagomål.docx", "A 2153-2026")</f>
        <v/>
      </c>
      <c r="W268">
        <f>HYPERLINK("https://klasma.github.io/Logging_0583/klagomålsmail/A 2153-2026 FSC-klagomål mail.docx", "A 2153-2026")</f>
        <v/>
      </c>
      <c r="X268">
        <f>HYPERLINK("https://klasma.github.io/Logging_0583/tillsyn/A 2153-2026 tillsynsbegäran.docx", "A 2153-2026")</f>
        <v/>
      </c>
      <c r="Y268">
        <f>HYPERLINK("https://klasma.github.io/Logging_0583/tillsynsmail/A 2153-2026 tillsynsbegäran mail.docx", "A 2153-2026")</f>
        <v/>
      </c>
    </row>
    <row r="269" ht="15" customHeight="1">
      <c r="A269" t="inlineStr">
        <is>
          <t>A 2570-2026</t>
        </is>
      </c>
      <c r="B269" s="1" t="n">
        <v>46037.49528935185</v>
      </c>
      <c r="C269" s="1" t="n">
        <v>46093</v>
      </c>
      <c r="D269" t="inlineStr">
        <is>
          <t>ÖSTERGÖTLANDS LÄN</t>
        </is>
      </c>
      <c r="E269" t="inlineStr">
        <is>
          <t>KINDA</t>
        </is>
      </c>
      <c r="G269" t="n">
        <v>14.5</v>
      </c>
      <c r="H269" t="n">
        <v>0</v>
      </c>
      <c r="I269" t="n">
        <v>0</v>
      </c>
      <c r="J269" t="n">
        <v>1</v>
      </c>
      <c r="K269" t="n">
        <v>0</v>
      </c>
      <c r="L269" t="n">
        <v>1</v>
      </c>
      <c r="M269" t="n">
        <v>0</v>
      </c>
      <c r="N269" t="n">
        <v>0</v>
      </c>
      <c r="O269" t="n">
        <v>2</v>
      </c>
      <c r="P269" t="n">
        <v>1</v>
      </c>
      <c r="Q269" t="n">
        <v>2</v>
      </c>
      <c r="R269" s="2" t="inlineStr">
        <is>
          <t>Stubbfibbla
Sandviol</t>
        </is>
      </c>
      <c r="S269">
        <f>HYPERLINK("https://klasma.github.io/Logging_0513/artfynd/A 2570-2026 artfynd.xlsx", "A 2570-2026")</f>
        <v/>
      </c>
      <c r="T269">
        <f>HYPERLINK("https://klasma.github.io/Logging_0513/kartor/A 2570-2026 karta.png", "A 2570-2026")</f>
        <v/>
      </c>
      <c r="V269">
        <f>HYPERLINK("https://klasma.github.io/Logging_0513/klagomål/A 2570-2026 FSC-klagomål.docx", "A 2570-2026")</f>
        <v/>
      </c>
      <c r="W269">
        <f>HYPERLINK("https://klasma.github.io/Logging_0513/klagomålsmail/A 2570-2026 FSC-klagomål mail.docx", "A 2570-2026")</f>
        <v/>
      </c>
      <c r="X269">
        <f>HYPERLINK("https://klasma.github.io/Logging_0513/tillsyn/A 2570-2026 tillsynsbegäran.docx", "A 2570-2026")</f>
        <v/>
      </c>
      <c r="Y269">
        <f>HYPERLINK("https://klasma.github.io/Logging_0513/tillsynsmail/A 2570-2026 tillsynsbegäran mail.docx", "A 2570-2026")</f>
        <v/>
      </c>
    </row>
    <row r="270" ht="15" customHeight="1">
      <c r="A270" t="inlineStr">
        <is>
          <t>A 4004-2026</t>
        </is>
      </c>
      <c r="B270" s="1" t="n">
        <v>46044.39729166667</v>
      </c>
      <c r="C270" s="1" t="n">
        <v>46093</v>
      </c>
      <c r="D270" t="inlineStr">
        <is>
          <t>ÖSTERGÖTLANDS LÄN</t>
        </is>
      </c>
      <c r="E270" t="inlineStr">
        <is>
          <t>BOXHOLM</t>
        </is>
      </c>
      <c r="G270" t="n">
        <v>2.7</v>
      </c>
      <c r="H270" t="n">
        <v>1</v>
      </c>
      <c r="I270" t="n">
        <v>0</v>
      </c>
      <c r="J270" t="n">
        <v>0</v>
      </c>
      <c r="K270" t="n">
        <v>1</v>
      </c>
      <c r="L270" t="n">
        <v>0</v>
      </c>
      <c r="M270" t="n">
        <v>0</v>
      </c>
      <c r="N270" t="n">
        <v>0</v>
      </c>
      <c r="O270" t="n">
        <v>1</v>
      </c>
      <c r="P270" t="n">
        <v>1</v>
      </c>
      <c r="Q270" t="n">
        <v>2</v>
      </c>
      <c r="R270" s="2" t="inlineStr">
        <is>
          <t>Krokfibbla
Blåsippa</t>
        </is>
      </c>
      <c r="S270">
        <f>HYPERLINK("https://klasma.github.io/Logging_0560/artfynd/A 4004-2026 artfynd.xlsx", "A 4004-2026")</f>
        <v/>
      </c>
      <c r="T270">
        <f>HYPERLINK("https://klasma.github.io/Logging_0560/kartor/A 4004-2026 karta.png", "A 4004-2026")</f>
        <v/>
      </c>
      <c r="V270">
        <f>HYPERLINK("https://klasma.github.io/Logging_0560/klagomål/A 4004-2026 FSC-klagomål.docx", "A 4004-2026")</f>
        <v/>
      </c>
      <c r="W270">
        <f>HYPERLINK("https://klasma.github.io/Logging_0560/klagomålsmail/A 4004-2026 FSC-klagomål mail.docx", "A 4004-2026")</f>
        <v/>
      </c>
      <c r="X270">
        <f>HYPERLINK("https://klasma.github.io/Logging_0560/tillsyn/A 4004-2026 tillsynsbegäran.docx", "A 4004-2026")</f>
        <v/>
      </c>
      <c r="Y270">
        <f>HYPERLINK("https://klasma.github.io/Logging_0560/tillsynsmail/A 4004-2026 tillsynsbegäran mail.docx", "A 4004-2026")</f>
        <v/>
      </c>
    </row>
    <row r="271" ht="15" customHeight="1">
      <c r="A271" t="inlineStr">
        <is>
          <t>A 3912-2026</t>
        </is>
      </c>
      <c r="B271" s="1" t="n">
        <v>46043.71958333333</v>
      </c>
      <c r="C271" s="1" t="n">
        <v>46093</v>
      </c>
      <c r="D271" t="inlineStr">
        <is>
          <t>ÖSTERGÖTLANDS LÄN</t>
        </is>
      </c>
      <c r="E271" t="inlineStr">
        <is>
          <t>LINKÖPING</t>
        </is>
      </c>
      <c r="F271" t="inlineStr">
        <is>
          <t>Kyrkan</t>
        </is>
      </c>
      <c r="G271" t="n">
        <v>6.8</v>
      </c>
      <c r="H271" t="n">
        <v>1</v>
      </c>
      <c r="I271" t="n">
        <v>1</v>
      </c>
      <c r="J271" t="n">
        <v>0</v>
      </c>
      <c r="K271" t="n">
        <v>1</v>
      </c>
      <c r="L271" t="n">
        <v>0</v>
      </c>
      <c r="M271" t="n">
        <v>0</v>
      </c>
      <c r="N271" t="n">
        <v>0</v>
      </c>
      <c r="O271" t="n">
        <v>1</v>
      </c>
      <c r="P271" t="n">
        <v>1</v>
      </c>
      <c r="Q271" t="n">
        <v>2</v>
      </c>
      <c r="R271" s="2" t="inlineStr">
        <is>
          <t>Knärot
Grönpyrola</t>
        </is>
      </c>
      <c r="S271">
        <f>HYPERLINK("https://klasma.github.io/Logging_0580/artfynd/A 3912-2026 artfynd.xlsx", "A 3912-2026")</f>
        <v/>
      </c>
      <c r="T271">
        <f>HYPERLINK("https://klasma.github.io/Logging_0580/kartor/A 3912-2026 karta.png", "A 3912-2026")</f>
        <v/>
      </c>
      <c r="U271">
        <f>HYPERLINK("https://klasma.github.io/Logging_0580/knärot/A 3912-2026 karta knärot.png", "A 3912-2026")</f>
        <v/>
      </c>
      <c r="V271">
        <f>HYPERLINK("https://klasma.github.io/Logging_0580/klagomål/A 3912-2026 FSC-klagomål.docx", "A 3912-2026")</f>
        <v/>
      </c>
      <c r="W271">
        <f>HYPERLINK("https://klasma.github.io/Logging_0580/klagomålsmail/A 3912-2026 FSC-klagomål mail.docx", "A 3912-2026")</f>
        <v/>
      </c>
      <c r="X271">
        <f>HYPERLINK("https://klasma.github.io/Logging_0580/tillsyn/A 3912-2026 tillsynsbegäran.docx", "A 3912-2026")</f>
        <v/>
      </c>
      <c r="Y271">
        <f>HYPERLINK("https://klasma.github.io/Logging_0580/tillsynsmail/A 3912-2026 tillsynsbegäran mail.docx", "A 3912-2026")</f>
        <v/>
      </c>
    </row>
    <row r="272" ht="15" customHeight="1">
      <c r="A272" t="inlineStr">
        <is>
          <t>A 12494-2026</t>
        </is>
      </c>
      <c r="B272" s="1" t="n">
        <v>46090.56896990741</v>
      </c>
      <c r="C272" s="1" t="n">
        <v>46093</v>
      </c>
      <c r="D272" t="inlineStr">
        <is>
          <t>ÖSTERGÖTLANDS LÄN</t>
        </is>
      </c>
      <c r="E272" t="inlineStr">
        <is>
          <t>LINKÖPING</t>
        </is>
      </c>
      <c r="G272" t="n">
        <v>3.4</v>
      </c>
      <c r="H272" t="n">
        <v>0</v>
      </c>
      <c r="I272" t="n">
        <v>0</v>
      </c>
      <c r="J272" t="n">
        <v>1</v>
      </c>
      <c r="K272" t="n">
        <v>1</v>
      </c>
      <c r="L272" t="n">
        <v>0</v>
      </c>
      <c r="M272" t="n">
        <v>0</v>
      </c>
      <c r="N272" t="n">
        <v>0</v>
      </c>
      <c r="O272" t="n">
        <v>2</v>
      </c>
      <c r="P272" t="n">
        <v>1</v>
      </c>
      <c r="Q272" t="n">
        <v>2</v>
      </c>
      <c r="R272" s="2" t="inlineStr">
        <is>
          <t>Slåttergubbe
Svinrot</t>
        </is>
      </c>
      <c r="S272">
        <f>HYPERLINK("https://klasma.github.io/Logging_0580/artfynd/A 12494-2026 artfynd.xlsx", "A 12494-2026")</f>
        <v/>
      </c>
      <c r="T272">
        <f>HYPERLINK("https://klasma.github.io/Logging_0580/kartor/A 12494-2026 karta.png", "A 12494-2026")</f>
        <v/>
      </c>
      <c r="V272">
        <f>HYPERLINK("https://klasma.github.io/Logging_0580/klagomål/A 12494-2026 FSC-klagomål.docx", "A 12494-2026")</f>
        <v/>
      </c>
      <c r="W272">
        <f>HYPERLINK("https://klasma.github.io/Logging_0580/klagomålsmail/A 12494-2026 FSC-klagomål mail.docx", "A 12494-2026")</f>
        <v/>
      </c>
      <c r="X272">
        <f>HYPERLINK("https://klasma.github.io/Logging_0580/tillsyn/A 12494-2026 tillsynsbegäran.docx", "A 12494-2026")</f>
        <v/>
      </c>
      <c r="Y272">
        <f>HYPERLINK("https://klasma.github.io/Logging_0580/tillsynsmail/A 12494-2026 tillsynsbegäran mail.docx", "A 12494-2026")</f>
        <v/>
      </c>
    </row>
    <row r="273" ht="15" customHeight="1">
      <c r="A273" t="inlineStr">
        <is>
          <t>A 14192-2025</t>
        </is>
      </c>
      <c r="B273" s="1" t="n">
        <v>45740.55563657408</v>
      </c>
      <c r="C273" s="1" t="n">
        <v>46093</v>
      </c>
      <c r="D273" t="inlineStr">
        <is>
          <t>ÖSTERGÖTLANDS LÄN</t>
        </is>
      </c>
      <c r="E273" t="inlineStr">
        <is>
          <t>VALDEMARSVIK</t>
        </is>
      </c>
      <c r="G273" t="n">
        <v>5</v>
      </c>
      <c r="H273" t="n">
        <v>1</v>
      </c>
      <c r="I273" t="n">
        <v>1</v>
      </c>
      <c r="J273" t="n">
        <v>0</v>
      </c>
      <c r="K273" t="n">
        <v>1</v>
      </c>
      <c r="L273" t="n">
        <v>0</v>
      </c>
      <c r="M273" t="n">
        <v>0</v>
      </c>
      <c r="N273" t="n">
        <v>0</v>
      </c>
      <c r="O273" t="n">
        <v>1</v>
      </c>
      <c r="P273" t="n">
        <v>1</v>
      </c>
      <c r="Q273" t="n">
        <v>2</v>
      </c>
      <c r="R273" s="2" t="inlineStr">
        <is>
          <t>Knärot
Grönpyrola</t>
        </is>
      </c>
      <c r="S273">
        <f>HYPERLINK("https://klasma.github.io/Logging_0563/artfynd/A 14192-2025 artfynd.xlsx", "A 14192-2025")</f>
        <v/>
      </c>
      <c r="T273">
        <f>HYPERLINK("https://klasma.github.io/Logging_0563/kartor/A 14192-2025 karta.png", "A 14192-2025")</f>
        <v/>
      </c>
      <c r="U273">
        <f>HYPERLINK("https://klasma.github.io/Logging_0563/knärot/A 14192-2025 karta knärot.png", "A 14192-2025")</f>
        <v/>
      </c>
      <c r="V273">
        <f>HYPERLINK("https://klasma.github.io/Logging_0563/klagomål/A 14192-2025 FSC-klagomål.docx", "A 14192-2025")</f>
        <v/>
      </c>
      <c r="W273">
        <f>HYPERLINK("https://klasma.github.io/Logging_0563/klagomålsmail/A 14192-2025 FSC-klagomål mail.docx", "A 14192-2025")</f>
        <v/>
      </c>
      <c r="X273">
        <f>HYPERLINK("https://klasma.github.io/Logging_0563/tillsyn/A 14192-2025 tillsynsbegäran.docx", "A 14192-2025")</f>
        <v/>
      </c>
      <c r="Y273">
        <f>HYPERLINK("https://klasma.github.io/Logging_0563/tillsynsmail/A 14192-2025 tillsynsbegäran mail.docx", "A 14192-2025")</f>
        <v/>
      </c>
    </row>
    <row r="274" ht="15" customHeight="1">
      <c r="A274" t="inlineStr">
        <is>
          <t>A 27795-2025</t>
        </is>
      </c>
      <c r="B274" s="1" t="n">
        <v>45816.7908912037</v>
      </c>
      <c r="C274" s="1" t="n">
        <v>46093</v>
      </c>
      <c r="D274" t="inlineStr">
        <is>
          <t>ÖSTERGÖTLANDS LÄN</t>
        </is>
      </c>
      <c r="E274" t="inlineStr">
        <is>
          <t>LINKÖPING</t>
        </is>
      </c>
      <c r="G274" t="n">
        <v>5</v>
      </c>
      <c r="H274" t="n">
        <v>0</v>
      </c>
      <c r="I274" t="n">
        <v>0</v>
      </c>
      <c r="J274" t="n">
        <v>2</v>
      </c>
      <c r="K274" t="n">
        <v>0</v>
      </c>
      <c r="L274" t="n">
        <v>0</v>
      </c>
      <c r="M274" t="n">
        <v>0</v>
      </c>
      <c r="N274" t="n">
        <v>0</v>
      </c>
      <c r="O274" t="n">
        <v>2</v>
      </c>
      <c r="P274" t="n">
        <v>0</v>
      </c>
      <c r="Q274" t="n">
        <v>2</v>
      </c>
      <c r="R274" s="2" t="inlineStr">
        <is>
          <t>Svinrot
Ängsskära</t>
        </is>
      </c>
      <c r="S274">
        <f>HYPERLINK("https://klasma.github.io/Logging_0580/artfynd/A 27795-2025 artfynd.xlsx", "A 27795-2025")</f>
        <v/>
      </c>
      <c r="T274">
        <f>HYPERLINK("https://klasma.github.io/Logging_0580/kartor/A 27795-2025 karta.png", "A 27795-2025")</f>
        <v/>
      </c>
      <c r="V274">
        <f>HYPERLINK("https://klasma.github.io/Logging_0580/klagomål/A 27795-2025 FSC-klagomål.docx", "A 27795-2025")</f>
        <v/>
      </c>
      <c r="W274">
        <f>HYPERLINK("https://klasma.github.io/Logging_0580/klagomålsmail/A 27795-2025 FSC-klagomål mail.docx", "A 27795-2025")</f>
        <v/>
      </c>
      <c r="X274">
        <f>HYPERLINK("https://klasma.github.io/Logging_0580/tillsyn/A 27795-2025 tillsynsbegäran.docx", "A 27795-2025")</f>
        <v/>
      </c>
      <c r="Y274">
        <f>HYPERLINK("https://klasma.github.io/Logging_0580/tillsynsmail/A 27795-2025 tillsynsbegäran mail.docx", "A 27795-2025")</f>
        <v/>
      </c>
    </row>
    <row r="275" ht="15" customHeight="1">
      <c r="A275" t="inlineStr">
        <is>
          <t>A 30871-2025</t>
        </is>
      </c>
      <c r="B275" s="1" t="n">
        <v>45832.3365625</v>
      </c>
      <c r="C275" s="1" t="n">
        <v>46093</v>
      </c>
      <c r="D275" t="inlineStr">
        <is>
          <t>ÖSTERGÖTLANDS LÄN</t>
        </is>
      </c>
      <c r="E275" t="inlineStr">
        <is>
          <t>NORRKÖPING</t>
        </is>
      </c>
      <c r="F275" t="inlineStr">
        <is>
          <t>Holmen skog AB</t>
        </is>
      </c>
      <c r="G275" t="n">
        <v>2.5</v>
      </c>
      <c r="H275" t="n">
        <v>0</v>
      </c>
      <c r="I275" t="n">
        <v>2</v>
      </c>
      <c r="J275" t="n">
        <v>0</v>
      </c>
      <c r="K275" t="n">
        <v>0</v>
      </c>
      <c r="L275" t="n">
        <v>0</v>
      </c>
      <c r="M275" t="n">
        <v>0</v>
      </c>
      <c r="N275" t="n">
        <v>0</v>
      </c>
      <c r="O275" t="n">
        <v>0</v>
      </c>
      <c r="P275" t="n">
        <v>0</v>
      </c>
      <c r="Q275" t="n">
        <v>2</v>
      </c>
      <c r="R275" s="2" t="inlineStr">
        <is>
          <t>Blomkålssvamp
Blåmossa</t>
        </is>
      </c>
      <c r="S275">
        <f>HYPERLINK("https://klasma.github.io/Logging_0581/artfynd/A 30871-2025 artfynd.xlsx", "A 30871-2025")</f>
        <v/>
      </c>
      <c r="T275">
        <f>HYPERLINK("https://klasma.github.io/Logging_0581/kartor/A 30871-2025 karta.png", "A 30871-2025")</f>
        <v/>
      </c>
      <c r="V275">
        <f>HYPERLINK("https://klasma.github.io/Logging_0581/klagomål/A 30871-2025 FSC-klagomål.docx", "A 30871-2025")</f>
        <v/>
      </c>
      <c r="W275">
        <f>HYPERLINK("https://klasma.github.io/Logging_0581/klagomålsmail/A 30871-2025 FSC-klagomål mail.docx", "A 30871-2025")</f>
        <v/>
      </c>
      <c r="X275">
        <f>HYPERLINK("https://klasma.github.io/Logging_0581/tillsyn/A 30871-2025 tillsynsbegäran.docx", "A 30871-2025")</f>
        <v/>
      </c>
      <c r="Y275">
        <f>HYPERLINK("https://klasma.github.io/Logging_0581/tillsynsmail/A 30871-2025 tillsynsbegäran mail.docx", "A 30871-2025")</f>
        <v/>
      </c>
    </row>
    <row r="276" ht="15" customHeight="1">
      <c r="A276" t="inlineStr">
        <is>
          <t>A 19119-2021</t>
        </is>
      </c>
      <c r="B276" s="1" t="n">
        <v>44308</v>
      </c>
      <c r="C276" s="1" t="n">
        <v>46093</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46093</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46093</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46093</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46093</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46093</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46093</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46093</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46093</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31168-2022</t>
        </is>
      </c>
      <c r="B285" s="1" t="n">
        <v>44770</v>
      </c>
      <c r="C285" s="1" t="n">
        <v>46093</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67652-2021</t>
        </is>
      </c>
      <c r="B286" s="1" t="n">
        <v>44524</v>
      </c>
      <c r="C286" s="1" t="n">
        <v>46093</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18898-2022</t>
        </is>
      </c>
      <c r="B287" s="1" t="n">
        <v>44690</v>
      </c>
      <c r="C287" s="1" t="n">
        <v>46093</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46093</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46093</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46093</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46093</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46093</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46093</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46093</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46093</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46093</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46093</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46093</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46093</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33595-2025</t>
        </is>
      </c>
      <c r="B300" s="1" t="n">
        <v>45841.6012962963</v>
      </c>
      <c r="C300" s="1" t="n">
        <v>46093</v>
      </c>
      <c r="D300" t="inlineStr">
        <is>
          <t>ÖSTERGÖTLANDS LÄN</t>
        </is>
      </c>
      <c r="E300" t="inlineStr">
        <is>
          <t>KINDA</t>
        </is>
      </c>
      <c r="G300" t="n">
        <v>2.5</v>
      </c>
      <c r="H300" t="n">
        <v>1</v>
      </c>
      <c r="I300" t="n">
        <v>0</v>
      </c>
      <c r="J300" t="n">
        <v>0</v>
      </c>
      <c r="K300" t="n">
        <v>0</v>
      </c>
      <c r="L300" t="n">
        <v>0</v>
      </c>
      <c r="M300" t="n">
        <v>0</v>
      </c>
      <c r="N300" t="n">
        <v>0</v>
      </c>
      <c r="O300" t="n">
        <v>0</v>
      </c>
      <c r="P300" t="n">
        <v>0</v>
      </c>
      <c r="Q300" t="n">
        <v>1</v>
      </c>
      <c r="R300" s="2" t="inlineStr">
        <is>
          <t>Grönvit nattviol</t>
        </is>
      </c>
      <c r="S300">
        <f>HYPERLINK("https://klasma.github.io/Logging_0513/artfynd/A 33595-2025 artfynd.xlsx", "A 33595-2025")</f>
        <v/>
      </c>
      <c r="T300">
        <f>HYPERLINK("https://klasma.github.io/Logging_0513/kartor/A 33595-2025 karta.png", "A 33595-2025")</f>
        <v/>
      </c>
      <c r="V300">
        <f>HYPERLINK("https://klasma.github.io/Logging_0513/klagomål/A 33595-2025 FSC-klagomål.docx", "A 33595-2025")</f>
        <v/>
      </c>
      <c r="W300">
        <f>HYPERLINK("https://klasma.github.io/Logging_0513/klagomålsmail/A 33595-2025 FSC-klagomål mail.docx", "A 33595-2025")</f>
        <v/>
      </c>
      <c r="X300">
        <f>HYPERLINK("https://klasma.github.io/Logging_0513/tillsyn/A 33595-2025 tillsynsbegäran.docx", "A 33595-2025")</f>
        <v/>
      </c>
      <c r="Y300">
        <f>HYPERLINK("https://klasma.github.io/Logging_0513/tillsynsmail/A 33595-2025 tillsynsbegäran mail.docx", "A 33595-2025")</f>
        <v/>
      </c>
    </row>
    <row r="301" ht="15" customHeight="1">
      <c r="A301" t="inlineStr">
        <is>
          <t>A 8014-2022</t>
        </is>
      </c>
      <c r="B301" s="1" t="n">
        <v>44609</v>
      </c>
      <c r="C301" s="1" t="n">
        <v>46093</v>
      </c>
      <c r="D301" t="inlineStr">
        <is>
          <t>ÖSTERGÖTLANDS LÄN</t>
        </is>
      </c>
      <c r="E301" t="inlineStr">
        <is>
          <t>ÅTVIDABERG</t>
        </is>
      </c>
      <c r="G301" t="n">
        <v>0.9</v>
      </c>
      <c r="H301" t="n">
        <v>0</v>
      </c>
      <c r="I301" t="n">
        <v>0</v>
      </c>
      <c r="J301" t="n">
        <v>1</v>
      </c>
      <c r="K301" t="n">
        <v>0</v>
      </c>
      <c r="L301" t="n">
        <v>0</v>
      </c>
      <c r="M301" t="n">
        <v>0</v>
      </c>
      <c r="N301" t="n">
        <v>0</v>
      </c>
      <c r="O301" t="n">
        <v>1</v>
      </c>
      <c r="P301" t="n">
        <v>0</v>
      </c>
      <c r="Q301" t="n">
        <v>1</v>
      </c>
      <c r="R301" s="2" t="inlineStr">
        <is>
          <t>Tallticka</t>
        </is>
      </c>
      <c r="S301">
        <f>HYPERLINK("https://klasma.github.io/Logging_0561/artfynd/A 8014-2022 artfynd.xlsx", "A 8014-2022")</f>
        <v/>
      </c>
      <c r="T301">
        <f>HYPERLINK("https://klasma.github.io/Logging_0561/kartor/A 8014-2022 karta.png", "A 8014-2022")</f>
        <v/>
      </c>
      <c r="V301">
        <f>HYPERLINK("https://klasma.github.io/Logging_0561/klagomål/A 8014-2022 FSC-klagomål.docx", "A 8014-2022")</f>
        <v/>
      </c>
      <c r="W301">
        <f>HYPERLINK("https://klasma.github.io/Logging_0561/klagomålsmail/A 8014-2022 FSC-klagomål mail.docx", "A 8014-2022")</f>
        <v/>
      </c>
      <c r="X301">
        <f>HYPERLINK("https://klasma.github.io/Logging_0561/tillsyn/A 8014-2022 tillsynsbegäran.docx", "A 8014-2022")</f>
        <v/>
      </c>
      <c r="Y301">
        <f>HYPERLINK("https://klasma.github.io/Logging_0561/tillsynsmail/A 8014-2022 tillsynsbegäran mail.docx", "A 8014-2022")</f>
        <v/>
      </c>
    </row>
    <row r="302" ht="15" customHeight="1">
      <c r="A302" t="inlineStr">
        <is>
          <t>A 71127-2021</t>
        </is>
      </c>
      <c r="B302" s="1" t="n">
        <v>44537</v>
      </c>
      <c r="C302" s="1" t="n">
        <v>46093</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59418-2022</t>
        </is>
      </c>
      <c r="B303" s="1" t="n">
        <v>44907</v>
      </c>
      <c r="C303" s="1" t="n">
        <v>46093</v>
      </c>
      <c r="D303" t="inlineStr">
        <is>
          <t>ÖSTERGÖTLANDS LÄN</t>
        </is>
      </c>
      <c r="E303" t="inlineStr">
        <is>
          <t>BOXHOLM</t>
        </is>
      </c>
      <c r="F303" t="inlineStr">
        <is>
          <t>Övriga Aktiebolag</t>
        </is>
      </c>
      <c r="G303" t="n">
        <v>6.5</v>
      </c>
      <c r="H303" t="n">
        <v>0</v>
      </c>
      <c r="I303" t="n">
        <v>0</v>
      </c>
      <c r="J303" t="n">
        <v>0</v>
      </c>
      <c r="K303" t="n">
        <v>0</v>
      </c>
      <c r="L303" t="n">
        <v>0</v>
      </c>
      <c r="M303" t="n">
        <v>1</v>
      </c>
      <c r="N303" t="n">
        <v>0</v>
      </c>
      <c r="O303" t="n">
        <v>1</v>
      </c>
      <c r="P303" t="n">
        <v>1</v>
      </c>
      <c r="Q303" t="n">
        <v>1</v>
      </c>
      <c r="R303" s="2" t="inlineStr">
        <is>
          <t>Skogsalm</t>
        </is>
      </c>
      <c r="S303">
        <f>HYPERLINK("https://klasma.github.io/Logging_0560/artfynd/A 59418-2022 artfynd.xlsx", "A 59418-2022")</f>
        <v/>
      </c>
      <c r="T303">
        <f>HYPERLINK("https://klasma.github.io/Logging_0560/kartor/A 59418-2022 karta.png", "A 59418-2022")</f>
        <v/>
      </c>
      <c r="V303">
        <f>HYPERLINK("https://klasma.github.io/Logging_0560/klagomål/A 59418-2022 FSC-klagomål.docx", "A 59418-2022")</f>
        <v/>
      </c>
      <c r="W303">
        <f>HYPERLINK("https://klasma.github.io/Logging_0560/klagomålsmail/A 59418-2022 FSC-klagomål mail.docx", "A 59418-2022")</f>
        <v/>
      </c>
      <c r="X303">
        <f>HYPERLINK("https://klasma.github.io/Logging_0560/tillsyn/A 59418-2022 tillsynsbegäran.docx", "A 59418-2022")</f>
        <v/>
      </c>
      <c r="Y303">
        <f>HYPERLINK("https://klasma.github.io/Logging_0560/tillsynsmail/A 59418-2022 tillsynsbegäran mail.docx", "A 59418-2022")</f>
        <v/>
      </c>
    </row>
    <row r="304" ht="15" customHeight="1">
      <c r="A304" t="inlineStr">
        <is>
          <t>A 40100-2021</t>
        </is>
      </c>
      <c r="B304" s="1" t="n">
        <v>44418</v>
      </c>
      <c r="C304" s="1" t="n">
        <v>46093</v>
      </c>
      <c r="D304" t="inlineStr">
        <is>
          <t>ÖSTERGÖTLANDS LÄN</t>
        </is>
      </c>
      <c r="E304" t="inlineStr">
        <is>
          <t>KINDA</t>
        </is>
      </c>
      <c r="G304" t="n">
        <v>0.6</v>
      </c>
      <c r="H304" t="n">
        <v>0</v>
      </c>
      <c r="I304" t="n">
        <v>1</v>
      </c>
      <c r="J304" t="n">
        <v>0</v>
      </c>
      <c r="K304" t="n">
        <v>0</v>
      </c>
      <c r="L304" t="n">
        <v>0</v>
      </c>
      <c r="M304" t="n">
        <v>0</v>
      </c>
      <c r="N304" t="n">
        <v>0</v>
      </c>
      <c r="O304" t="n">
        <v>0</v>
      </c>
      <c r="P304" t="n">
        <v>0</v>
      </c>
      <c r="Q304" t="n">
        <v>1</v>
      </c>
      <c r="R304" s="2" t="inlineStr">
        <is>
          <t>Grönpyrola</t>
        </is>
      </c>
      <c r="S304">
        <f>HYPERLINK("https://klasma.github.io/Logging_0513/artfynd/A 40100-2021 artfynd.xlsx", "A 40100-2021")</f>
        <v/>
      </c>
      <c r="T304">
        <f>HYPERLINK("https://klasma.github.io/Logging_0513/kartor/A 40100-2021 karta.png", "A 40100-2021")</f>
        <v/>
      </c>
      <c r="V304">
        <f>HYPERLINK("https://klasma.github.io/Logging_0513/klagomål/A 40100-2021 FSC-klagomål.docx", "A 40100-2021")</f>
        <v/>
      </c>
      <c r="W304">
        <f>HYPERLINK("https://klasma.github.io/Logging_0513/klagomålsmail/A 40100-2021 FSC-klagomål mail.docx", "A 40100-2021")</f>
        <v/>
      </c>
      <c r="X304">
        <f>HYPERLINK("https://klasma.github.io/Logging_0513/tillsyn/A 40100-2021 tillsynsbegäran.docx", "A 40100-2021")</f>
        <v/>
      </c>
      <c r="Y304">
        <f>HYPERLINK("https://klasma.github.io/Logging_0513/tillsynsmail/A 40100-2021 tillsynsbegäran mail.docx", "A 40100-2021")</f>
        <v/>
      </c>
    </row>
    <row r="305" ht="15" customHeight="1">
      <c r="A305" t="inlineStr">
        <is>
          <t>A 46496-2022</t>
        </is>
      </c>
      <c r="B305" s="1" t="n">
        <v>44848</v>
      </c>
      <c r="C305" s="1" t="n">
        <v>46093</v>
      </c>
      <c r="D305" t="inlineStr">
        <is>
          <t>ÖSTERGÖTLANDS LÄN</t>
        </is>
      </c>
      <c r="E305" t="inlineStr">
        <is>
          <t>LINKÖPING</t>
        </is>
      </c>
      <c r="G305" t="n">
        <v>1.1</v>
      </c>
      <c r="H305" t="n">
        <v>0</v>
      </c>
      <c r="I305" t="n">
        <v>0</v>
      </c>
      <c r="J305" t="n">
        <v>1</v>
      </c>
      <c r="K305" t="n">
        <v>0</v>
      </c>
      <c r="L305" t="n">
        <v>0</v>
      </c>
      <c r="M305" t="n">
        <v>0</v>
      </c>
      <c r="N305" t="n">
        <v>0</v>
      </c>
      <c r="O305" t="n">
        <v>1</v>
      </c>
      <c r="P305" t="n">
        <v>0</v>
      </c>
      <c r="Q305" t="n">
        <v>1</v>
      </c>
      <c r="R305" s="2" t="inlineStr">
        <is>
          <t>Bredbrämad bastardsvärmare</t>
        </is>
      </c>
      <c r="S305">
        <f>HYPERLINK("https://klasma.github.io/Logging_0580/artfynd/A 46496-2022 artfynd.xlsx", "A 46496-2022")</f>
        <v/>
      </c>
      <c r="T305">
        <f>HYPERLINK("https://klasma.github.io/Logging_0580/kartor/A 46496-2022 karta.png", "A 46496-2022")</f>
        <v/>
      </c>
      <c r="V305">
        <f>HYPERLINK("https://klasma.github.io/Logging_0580/klagomål/A 46496-2022 FSC-klagomål.docx", "A 46496-2022")</f>
        <v/>
      </c>
      <c r="W305">
        <f>HYPERLINK("https://klasma.github.io/Logging_0580/klagomålsmail/A 46496-2022 FSC-klagomål mail.docx", "A 46496-2022")</f>
        <v/>
      </c>
      <c r="X305">
        <f>HYPERLINK("https://klasma.github.io/Logging_0580/tillsyn/A 46496-2022 tillsynsbegäran.docx", "A 46496-2022")</f>
        <v/>
      </c>
      <c r="Y305">
        <f>HYPERLINK("https://klasma.github.io/Logging_0580/tillsynsmail/A 46496-2022 tillsynsbegäran mail.docx", "A 46496-2022")</f>
        <v/>
      </c>
    </row>
    <row r="306" ht="15" customHeight="1">
      <c r="A306" t="inlineStr">
        <is>
          <t>A 11142-2025</t>
        </is>
      </c>
      <c r="B306" s="1" t="n">
        <v>45723.66964120371</v>
      </c>
      <c r="C306" s="1" t="n">
        <v>46093</v>
      </c>
      <c r="D306" t="inlineStr">
        <is>
          <t>ÖSTERGÖTLANDS LÄN</t>
        </is>
      </c>
      <c r="E306" t="inlineStr">
        <is>
          <t>NORRKÖPING</t>
        </is>
      </c>
      <c r="G306" t="n">
        <v>2.7</v>
      </c>
      <c r="H306" t="n">
        <v>0</v>
      </c>
      <c r="I306" t="n">
        <v>0</v>
      </c>
      <c r="J306" t="n">
        <v>1</v>
      </c>
      <c r="K306" t="n">
        <v>0</v>
      </c>
      <c r="L306" t="n">
        <v>0</v>
      </c>
      <c r="M306" t="n">
        <v>0</v>
      </c>
      <c r="N306" t="n">
        <v>0</v>
      </c>
      <c r="O306" t="n">
        <v>1</v>
      </c>
      <c r="P306" t="n">
        <v>0</v>
      </c>
      <c r="Q306" t="n">
        <v>1</v>
      </c>
      <c r="R306" s="2" t="inlineStr">
        <is>
          <t>Slåtterfibbla</t>
        </is>
      </c>
      <c r="S306">
        <f>HYPERLINK("https://klasma.github.io/Logging_0581/artfynd/A 11142-2025 artfynd.xlsx", "A 11142-2025")</f>
        <v/>
      </c>
      <c r="T306">
        <f>HYPERLINK("https://klasma.github.io/Logging_0581/kartor/A 11142-2025 karta.png", "A 11142-2025")</f>
        <v/>
      </c>
      <c r="V306">
        <f>HYPERLINK("https://klasma.github.io/Logging_0581/klagomål/A 11142-2025 FSC-klagomål.docx", "A 11142-2025")</f>
        <v/>
      </c>
      <c r="W306">
        <f>HYPERLINK("https://klasma.github.io/Logging_0581/klagomålsmail/A 11142-2025 FSC-klagomål mail.docx", "A 11142-2025")</f>
        <v/>
      </c>
      <c r="X306">
        <f>HYPERLINK("https://klasma.github.io/Logging_0581/tillsyn/A 11142-2025 tillsynsbegäran.docx", "A 11142-2025")</f>
        <v/>
      </c>
      <c r="Y306">
        <f>HYPERLINK("https://klasma.github.io/Logging_0581/tillsynsmail/A 11142-2025 tillsynsbegäran mail.docx", "A 11142-2025")</f>
        <v/>
      </c>
    </row>
    <row r="307" ht="15" customHeight="1">
      <c r="A307" t="inlineStr">
        <is>
          <t>A 16610-2024</t>
        </is>
      </c>
      <c r="B307" s="1" t="n">
        <v>45408</v>
      </c>
      <c r="C307" s="1" t="n">
        <v>46093</v>
      </c>
      <c r="D307" t="inlineStr">
        <is>
          <t>ÖSTERGÖTLANDS LÄN</t>
        </is>
      </c>
      <c r="E307" t="inlineStr">
        <is>
          <t>NORRKÖPING</t>
        </is>
      </c>
      <c r="G307" t="n">
        <v>5.8</v>
      </c>
      <c r="H307" t="n">
        <v>1</v>
      </c>
      <c r="I307" t="n">
        <v>0</v>
      </c>
      <c r="J307" t="n">
        <v>0</v>
      </c>
      <c r="K307" t="n">
        <v>1</v>
      </c>
      <c r="L307" t="n">
        <v>0</v>
      </c>
      <c r="M307" t="n">
        <v>0</v>
      </c>
      <c r="N307" t="n">
        <v>0</v>
      </c>
      <c r="O307" t="n">
        <v>1</v>
      </c>
      <c r="P307" t="n">
        <v>1</v>
      </c>
      <c r="Q307" t="n">
        <v>1</v>
      </c>
      <c r="R307" s="2" t="inlineStr">
        <is>
          <t>Knärot</t>
        </is>
      </c>
      <c r="S307">
        <f>HYPERLINK("https://klasma.github.io/Logging_0581/artfynd/A 16610-2024 artfynd.xlsx", "A 16610-2024")</f>
        <v/>
      </c>
      <c r="T307">
        <f>HYPERLINK("https://klasma.github.io/Logging_0581/kartor/A 16610-2024 karta.png", "A 16610-2024")</f>
        <v/>
      </c>
      <c r="U307">
        <f>HYPERLINK("https://klasma.github.io/Logging_0581/knärot/A 16610-2024 karta knärot.png", "A 16610-2024")</f>
        <v/>
      </c>
      <c r="V307">
        <f>HYPERLINK("https://klasma.github.io/Logging_0581/klagomål/A 16610-2024 FSC-klagomål.docx", "A 16610-2024")</f>
        <v/>
      </c>
      <c r="W307">
        <f>HYPERLINK("https://klasma.github.io/Logging_0581/klagomålsmail/A 16610-2024 FSC-klagomål mail.docx", "A 16610-2024")</f>
        <v/>
      </c>
      <c r="X307">
        <f>HYPERLINK("https://klasma.github.io/Logging_0581/tillsyn/A 16610-2024 tillsynsbegäran.docx", "A 16610-2024")</f>
        <v/>
      </c>
      <c r="Y307">
        <f>HYPERLINK("https://klasma.github.io/Logging_0581/tillsynsmail/A 16610-2024 tillsynsbegäran mail.docx", "A 16610-2024")</f>
        <v/>
      </c>
    </row>
    <row r="308" ht="15" customHeight="1">
      <c r="A308" t="inlineStr">
        <is>
          <t>A 4087-2025</t>
        </is>
      </c>
      <c r="B308" s="1" t="n">
        <v>45684.6628587963</v>
      </c>
      <c r="C308" s="1" t="n">
        <v>46093</v>
      </c>
      <c r="D308" t="inlineStr">
        <is>
          <t>ÖSTERGÖTLANDS LÄN</t>
        </is>
      </c>
      <c r="E308" t="inlineStr">
        <is>
          <t>FINSPÅNG</t>
        </is>
      </c>
      <c r="F308" t="inlineStr">
        <is>
          <t>Holmen skog AB</t>
        </is>
      </c>
      <c r="G308" t="n">
        <v>15.7</v>
      </c>
      <c r="H308" t="n">
        <v>0</v>
      </c>
      <c r="I308" t="n">
        <v>0</v>
      </c>
      <c r="J308" t="n">
        <v>1</v>
      </c>
      <c r="K308" t="n">
        <v>0</v>
      </c>
      <c r="L308" t="n">
        <v>0</v>
      </c>
      <c r="M308" t="n">
        <v>0</v>
      </c>
      <c r="N308" t="n">
        <v>0</v>
      </c>
      <c r="O308" t="n">
        <v>1</v>
      </c>
      <c r="P308" t="n">
        <v>0</v>
      </c>
      <c r="Q308" t="n">
        <v>1</v>
      </c>
      <c r="R308" s="2" t="inlineStr">
        <is>
          <t>Gullklöver</t>
        </is>
      </c>
      <c r="S308">
        <f>HYPERLINK("https://klasma.github.io/Logging_0562/artfynd/A 4087-2025 artfynd.xlsx", "A 4087-2025")</f>
        <v/>
      </c>
      <c r="T308">
        <f>HYPERLINK("https://klasma.github.io/Logging_0562/kartor/A 4087-2025 karta.png", "A 4087-2025")</f>
        <v/>
      </c>
      <c r="V308">
        <f>HYPERLINK("https://klasma.github.io/Logging_0562/klagomål/A 4087-2025 FSC-klagomål.docx", "A 4087-2025")</f>
        <v/>
      </c>
      <c r="W308">
        <f>HYPERLINK("https://klasma.github.io/Logging_0562/klagomålsmail/A 4087-2025 FSC-klagomål mail.docx", "A 4087-2025")</f>
        <v/>
      </c>
      <c r="X308">
        <f>HYPERLINK("https://klasma.github.io/Logging_0562/tillsyn/A 4087-2025 tillsynsbegäran.docx", "A 4087-2025")</f>
        <v/>
      </c>
      <c r="Y308">
        <f>HYPERLINK("https://klasma.github.io/Logging_0562/tillsynsmail/A 4087-2025 tillsynsbegäran mail.docx", "A 4087-2025")</f>
        <v/>
      </c>
    </row>
    <row r="309" ht="15" customHeight="1">
      <c r="A309" t="inlineStr">
        <is>
          <t>A 4149-2024</t>
        </is>
      </c>
      <c r="B309" s="1" t="n">
        <v>45323.8091087963</v>
      </c>
      <c r="C309" s="1" t="n">
        <v>46093</v>
      </c>
      <c r="D309" t="inlineStr">
        <is>
          <t>ÖSTERGÖTLANDS LÄN</t>
        </is>
      </c>
      <c r="E309" t="inlineStr">
        <is>
          <t>ÅTVIDABERG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HYPERLINK("https://klasma.github.io/Logging_0561/artfynd/A 4149-2024 artfynd.xlsx", "A 4149-2024")</f>
        <v/>
      </c>
      <c r="T309">
        <f>HYPERLINK("https://klasma.github.io/Logging_0561/kartor/A 4149-2024 karta.png", "A 4149-2024")</f>
        <v/>
      </c>
      <c r="U309">
        <f>HYPERLINK("https://klasma.github.io/Logging_0561/knärot/A 4149-2024 karta knärot.png", "A 4149-2024")</f>
        <v/>
      </c>
      <c r="V309">
        <f>HYPERLINK("https://klasma.github.io/Logging_0561/klagomål/A 4149-2024 FSC-klagomål.docx", "A 4149-2024")</f>
        <v/>
      </c>
      <c r="W309">
        <f>HYPERLINK("https://klasma.github.io/Logging_0561/klagomålsmail/A 4149-2024 FSC-klagomål mail.docx", "A 4149-2024")</f>
        <v/>
      </c>
      <c r="X309">
        <f>HYPERLINK("https://klasma.github.io/Logging_0561/tillsyn/A 4149-2024 tillsynsbegäran.docx", "A 4149-2024")</f>
        <v/>
      </c>
      <c r="Y309">
        <f>HYPERLINK("https://klasma.github.io/Logging_0561/tillsynsmail/A 4149-2024 tillsynsbegäran mail.docx", "A 4149-2024")</f>
        <v/>
      </c>
    </row>
    <row r="310" ht="15" customHeight="1">
      <c r="A310" t="inlineStr">
        <is>
          <t>A 4006-2024</t>
        </is>
      </c>
      <c r="B310" s="1" t="n">
        <v>45323</v>
      </c>
      <c r="C310" s="1" t="n">
        <v>46093</v>
      </c>
      <c r="D310" t="inlineStr">
        <is>
          <t>ÖSTERGÖTLANDS LÄN</t>
        </is>
      </c>
      <c r="E310" t="inlineStr">
        <is>
          <t>ÅTVIDABERG</t>
        </is>
      </c>
      <c r="G310" t="n">
        <v>1.8</v>
      </c>
      <c r="H310" t="n">
        <v>0</v>
      </c>
      <c r="I310" t="n">
        <v>1</v>
      </c>
      <c r="J310" t="n">
        <v>0</v>
      </c>
      <c r="K310" t="n">
        <v>0</v>
      </c>
      <c r="L310" t="n">
        <v>0</v>
      </c>
      <c r="M310" t="n">
        <v>0</v>
      </c>
      <c r="N310" t="n">
        <v>0</v>
      </c>
      <c r="O310" t="n">
        <v>0</v>
      </c>
      <c r="P310" t="n">
        <v>0</v>
      </c>
      <c r="Q310" t="n">
        <v>1</v>
      </c>
      <c r="R310" s="2" t="inlineStr">
        <is>
          <t>Gulfotsskölding</t>
        </is>
      </c>
      <c r="S310">
        <f>HYPERLINK("https://klasma.github.io/Logging_0561/artfynd/A 4006-2024 artfynd.xlsx", "A 4006-2024")</f>
        <v/>
      </c>
      <c r="T310">
        <f>HYPERLINK("https://klasma.github.io/Logging_0561/kartor/A 4006-2024 karta.png", "A 4006-2024")</f>
        <v/>
      </c>
      <c r="V310">
        <f>HYPERLINK("https://klasma.github.io/Logging_0561/klagomål/A 4006-2024 FSC-klagomål.docx", "A 4006-2024")</f>
        <v/>
      </c>
      <c r="W310">
        <f>HYPERLINK("https://klasma.github.io/Logging_0561/klagomålsmail/A 4006-2024 FSC-klagomål mail.docx", "A 4006-2024")</f>
        <v/>
      </c>
      <c r="X310">
        <f>HYPERLINK("https://klasma.github.io/Logging_0561/tillsyn/A 4006-2024 tillsynsbegäran.docx", "A 4006-2024")</f>
        <v/>
      </c>
      <c r="Y310">
        <f>HYPERLINK("https://klasma.github.io/Logging_0561/tillsynsmail/A 4006-2024 tillsynsbegäran mail.docx", "A 4006-2024")</f>
        <v/>
      </c>
    </row>
    <row r="311" ht="15" customHeight="1">
      <c r="A311" t="inlineStr">
        <is>
          <t>A 11118-2025</t>
        </is>
      </c>
      <c r="B311" s="1" t="n">
        <v>45723.63261574074</v>
      </c>
      <c r="C311" s="1" t="n">
        <v>46093</v>
      </c>
      <c r="D311" t="inlineStr">
        <is>
          <t>ÖSTERGÖTLANDS LÄN</t>
        </is>
      </c>
      <c r="E311" t="inlineStr">
        <is>
          <t>FINSPÅNG</t>
        </is>
      </c>
      <c r="F311" t="inlineStr">
        <is>
          <t>Holmen skog AB</t>
        </is>
      </c>
      <c r="G311" t="n">
        <v>7.9</v>
      </c>
      <c r="H311" t="n">
        <v>0</v>
      </c>
      <c r="I311" t="n">
        <v>0</v>
      </c>
      <c r="J311" t="n">
        <v>1</v>
      </c>
      <c r="K311" t="n">
        <v>0</v>
      </c>
      <c r="L311" t="n">
        <v>0</v>
      </c>
      <c r="M311" t="n">
        <v>0</v>
      </c>
      <c r="N311" t="n">
        <v>0</v>
      </c>
      <c r="O311" t="n">
        <v>1</v>
      </c>
      <c r="P311" t="n">
        <v>0</v>
      </c>
      <c r="Q311" t="n">
        <v>1</v>
      </c>
      <c r="R311" s="2" t="inlineStr">
        <is>
          <t>Guldsandbi</t>
        </is>
      </c>
      <c r="S311">
        <f>HYPERLINK("https://klasma.github.io/Logging_0562/artfynd/A 11118-2025 artfynd.xlsx", "A 11118-2025")</f>
        <v/>
      </c>
      <c r="T311">
        <f>HYPERLINK("https://klasma.github.io/Logging_0562/kartor/A 11118-2025 karta.png", "A 11118-2025")</f>
        <v/>
      </c>
      <c r="V311">
        <f>HYPERLINK("https://klasma.github.io/Logging_0562/klagomål/A 11118-2025 FSC-klagomål.docx", "A 11118-2025")</f>
        <v/>
      </c>
      <c r="W311">
        <f>HYPERLINK("https://klasma.github.io/Logging_0562/klagomålsmail/A 11118-2025 FSC-klagomål mail.docx", "A 11118-2025")</f>
        <v/>
      </c>
      <c r="X311">
        <f>HYPERLINK("https://klasma.github.io/Logging_0562/tillsyn/A 11118-2025 tillsynsbegäran.docx", "A 11118-2025")</f>
        <v/>
      </c>
      <c r="Y311">
        <f>HYPERLINK("https://klasma.github.io/Logging_0562/tillsynsmail/A 11118-2025 tillsynsbegäran mail.docx", "A 11118-2025")</f>
        <v/>
      </c>
    </row>
    <row r="312" ht="15" customHeight="1">
      <c r="A312" t="inlineStr">
        <is>
          <t>A 18990-2021</t>
        </is>
      </c>
      <c r="B312" s="1" t="n">
        <v>44308.47594907408</v>
      </c>
      <c r="C312" s="1" t="n">
        <v>46093</v>
      </c>
      <c r="D312" t="inlineStr">
        <is>
          <t>ÖSTERGÖTLANDS LÄN</t>
        </is>
      </c>
      <c r="E312" t="inlineStr">
        <is>
          <t>ÖDESHÖG</t>
        </is>
      </c>
      <c r="G312" t="n">
        <v>2.6</v>
      </c>
      <c r="H312" t="n">
        <v>0</v>
      </c>
      <c r="I312" t="n">
        <v>1</v>
      </c>
      <c r="J312" t="n">
        <v>0</v>
      </c>
      <c r="K312" t="n">
        <v>0</v>
      </c>
      <c r="L312" t="n">
        <v>0</v>
      </c>
      <c r="M312" t="n">
        <v>0</v>
      </c>
      <c r="N312" t="n">
        <v>0</v>
      </c>
      <c r="O312" t="n">
        <v>0</v>
      </c>
      <c r="P312" t="n">
        <v>0</v>
      </c>
      <c r="Q312" t="n">
        <v>1</v>
      </c>
      <c r="R312" s="2" t="inlineStr">
        <is>
          <t>Murgröna</t>
        </is>
      </c>
      <c r="S312">
        <f>HYPERLINK("https://klasma.github.io/Logging_0509/artfynd/A 18990-2021 artfynd.xlsx", "A 18990-2021")</f>
        <v/>
      </c>
      <c r="T312">
        <f>HYPERLINK("https://klasma.github.io/Logging_0509/kartor/A 18990-2021 karta.png", "A 18990-2021")</f>
        <v/>
      </c>
      <c r="V312">
        <f>HYPERLINK("https://klasma.github.io/Logging_0509/klagomål/A 18990-2021 FSC-klagomål.docx", "A 18990-2021")</f>
        <v/>
      </c>
      <c r="W312">
        <f>HYPERLINK("https://klasma.github.io/Logging_0509/klagomålsmail/A 18990-2021 FSC-klagomål mail.docx", "A 18990-2021")</f>
        <v/>
      </c>
      <c r="X312">
        <f>HYPERLINK("https://klasma.github.io/Logging_0509/tillsyn/A 18990-2021 tillsynsbegäran.docx", "A 18990-2021")</f>
        <v/>
      </c>
      <c r="Y312">
        <f>HYPERLINK("https://klasma.github.io/Logging_0509/tillsynsmail/A 18990-2021 tillsynsbegäran mail.docx", "A 18990-2021")</f>
        <v/>
      </c>
    </row>
    <row r="313" ht="15" customHeight="1">
      <c r="A313" t="inlineStr">
        <is>
          <t>A 28953-2021</t>
        </is>
      </c>
      <c r="B313" s="1" t="n">
        <v>44358</v>
      </c>
      <c r="C313" s="1" t="n">
        <v>46093</v>
      </c>
      <c r="D313" t="inlineStr">
        <is>
          <t>ÖSTERGÖTLANDS LÄN</t>
        </is>
      </c>
      <c r="E313" t="inlineStr">
        <is>
          <t>YDRE</t>
        </is>
      </c>
      <c r="G313" t="n">
        <v>2.2</v>
      </c>
      <c r="H313" t="n">
        <v>1</v>
      </c>
      <c r="I313" t="n">
        <v>0</v>
      </c>
      <c r="J313" t="n">
        <v>0</v>
      </c>
      <c r="K313" t="n">
        <v>0</v>
      </c>
      <c r="L313" t="n">
        <v>0</v>
      </c>
      <c r="M313" t="n">
        <v>0</v>
      </c>
      <c r="N313" t="n">
        <v>0</v>
      </c>
      <c r="O313" t="n">
        <v>0</v>
      </c>
      <c r="P313" t="n">
        <v>0</v>
      </c>
      <c r="Q313" t="n">
        <v>1</v>
      </c>
      <c r="R313" s="2" t="inlineStr">
        <is>
          <t>Hårklomossa</t>
        </is>
      </c>
      <c r="S313">
        <f>HYPERLINK("https://klasma.github.io/Logging_0512/artfynd/A 28953-2021 artfynd.xlsx", "A 28953-2021")</f>
        <v/>
      </c>
      <c r="T313">
        <f>HYPERLINK("https://klasma.github.io/Logging_0512/kartor/A 28953-2021 karta.png", "A 28953-2021")</f>
        <v/>
      </c>
      <c r="V313">
        <f>HYPERLINK("https://klasma.github.io/Logging_0512/klagomål/A 28953-2021 FSC-klagomål.docx", "A 28953-2021")</f>
        <v/>
      </c>
      <c r="W313">
        <f>HYPERLINK("https://klasma.github.io/Logging_0512/klagomålsmail/A 28953-2021 FSC-klagomål mail.docx", "A 28953-2021")</f>
        <v/>
      </c>
      <c r="X313">
        <f>HYPERLINK("https://klasma.github.io/Logging_0512/tillsyn/A 28953-2021 tillsynsbegäran.docx", "A 28953-2021")</f>
        <v/>
      </c>
      <c r="Y313">
        <f>HYPERLINK("https://klasma.github.io/Logging_0512/tillsynsmail/A 28953-2021 tillsynsbegäran mail.docx", "A 28953-2021")</f>
        <v/>
      </c>
    </row>
    <row r="314" ht="15" customHeight="1">
      <c r="A314" t="inlineStr">
        <is>
          <t>A 55615-2022</t>
        </is>
      </c>
      <c r="B314" s="1" t="n">
        <v>44888.44524305555</v>
      </c>
      <c r="C314" s="1" t="n">
        <v>46093</v>
      </c>
      <c r="D314" t="inlineStr">
        <is>
          <t>ÖSTERGÖTLANDS LÄN</t>
        </is>
      </c>
      <c r="E314" t="inlineStr">
        <is>
          <t>YDRE</t>
        </is>
      </c>
      <c r="F314" t="inlineStr">
        <is>
          <t>Sveaskog</t>
        </is>
      </c>
      <c r="G314" t="n">
        <v>2.6</v>
      </c>
      <c r="H314" t="n">
        <v>0</v>
      </c>
      <c r="I314" t="n">
        <v>1</v>
      </c>
      <c r="J314" t="n">
        <v>0</v>
      </c>
      <c r="K314" t="n">
        <v>0</v>
      </c>
      <c r="L314" t="n">
        <v>0</v>
      </c>
      <c r="M314" t="n">
        <v>0</v>
      </c>
      <c r="N314" t="n">
        <v>0</v>
      </c>
      <c r="O314" t="n">
        <v>0</v>
      </c>
      <c r="P314" t="n">
        <v>0</v>
      </c>
      <c r="Q314" t="n">
        <v>1</v>
      </c>
      <c r="R314" s="2" t="inlineStr">
        <is>
          <t>Tibast</t>
        </is>
      </c>
      <c r="S314">
        <f>HYPERLINK("https://klasma.github.io/Logging_0512/artfynd/A 55615-2022 artfynd.xlsx", "A 55615-2022")</f>
        <v/>
      </c>
      <c r="T314">
        <f>HYPERLINK("https://klasma.github.io/Logging_0512/kartor/A 55615-2022 karta.png", "A 55615-2022")</f>
        <v/>
      </c>
      <c r="V314">
        <f>HYPERLINK("https://klasma.github.io/Logging_0512/klagomål/A 55615-2022 FSC-klagomål.docx", "A 55615-2022")</f>
        <v/>
      </c>
      <c r="W314">
        <f>HYPERLINK("https://klasma.github.io/Logging_0512/klagomålsmail/A 55615-2022 FSC-klagomål mail.docx", "A 55615-2022")</f>
        <v/>
      </c>
      <c r="X314">
        <f>HYPERLINK("https://klasma.github.io/Logging_0512/tillsyn/A 55615-2022 tillsynsbegäran.docx", "A 55615-2022")</f>
        <v/>
      </c>
      <c r="Y314">
        <f>HYPERLINK("https://klasma.github.io/Logging_0512/tillsynsmail/A 55615-2022 tillsynsbegäran mail.docx", "A 55615-2022")</f>
        <v/>
      </c>
    </row>
    <row r="315" ht="15" customHeight="1">
      <c r="A315" t="inlineStr">
        <is>
          <t>A 56250-2021</t>
        </is>
      </c>
      <c r="B315" s="1" t="n">
        <v>44479</v>
      </c>
      <c r="C315" s="1" t="n">
        <v>46093</v>
      </c>
      <c r="D315" t="inlineStr">
        <is>
          <t>ÖSTERGÖTLANDS LÄN</t>
        </is>
      </c>
      <c r="E315" t="inlineStr">
        <is>
          <t>LINKÖPING</t>
        </is>
      </c>
      <c r="F315" t="inlineStr">
        <is>
          <t>Övriga Aktiebolag</t>
        </is>
      </c>
      <c r="G315" t="n">
        <v>3.2</v>
      </c>
      <c r="H315" t="n">
        <v>0</v>
      </c>
      <c r="I315" t="n">
        <v>1</v>
      </c>
      <c r="J315" t="n">
        <v>0</v>
      </c>
      <c r="K315" t="n">
        <v>0</v>
      </c>
      <c r="L315" t="n">
        <v>0</v>
      </c>
      <c r="M315" t="n">
        <v>0</v>
      </c>
      <c r="N315" t="n">
        <v>0</v>
      </c>
      <c r="O315" t="n">
        <v>0</v>
      </c>
      <c r="P315" t="n">
        <v>0</v>
      </c>
      <c r="Q315" t="n">
        <v>1</v>
      </c>
      <c r="R315" s="2" t="inlineStr">
        <is>
          <t>Strutbräken</t>
        </is>
      </c>
      <c r="S315">
        <f>HYPERLINK("https://klasma.github.io/Logging_0580/artfynd/A 56250-2021 artfynd.xlsx", "A 56250-2021")</f>
        <v/>
      </c>
      <c r="T315">
        <f>HYPERLINK("https://klasma.github.io/Logging_0580/kartor/A 56250-2021 karta.png", "A 56250-2021")</f>
        <v/>
      </c>
      <c r="V315">
        <f>HYPERLINK("https://klasma.github.io/Logging_0580/klagomål/A 56250-2021 FSC-klagomål.docx", "A 56250-2021")</f>
        <v/>
      </c>
      <c r="W315">
        <f>HYPERLINK("https://klasma.github.io/Logging_0580/klagomålsmail/A 56250-2021 FSC-klagomål mail.docx", "A 56250-2021")</f>
        <v/>
      </c>
      <c r="X315">
        <f>HYPERLINK("https://klasma.github.io/Logging_0580/tillsyn/A 56250-2021 tillsynsbegäran.docx", "A 56250-2021")</f>
        <v/>
      </c>
      <c r="Y315">
        <f>HYPERLINK("https://klasma.github.io/Logging_0580/tillsynsmail/A 56250-2021 tillsynsbegäran mail.docx", "A 56250-2021")</f>
        <v/>
      </c>
    </row>
    <row r="316" ht="15" customHeight="1">
      <c r="A316" t="inlineStr">
        <is>
          <t>A 56238-2021</t>
        </is>
      </c>
      <c r="B316" s="1" t="n">
        <v>44478</v>
      </c>
      <c r="C316" s="1" t="n">
        <v>46093</v>
      </c>
      <c r="D316" t="inlineStr">
        <is>
          <t>ÖSTERGÖTLANDS LÄN</t>
        </is>
      </c>
      <c r="E316" t="inlineStr">
        <is>
          <t>ÅTVIDABERG</t>
        </is>
      </c>
      <c r="F316" t="inlineStr">
        <is>
          <t>Övriga Aktiebolag</t>
        </is>
      </c>
      <c r="G316" t="n">
        <v>0.7</v>
      </c>
      <c r="H316" t="n">
        <v>0</v>
      </c>
      <c r="I316" t="n">
        <v>1</v>
      </c>
      <c r="J316" t="n">
        <v>0</v>
      </c>
      <c r="K316" t="n">
        <v>0</v>
      </c>
      <c r="L316" t="n">
        <v>0</v>
      </c>
      <c r="M316" t="n">
        <v>0</v>
      </c>
      <c r="N316" t="n">
        <v>0</v>
      </c>
      <c r="O316" t="n">
        <v>0</v>
      </c>
      <c r="P316" t="n">
        <v>0</v>
      </c>
      <c r="Q316" t="n">
        <v>1</v>
      </c>
      <c r="R316" s="2" t="inlineStr">
        <is>
          <t>Mindre märgborre</t>
        </is>
      </c>
      <c r="S316">
        <f>HYPERLINK("https://klasma.github.io/Logging_0561/artfynd/A 56238-2021 artfynd.xlsx", "A 56238-2021")</f>
        <v/>
      </c>
      <c r="T316">
        <f>HYPERLINK("https://klasma.github.io/Logging_0561/kartor/A 56238-2021 karta.png", "A 56238-2021")</f>
        <v/>
      </c>
      <c r="V316">
        <f>HYPERLINK("https://klasma.github.io/Logging_0561/klagomål/A 56238-2021 FSC-klagomål.docx", "A 56238-2021")</f>
        <v/>
      </c>
      <c r="W316">
        <f>HYPERLINK("https://klasma.github.io/Logging_0561/klagomålsmail/A 56238-2021 FSC-klagomål mail.docx", "A 56238-2021")</f>
        <v/>
      </c>
      <c r="X316">
        <f>HYPERLINK("https://klasma.github.io/Logging_0561/tillsyn/A 56238-2021 tillsynsbegäran.docx", "A 56238-2021")</f>
        <v/>
      </c>
      <c r="Y316">
        <f>HYPERLINK("https://klasma.github.io/Logging_0561/tillsynsmail/A 56238-2021 tillsynsbegäran mail.docx", "A 56238-2021")</f>
        <v/>
      </c>
    </row>
    <row r="317" ht="15" customHeight="1">
      <c r="A317" t="inlineStr">
        <is>
          <t>A 54302-2023</t>
        </is>
      </c>
      <c r="B317" s="1" t="n">
        <v>45232</v>
      </c>
      <c r="C317" s="1" t="n">
        <v>46093</v>
      </c>
      <c r="D317" t="inlineStr">
        <is>
          <t>ÖSTERGÖTLANDS LÄN</t>
        </is>
      </c>
      <c r="E317" t="inlineStr">
        <is>
          <t>FINSPÅNG</t>
        </is>
      </c>
      <c r="F317" t="inlineStr">
        <is>
          <t>Holmen skog AB</t>
        </is>
      </c>
      <c r="G317" t="n">
        <v>1.4</v>
      </c>
      <c r="H317" t="n">
        <v>1</v>
      </c>
      <c r="I317" t="n">
        <v>0</v>
      </c>
      <c r="J317" t="n">
        <v>0</v>
      </c>
      <c r="K317" t="n">
        <v>0</v>
      </c>
      <c r="L317" t="n">
        <v>0</v>
      </c>
      <c r="M317" t="n">
        <v>0</v>
      </c>
      <c r="N317" t="n">
        <v>0</v>
      </c>
      <c r="O317" t="n">
        <v>0</v>
      </c>
      <c r="P317" t="n">
        <v>0</v>
      </c>
      <c r="Q317" t="n">
        <v>1</v>
      </c>
      <c r="R317" s="2" t="inlineStr">
        <is>
          <t>Lopplummer (aggregat)</t>
        </is>
      </c>
      <c r="S317">
        <f>HYPERLINK("https://klasma.github.io/Logging_0562/artfynd/A 54302-2023 artfynd.xlsx", "A 54302-2023")</f>
        <v/>
      </c>
      <c r="T317">
        <f>HYPERLINK("https://klasma.github.io/Logging_0562/kartor/A 54302-2023 karta.png", "A 54302-2023")</f>
        <v/>
      </c>
      <c r="V317">
        <f>HYPERLINK("https://klasma.github.io/Logging_0562/klagomål/A 54302-2023 FSC-klagomål.docx", "A 54302-2023")</f>
        <v/>
      </c>
      <c r="W317">
        <f>HYPERLINK("https://klasma.github.io/Logging_0562/klagomålsmail/A 54302-2023 FSC-klagomål mail.docx", "A 54302-2023")</f>
        <v/>
      </c>
      <c r="X317">
        <f>HYPERLINK("https://klasma.github.io/Logging_0562/tillsyn/A 54302-2023 tillsynsbegäran.docx", "A 54302-2023")</f>
        <v/>
      </c>
      <c r="Y317">
        <f>HYPERLINK("https://klasma.github.io/Logging_0562/tillsynsmail/A 54302-2023 tillsynsbegäran mail.docx", "A 54302-2023")</f>
        <v/>
      </c>
    </row>
    <row r="318" ht="15" customHeight="1">
      <c r="A318" t="inlineStr">
        <is>
          <t>A 15437-2025</t>
        </is>
      </c>
      <c r="B318" s="1" t="n">
        <v>45747.47635416667</v>
      </c>
      <c r="C318" s="1" t="n">
        <v>46093</v>
      </c>
      <c r="D318" t="inlineStr">
        <is>
          <t>ÖSTERGÖTLANDS LÄN</t>
        </is>
      </c>
      <c r="E318" t="inlineStr">
        <is>
          <t>ÖDESHÖG</t>
        </is>
      </c>
      <c r="F318" t="inlineStr">
        <is>
          <t>Allmännings- och besparingsskogar</t>
        </is>
      </c>
      <c r="G318" t="n">
        <v>11.9</v>
      </c>
      <c r="H318" t="n">
        <v>1</v>
      </c>
      <c r="I318" t="n">
        <v>0</v>
      </c>
      <c r="J318" t="n">
        <v>0</v>
      </c>
      <c r="K318" t="n">
        <v>1</v>
      </c>
      <c r="L318" t="n">
        <v>0</v>
      </c>
      <c r="M318" t="n">
        <v>0</v>
      </c>
      <c r="N318" t="n">
        <v>0</v>
      </c>
      <c r="O318" t="n">
        <v>1</v>
      </c>
      <c r="P318" t="n">
        <v>1</v>
      </c>
      <c r="Q318" t="n">
        <v>1</v>
      </c>
      <c r="R318" s="2" t="inlineStr">
        <is>
          <t>Knärot</t>
        </is>
      </c>
      <c r="S318">
        <f>HYPERLINK("https://klasma.github.io/Logging_0509/artfynd/A 15437-2025 artfynd.xlsx", "A 15437-2025")</f>
        <v/>
      </c>
      <c r="T318">
        <f>HYPERLINK("https://klasma.github.io/Logging_0509/kartor/A 15437-2025 karta.png", "A 15437-2025")</f>
        <v/>
      </c>
      <c r="U318">
        <f>HYPERLINK("https://klasma.github.io/Logging_0509/knärot/A 15437-2025 karta knärot.png", "A 15437-2025")</f>
        <v/>
      </c>
      <c r="V318">
        <f>HYPERLINK("https://klasma.github.io/Logging_0509/klagomål/A 15437-2025 FSC-klagomål.docx", "A 15437-2025")</f>
        <v/>
      </c>
      <c r="W318">
        <f>HYPERLINK("https://klasma.github.io/Logging_0509/klagomålsmail/A 15437-2025 FSC-klagomål mail.docx", "A 15437-2025")</f>
        <v/>
      </c>
      <c r="X318">
        <f>HYPERLINK("https://klasma.github.io/Logging_0509/tillsyn/A 15437-2025 tillsynsbegäran.docx", "A 15437-2025")</f>
        <v/>
      </c>
      <c r="Y318">
        <f>HYPERLINK("https://klasma.github.io/Logging_0509/tillsynsmail/A 15437-2025 tillsynsbegäran mail.docx", "A 15437-2025")</f>
        <v/>
      </c>
    </row>
    <row r="319" ht="15" customHeight="1">
      <c r="A319" t="inlineStr">
        <is>
          <t>A 46640-2024</t>
        </is>
      </c>
      <c r="B319" s="1" t="n">
        <v>45583.3479050926</v>
      </c>
      <c r="C319" s="1" t="n">
        <v>46093</v>
      </c>
      <c r="D319" t="inlineStr">
        <is>
          <t>ÖSTERGÖTLANDS LÄN</t>
        </is>
      </c>
      <c r="E319" t="inlineStr">
        <is>
          <t>NORRKÖPING</t>
        </is>
      </c>
      <c r="F319" t="inlineStr">
        <is>
          <t>Holmen skog AB</t>
        </is>
      </c>
      <c r="G319" t="n">
        <v>3.5</v>
      </c>
      <c r="H319" t="n">
        <v>1</v>
      </c>
      <c r="I319" t="n">
        <v>0</v>
      </c>
      <c r="J319" t="n">
        <v>0</v>
      </c>
      <c r="K319" t="n">
        <v>0</v>
      </c>
      <c r="L319" t="n">
        <v>0</v>
      </c>
      <c r="M319" t="n">
        <v>0</v>
      </c>
      <c r="N319" t="n">
        <v>0</v>
      </c>
      <c r="O319" t="n">
        <v>0</v>
      </c>
      <c r="P319" t="n">
        <v>0</v>
      </c>
      <c r="Q319" t="n">
        <v>1</v>
      </c>
      <c r="R319" s="2" t="inlineStr">
        <is>
          <t>Revlummer</t>
        </is>
      </c>
      <c r="S319">
        <f>HYPERLINK("https://klasma.github.io/Logging_0581/artfynd/A 46640-2024 artfynd.xlsx", "A 46640-2024")</f>
        <v/>
      </c>
      <c r="T319">
        <f>HYPERLINK("https://klasma.github.io/Logging_0581/kartor/A 46640-2024 karta.png", "A 46640-2024")</f>
        <v/>
      </c>
      <c r="V319">
        <f>HYPERLINK("https://klasma.github.io/Logging_0581/klagomål/A 46640-2024 FSC-klagomål.docx", "A 46640-2024")</f>
        <v/>
      </c>
      <c r="W319">
        <f>HYPERLINK("https://klasma.github.io/Logging_0581/klagomålsmail/A 46640-2024 FSC-klagomål mail.docx", "A 46640-2024")</f>
        <v/>
      </c>
      <c r="X319">
        <f>HYPERLINK("https://klasma.github.io/Logging_0581/tillsyn/A 46640-2024 tillsynsbegäran.docx", "A 46640-2024")</f>
        <v/>
      </c>
      <c r="Y319">
        <f>HYPERLINK("https://klasma.github.io/Logging_0581/tillsynsmail/A 46640-2024 tillsynsbegäran mail.docx", "A 46640-2024")</f>
        <v/>
      </c>
    </row>
    <row r="320" ht="15" customHeight="1">
      <c r="A320" t="inlineStr">
        <is>
          <t>A 17389-2021</t>
        </is>
      </c>
      <c r="B320" s="1" t="n">
        <v>44298.96792824074</v>
      </c>
      <c r="C320" s="1" t="n">
        <v>46093</v>
      </c>
      <c r="D320" t="inlineStr">
        <is>
          <t>ÖSTERGÖTLANDS LÄN</t>
        </is>
      </c>
      <c r="E320" t="inlineStr">
        <is>
          <t>LINKÖPING</t>
        </is>
      </c>
      <c r="G320" t="n">
        <v>5.1</v>
      </c>
      <c r="H320" t="n">
        <v>0</v>
      </c>
      <c r="I320" t="n">
        <v>1</v>
      </c>
      <c r="J320" t="n">
        <v>0</v>
      </c>
      <c r="K320" t="n">
        <v>0</v>
      </c>
      <c r="L320" t="n">
        <v>0</v>
      </c>
      <c r="M320" t="n">
        <v>0</v>
      </c>
      <c r="N320" t="n">
        <v>0</v>
      </c>
      <c r="O320" t="n">
        <v>0</v>
      </c>
      <c r="P320" t="n">
        <v>0</v>
      </c>
      <c r="Q320" t="n">
        <v>1</v>
      </c>
      <c r="R320" s="2" t="inlineStr">
        <is>
          <t>Blomkålssvamp</t>
        </is>
      </c>
      <c r="S320">
        <f>HYPERLINK("https://klasma.github.io/Logging_0580/artfynd/A 17389-2021 artfynd.xlsx", "A 17389-2021")</f>
        <v/>
      </c>
      <c r="T320">
        <f>HYPERLINK("https://klasma.github.io/Logging_0580/kartor/A 17389-2021 karta.png", "A 17389-2021")</f>
        <v/>
      </c>
      <c r="V320">
        <f>HYPERLINK("https://klasma.github.io/Logging_0580/klagomål/A 17389-2021 FSC-klagomål.docx", "A 17389-2021")</f>
        <v/>
      </c>
      <c r="W320">
        <f>HYPERLINK("https://klasma.github.io/Logging_0580/klagomålsmail/A 17389-2021 FSC-klagomål mail.docx", "A 17389-2021")</f>
        <v/>
      </c>
      <c r="X320">
        <f>HYPERLINK("https://klasma.github.io/Logging_0580/tillsyn/A 17389-2021 tillsynsbegäran.docx", "A 17389-2021")</f>
        <v/>
      </c>
      <c r="Y320">
        <f>HYPERLINK("https://klasma.github.io/Logging_0580/tillsynsmail/A 17389-2021 tillsynsbegäran mail.docx", "A 17389-2021")</f>
        <v/>
      </c>
    </row>
    <row r="321" ht="15" customHeight="1">
      <c r="A321" t="inlineStr">
        <is>
          <t>A 54835-2023</t>
        </is>
      </c>
      <c r="B321" s="1" t="n">
        <v>45236</v>
      </c>
      <c r="C321" s="1" t="n">
        <v>46093</v>
      </c>
      <c r="D321" t="inlineStr">
        <is>
          <t>ÖSTERGÖTLANDS LÄN</t>
        </is>
      </c>
      <c r="E321" t="inlineStr">
        <is>
          <t>LINKÖPING</t>
        </is>
      </c>
      <c r="G321" t="n">
        <v>2</v>
      </c>
      <c r="H321" t="n">
        <v>1</v>
      </c>
      <c r="I321" t="n">
        <v>0</v>
      </c>
      <c r="J321" t="n">
        <v>0</v>
      </c>
      <c r="K321" t="n">
        <v>0</v>
      </c>
      <c r="L321" t="n">
        <v>0</v>
      </c>
      <c r="M321" t="n">
        <v>0</v>
      </c>
      <c r="N321" t="n">
        <v>0</v>
      </c>
      <c r="O321" t="n">
        <v>0</v>
      </c>
      <c r="P321" t="n">
        <v>0</v>
      </c>
      <c r="Q321" t="n">
        <v>1</v>
      </c>
      <c r="R321" s="2" t="inlineStr">
        <is>
          <t>Sparvuggla</t>
        </is>
      </c>
      <c r="S321">
        <f>HYPERLINK("https://klasma.github.io/Logging_0580/artfynd/A 54835-2023 artfynd.xlsx", "A 54835-2023")</f>
        <v/>
      </c>
      <c r="T321">
        <f>HYPERLINK("https://klasma.github.io/Logging_0580/kartor/A 54835-2023 karta.png", "A 54835-2023")</f>
        <v/>
      </c>
      <c r="V321">
        <f>HYPERLINK("https://klasma.github.io/Logging_0580/klagomål/A 54835-2023 FSC-klagomål.docx", "A 54835-2023")</f>
        <v/>
      </c>
      <c r="W321">
        <f>HYPERLINK("https://klasma.github.io/Logging_0580/klagomålsmail/A 54835-2023 FSC-klagomål mail.docx", "A 54835-2023")</f>
        <v/>
      </c>
      <c r="X321">
        <f>HYPERLINK("https://klasma.github.io/Logging_0580/tillsyn/A 54835-2023 tillsynsbegäran.docx", "A 54835-2023")</f>
        <v/>
      </c>
      <c r="Y321">
        <f>HYPERLINK("https://klasma.github.io/Logging_0580/tillsynsmail/A 54835-2023 tillsynsbegäran mail.docx", "A 54835-2023")</f>
        <v/>
      </c>
      <c r="Z321">
        <f>HYPERLINK("https://klasma.github.io/Logging_0580/fåglar/A 54835-2023 prioriterade fågelarter.docx", "A 54835-2023")</f>
        <v/>
      </c>
    </row>
    <row r="322" ht="15" customHeight="1">
      <c r="A322" t="inlineStr">
        <is>
          <t>A 40315-2024</t>
        </is>
      </c>
      <c r="B322" s="1" t="n">
        <v>45554.7571875</v>
      </c>
      <c r="C322" s="1" t="n">
        <v>46093</v>
      </c>
      <c r="D322" t="inlineStr">
        <is>
          <t>ÖSTERGÖTLANDS LÄN</t>
        </is>
      </c>
      <c r="E322" t="inlineStr">
        <is>
          <t>LINKÖPING</t>
        </is>
      </c>
      <c r="F322" t="inlineStr">
        <is>
          <t>Allmännings- och besparingsskogar</t>
        </is>
      </c>
      <c r="G322" t="n">
        <v>15.8</v>
      </c>
      <c r="H322" t="n">
        <v>0</v>
      </c>
      <c r="I322" t="n">
        <v>0</v>
      </c>
      <c r="J322" t="n">
        <v>0</v>
      </c>
      <c r="K322" t="n">
        <v>0</v>
      </c>
      <c r="L322" t="n">
        <v>0</v>
      </c>
      <c r="M322" t="n">
        <v>1</v>
      </c>
      <c r="N322" t="n">
        <v>0</v>
      </c>
      <c r="O322" t="n">
        <v>1</v>
      </c>
      <c r="P322" t="n">
        <v>1</v>
      </c>
      <c r="Q322" t="n">
        <v>1</v>
      </c>
      <c r="R322" s="2" t="inlineStr">
        <is>
          <t>Skogsalm</t>
        </is>
      </c>
      <c r="S322">
        <f>HYPERLINK("https://klasma.github.io/Logging_0580/artfynd/A 40315-2024 artfynd.xlsx", "A 40315-2024")</f>
        <v/>
      </c>
      <c r="T322">
        <f>HYPERLINK("https://klasma.github.io/Logging_0580/kartor/A 40315-2024 karta.png", "A 40315-2024")</f>
        <v/>
      </c>
      <c r="V322">
        <f>HYPERLINK("https://klasma.github.io/Logging_0580/klagomål/A 40315-2024 FSC-klagomål.docx", "A 40315-2024")</f>
        <v/>
      </c>
      <c r="W322">
        <f>HYPERLINK("https://klasma.github.io/Logging_0580/klagomålsmail/A 40315-2024 FSC-klagomål mail.docx", "A 40315-2024")</f>
        <v/>
      </c>
      <c r="X322">
        <f>HYPERLINK("https://klasma.github.io/Logging_0580/tillsyn/A 40315-2024 tillsynsbegäran.docx", "A 40315-2024")</f>
        <v/>
      </c>
      <c r="Y322">
        <f>HYPERLINK("https://klasma.github.io/Logging_0580/tillsynsmail/A 40315-2024 tillsynsbegäran mail.docx", "A 40315-2024")</f>
        <v/>
      </c>
    </row>
    <row r="323" ht="15" customHeight="1">
      <c r="A323" t="inlineStr">
        <is>
          <t>A 12145-2024</t>
        </is>
      </c>
      <c r="B323" s="1" t="n">
        <v>45376</v>
      </c>
      <c r="C323" s="1" t="n">
        <v>46093</v>
      </c>
      <c r="D323" t="inlineStr">
        <is>
          <t>ÖSTERGÖTLANDS LÄN</t>
        </is>
      </c>
      <c r="E323" t="inlineStr">
        <is>
          <t>NORRKÖPING</t>
        </is>
      </c>
      <c r="F323" t="inlineStr">
        <is>
          <t>Allmännings- och besparingsskogar</t>
        </is>
      </c>
      <c r="G323" t="n">
        <v>10.4</v>
      </c>
      <c r="H323" t="n">
        <v>0</v>
      </c>
      <c r="I323" t="n">
        <v>1</v>
      </c>
      <c r="J323" t="n">
        <v>0</v>
      </c>
      <c r="K323" t="n">
        <v>0</v>
      </c>
      <c r="L323" t="n">
        <v>0</v>
      </c>
      <c r="M323" t="n">
        <v>0</v>
      </c>
      <c r="N323" t="n">
        <v>0</v>
      </c>
      <c r="O323" t="n">
        <v>0</v>
      </c>
      <c r="P323" t="n">
        <v>0</v>
      </c>
      <c r="Q323" t="n">
        <v>1</v>
      </c>
      <c r="R323" s="2" t="inlineStr">
        <is>
          <t>Gullgröppa</t>
        </is>
      </c>
      <c r="S323">
        <f>HYPERLINK("https://klasma.github.io/Logging_0581/artfynd/A 12145-2024 artfynd.xlsx", "A 12145-2024")</f>
        <v/>
      </c>
      <c r="T323">
        <f>HYPERLINK("https://klasma.github.io/Logging_0581/kartor/A 12145-2024 karta.png", "A 12145-2024")</f>
        <v/>
      </c>
      <c r="V323">
        <f>HYPERLINK("https://klasma.github.io/Logging_0581/klagomål/A 12145-2024 FSC-klagomål.docx", "A 12145-2024")</f>
        <v/>
      </c>
      <c r="W323">
        <f>HYPERLINK("https://klasma.github.io/Logging_0581/klagomålsmail/A 12145-2024 FSC-klagomål mail.docx", "A 12145-2024")</f>
        <v/>
      </c>
      <c r="X323">
        <f>HYPERLINK("https://klasma.github.io/Logging_0581/tillsyn/A 12145-2024 tillsynsbegäran.docx", "A 12145-2024")</f>
        <v/>
      </c>
      <c r="Y323">
        <f>HYPERLINK("https://klasma.github.io/Logging_0581/tillsynsmail/A 12145-2024 tillsynsbegäran mail.docx", "A 12145-2024")</f>
        <v/>
      </c>
    </row>
    <row r="324" ht="15" customHeight="1">
      <c r="A324" t="inlineStr">
        <is>
          <t>A 9790-2024</t>
        </is>
      </c>
      <c r="B324" s="1" t="n">
        <v>45362</v>
      </c>
      <c r="C324" s="1" t="n">
        <v>46093</v>
      </c>
      <c r="D324" t="inlineStr">
        <is>
          <t>ÖSTERGÖTLANDS LÄN</t>
        </is>
      </c>
      <c r="E324" t="inlineStr">
        <is>
          <t>NORRKÖPING</t>
        </is>
      </c>
      <c r="F324" t="inlineStr">
        <is>
          <t>Allmännings- och besparingsskogar</t>
        </is>
      </c>
      <c r="G324" t="n">
        <v>5</v>
      </c>
      <c r="H324" t="n">
        <v>1</v>
      </c>
      <c r="I324" t="n">
        <v>0</v>
      </c>
      <c r="J324" t="n">
        <v>0</v>
      </c>
      <c r="K324" t="n">
        <v>0</v>
      </c>
      <c r="L324" t="n">
        <v>0</v>
      </c>
      <c r="M324" t="n">
        <v>0</v>
      </c>
      <c r="N324" t="n">
        <v>0</v>
      </c>
      <c r="O324" t="n">
        <v>0</v>
      </c>
      <c r="P324" t="n">
        <v>0</v>
      </c>
      <c r="Q324" t="n">
        <v>1</v>
      </c>
      <c r="R324" s="2" t="inlineStr">
        <is>
          <t>Mattlummer</t>
        </is>
      </c>
      <c r="S324">
        <f>HYPERLINK("https://klasma.github.io/Logging_0581/artfynd/A 9790-2024 artfynd.xlsx", "A 9790-2024")</f>
        <v/>
      </c>
      <c r="T324">
        <f>HYPERLINK("https://klasma.github.io/Logging_0581/kartor/A 9790-2024 karta.png", "A 9790-2024")</f>
        <v/>
      </c>
      <c r="V324">
        <f>HYPERLINK("https://klasma.github.io/Logging_0581/klagomål/A 9790-2024 FSC-klagomål.docx", "A 9790-2024")</f>
        <v/>
      </c>
      <c r="W324">
        <f>HYPERLINK("https://klasma.github.io/Logging_0581/klagomålsmail/A 9790-2024 FSC-klagomål mail.docx", "A 9790-2024")</f>
        <v/>
      </c>
      <c r="X324">
        <f>HYPERLINK("https://klasma.github.io/Logging_0581/tillsyn/A 9790-2024 tillsynsbegäran.docx", "A 9790-2024")</f>
        <v/>
      </c>
      <c r="Y324">
        <f>HYPERLINK("https://klasma.github.io/Logging_0581/tillsynsmail/A 9790-2024 tillsynsbegäran mail.docx", "A 9790-2024")</f>
        <v/>
      </c>
    </row>
    <row r="325" ht="15" customHeight="1">
      <c r="A325" t="inlineStr">
        <is>
          <t>A 24071-2025</t>
        </is>
      </c>
      <c r="B325" s="1" t="n">
        <v>45796.54400462963</v>
      </c>
      <c r="C325" s="1" t="n">
        <v>46093</v>
      </c>
      <c r="D325" t="inlineStr">
        <is>
          <t>ÖSTERGÖTLANDS LÄN</t>
        </is>
      </c>
      <c r="E325" t="inlineStr">
        <is>
          <t>KINDA</t>
        </is>
      </c>
      <c r="G325" t="n">
        <v>3.1</v>
      </c>
      <c r="H325" t="n">
        <v>0</v>
      </c>
      <c r="I325" t="n">
        <v>0</v>
      </c>
      <c r="J325" t="n">
        <v>0</v>
      </c>
      <c r="K325" t="n">
        <v>1</v>
      </c>
      <c r="L325" t="n">
        <v>0</v>
      </c>
      <c r="M325" t="n">
        <v>0</v>
      </c>
      <c r="N325" t="n">
        <v>0</v>
      </c>
      <c r="O325" t="n">
        <v>1</v>
      </c>
      <c r="P325" t="n">
        <v>1</v>
      </c>
      <c r="Q325" t="n">
        <v>1</v>
      </c>
      <c r="R325" s="2" t="inlineStr">
        <is>
          <t>Mörk ängsmaskros</t>
        </is>
      </c>
      <c r="S325">
        <f>HYPERLINK("https://klasma.github.io/Logging_0513/artfynd/A 24071-2025 artfynd.xlsx", "A 24071-2025")</f>
        <v/>
      </c>
      <c r="T325">
        <f>HYPERLINK("https://klasma.github.io/Logging_0513/kartor/A 24071-2025 karta.png", "A 24071-2025")</f>
        <v/>
      </c>
      <c r="V325">
        <f>HYPERLINK("https://klasma.github.io/Logging_0513/klagomål/A 24071-2025 FSC-klagomål.docx", "A 24071-2025")</f>
        <v/>
      </c>
      <c r="W325">
        <f>HYPERLINK("https://klasma.github.io/Logging_0513/klagomålsmail/A 24071-2025 FSC-klagomål mail.docx", "A 24071-2025")</f>
        <v/>
      </c>
      <c r="X325">
        <f>HYPERLINK("https://klasma.github.io/Logging_0513/tillsyn/A 24071-2025 tillsynsbegäran.docx", "A 24071-2025")</f>
        <v/>
      </c>
      <c r="Y325">
        <f>HYPERLINK("https://klasma.github.io/Logging_0513/tillsynsmail/A 24071-2025 tillsynsbegäran mail.docx", "A 24071-2025")</f>
        <v/>
      </c>
    </row>
    <row r="326" ht="15" customHeight="1">
      <c r="A326" t="inlineStr">
        <is>
          <t>A 53091-2024</t>
        </is>
      </c>
      <c r="B326" s="1" t="n">
        <v>45611.51743055556</v>
      </c>
      <c r="C326" s="1" t="n">
        <v>46093</v>
      </c>
      <c r="D326" t="inlineStr">
        <is>
          <t>ÖSTERGÖTLANDS LÄN</t>
        </is>
      </c>
      <c r="E326" t="inlineStr">
        <is>
          <t>YDRE</t>
        </is>
      </c>
      <c r="F326" t="inlineStr">
        <is>
          <t>Övriga Aktiebolag</t>
        </is>
      </c>
      <c r="G326" t="n">
        <v>5.5</v>
      </c>
      <c r="H326" t="n">
        <v>1</v>
      </c>
      <c r="I326" t="n">
        <v>0</v>
      </c>
      <c r="J326" t="n">
        <v>0</v>
      </c>
      <c r="K326" t="n">
        <v>1</v>
      </c>
      <c r="L326" t="n">
        <v>0</v>
      </c>
      <c r="M326" t="n">
        <v>0</v>
      </c>
      <c r="N326" t="n">
        <v>0</v>
      </c>
      <c r="O326" t="n">
        <v>1</v>
      </c>
      <c r="P326" t="n">
        <v>1</v>
      </c>
      <c r="Q326" t="n">
        <v>1</v>
      </c>
      <c r="R326" s="2" t="inlineStr">
        <is>
          <t>Knärot</t>
        </is>
      </c>
      <c r="S326">
        <f>HYPERLINK("https://klasma.github.io/Logging_0512/artfynd/A 53091-2024 artfynd.xlsx", "A 53091-2024")</f>
        <v/>
      </c>
      <c r="T326">
        <f>HYPERLINK("https://klasma.github.io/Logging_0512/kartor/A 53091-2024 karta.png", "A 53091-2024")</f>
        <v/>
      </c>
      <c r="U326">
        <f>HYPERLINK("https://klasma.github.io/Logging_0512/knärot/A 53091-2024 karta knärot.png", "A 53091-2024")</f>
        <v/>
      </c>
      <c r="V326">
        <f>HYPERLINK("https://klasma.github.io/Logging_0512/klagomål/A 53091-2024 FSC-klagomål.docx", "A 53091-2024")</f>
        <v/>
      </c>
      <c r="W326">
        <f>HYPERLINK("https://klasma.github.io/Logging_0512/klagomålsmail/A 53091-2024 FSC-klagomål mail.docx", "A 53091-2024")</f>
        <v/>
      </c>
      <c r="X326">
        <f>HYPERLINK("https://klasma.github.io/Logging_0512/tillsyn/A 53091-2024 tillsynsbegäran.docx", "A 53091-2024")</f>
        <v/>
      </c>
      <c r="Y326">
        <f>HYPERLINK("https://klasma.github.io/Logging_0512/tillsynsmail/A 53091-2024 tillsynsbegäran mail.docx", "A 53091-2024")</f>
        <v/>
      </c>
    </row>
    <row r="327" ht="15" customHeight="1">
      <c r="A327" t="inlineStr">
        <is>
          <t>A 12170-2022</t>
        </is>
      </c>
      <c r="B327" s="1" t="n">
        <v>44636</v>
      </c>
      <c r="C327" s="1" t="n">
        <v>46093</v>
      </c>
      <c r="D327" t="inlineStr">
        <is>
          <t>ÖSTERGÖTLANDS LÄN</t>
        </is>
      </c>
      <c r="E327" t="inlineStr">
        <is>
          <t>KINDA</t>
        </is>
      </c>
      <c r="F327" t="inlineStr">
        <is>
          <t>Kommuner</t>
        </is>
      </c>
      <c r="G327" t="n">
        <v>1.2</v>
      </c>
      <c r="H327" t="n">
        <v>0</v>
      </c>
      <c r="I327" t="n">
        <v>0</v>
      </c>
      <c r="J327" t="n">
        <v>0</v>
      </c>
      <c r="K327" t="n">
        <v>0</v>
      </c>
      <c r="L327" t="n">
        <v>1</v>
      </c>
      <c r="M327" t="n">
        <v>0</v>
      </c>
      <c r="N327" t="n">
        <v>0</v>
      </c>
      <c r="O327" t="n">
        <v>1</v>
      </c>
      <c r="P327" t="n">
        <v>1</v>
      </c>
      <c r="Q327" t="n">
        <v>1</v>
      </c>
      <c r="R327" s="2" t="inlineStr">
        <is>
          <t>Ask</t>
        </is>
      </c>
      <c r="S327">
        <f>HYPERLINK("https://klasma.github.io/Logging_0513/artfynd/A 12170-2022 artfynd.xlsx", "A 12170-2022")</f>
        <v/>
      </c>
      <c r="T327">
        <f>HYPERLINK("https://klasma.github.io/Logging_0513/kartor/A 12170-2022 karta.png", "A 12170-2022")</f>
        <v/>
      </c>
      <c r="V327">
        <f>HYPERLINK("https://klasma.github.io/Logging_0513/klagomål/A 12170-2022 FSC-klagomål.docx", "A 12170-2022")</f>
        <v/>
      </c>
      <c r="W327">
        <f>HYPERLINK("https://klasma.github.io/Logging_0513/klagomålsmail/A 12170-2022 FSC-klagomål mail.docx", "A 12170-2022")</f>
        <v/>
      </c>
      <c r="X327">
        <f>HYPERLINK("https://klasma.github.io/Logging_0513/tillsyn/A 12170-2022 tillsynsbegäran.docx", "A 12170-2022")</f>
        <v/>
      </c>
      <c r="Y327">
        <f>HYPERLINK("https://klasma.github.io/Logging_0513/tillsynsmail/A 12170-2022 tillsynsbegäran mail.docx", "A 12170-2022")</f>
        <v/>
      </c>
    </row>
    <row r="328" ht="15" customHeight="1">
      <c r="A328" t="inlineStr">
        <is>
          <t>A 34881-2023</t>
        </is>
      </c>
      <c r="B328" s="1" t="n">
        <v>45140</v>
      </c>
      <c r="C328" s="1" t="n">
        <v>46093</v>
      </c>
      <c r="D328" t="inlineStr">
        <is>
          <t>ÖSTERGÖTLANDS LÄN</t>
        </is>
      </c>
      <c r="E328" t="inlineStr">
        <is>
          <t>LINKÖPING</t>
        </is>
      </c>
      <c r="G328" t="n">
        <v>1.9</v>
      </c>
      <c r="H328" t="n">
        <v>0</v>
      </c>
      <c r="I328" t="n">
        <v>0</v>
      </c>
      <c r="J328" t="n">
        <v>1</v>
      </c>
      <c r="K328" t="n">
        <v>0</v>
      </c>
      <c r="L328" t="n">
        <v>0</v>
      </c>
      <c r="M328" t="n">
        <v>0</v>
      </c>
      <c r="N328" t="n">
        <v>0</v>
      </c>
      <c r="O328" t="n">
        <v>1</v>
      </c>
      <c r="P328" t="n">
        <v>0</v>
      </c>
      <c r="Q328" t="n">
        <v>1</v>
      </c>
      <c r="R328" s="2" t="inlineStr">
        <is>
          <t>Tallticka</t>
        </is>
      </c>
      <c r="S328">
        <f>HYPERLINK("https://klasma.github.io/Logging_0580/artfynd/A 34881-2023 artfynd.xlsx", "A 34881-2023")</f>
        <v/>
      </c>
      <c r="T328">
        <f>HYPERLINK("https://klasma.github.io/Logging_0580/kartor/A 34881-2023 karta.png", "A 34881-2023")</f>
        <v/>
      </c>
      <c r="U328">
        <f>HYPERLINK("https://klasma.github.io/Logging_0580/knärot/A 34881-2023 karta knärot.png", "A 34881-2023")</f>
        <v/>
      </c>
      <c r="V328">
        <f>HYPERLINK("https://klasma.github.io/Logging_0580/klagomål/A 34881-2023 FSC-klagomål.docx", "A 34881-2023")</f>
        <v/>
      </c>
      <c r="W328">
        <f>HYPERLINK("https://klasma.github.io/Logging_0580/klagomålsmail/A 34881-2023 FSC-klagomål mail.docx", "A 34881-2023")</f>
        <v/>
      </c>
      <c r="X328">
        <f>HYPERLINK("https://klasma.github.io/Logging_0580/tillsyn/A 34881-2023 tillsynsbegäran.docx", "A 34881-2023")</f>
        <v/>
      </c>
      <c r="Y328">
        <f>HYPERLINK("https://klasma.github.io/Logging_0580/tillsynsmail/A 34881-2023 tillsynsbegäran mail.docx", "A 34881-2023")</f>
        <v/>
      </c>
    </row>
    <row r="329" ht="15" customHeight="1">
      <c r="A329" t="inlineStr">
        <is>
          <t>A 2669-2022</t>
        </is>
      </c>
      <c r="B329" s="1" t="n">
        <v>44580</v>
      </c>
      <c r="C329" s="1" t="n">
        <v>46093</v>
      </c>
      <c r="D329" t="inlineStr">
        <is>
          <t>ÖSTERGÖTLANDS LÄN</t>
        </is>
      </c>
      <c r="E329" t="inlineStr">
        <is>
          <t>BOXHOLM</t>
        </is>
      </c>
      <c r="G329" t="n">
        <v>2.3</v>
      </c>
      <c r="H329" t="n">
        <v>0</v>
      </c>
      <c r="I329" t="n">
        <v>0</v>
      </c>
      <c r="J329" t="n">
        <v>1</v>
      </c>
      <c r="K329" t="n">
        <v>0</v>
      </c>
      <c r="L329" t="n">
        <v>0</v>
      </c>
      <c r="M329" t="n">
        <v>0</v>
      </c>
      <c r="N329" t="n">
        <v>0</v>
      </c>
      <c r="O329" t="n">
        <v>1</v>
      </c>
      <c r="P329" t="n">
        <v>0</v>
      </c>
      <c r="Q329" t="n">
        <v>1</v>
      </c>
      <c r="R329" s="2" t="inlineStr">
        <is>
          <t>Sommarfibbla</t>
        </is>
      </c>
      <c r="S329">
        <f>HYPERLINK("https://klasma.github.io/Logging_0560/artfynd/A 2669-2022 artfynd.xlsx", "A 2669-2022")</f>
        <v/>
      </c>
      <c r="T329">
        <f>HYPERLINK("https://klasma.github.io/Logging_0560/kartor/A 2669-2022 karta.png", "A 2669-2022")</f>
        <v/>
      </c>
      <c r="V329">
        <f>HYPERLINK("https://klasma.github.io/Logging_0560/klagomål/A 2669-2022 FSC-klagomål.docx", "A 2669-2022")</f>
        <v/>
      </c>
      <c r="W329">
        <f>HYPERLINK("https://klasma.github.io/Logging_0560/klagomålsmail/A 2669-2022 FSC-klagomål mail.docx", "A 2669-2022")</f>
        <v/>
      </c>
      <c r="X329">
        <f>HYPERLINK("https://klasma.github.io/Logging_0560/tillsyn/A 2669-2022 tillsynsbegäran.docx", "A 2669-2022")</f>
        <v/>
      </c>
      <c r="Y329">
        <f>HYPERLINK("https://klasma.github.io/Logging_0560/tillsynsmail/A 2669-2022 tillsynsbegäran mail.docx", "A 2669-2022")</f>
        <v/>
      </c>
    </row>
    <row r="330" ht="15" customHeight="1">
      <c r="A330" t="inlineStr">
        <is>
          <t>A 36723-2023</t>
        </is>
      </c>
      <c r="B330" s="1" t="n">
        <v>45153</v>
      </c>
      <c r="C330" s="1" t="n">
        <v>46093</v>
      </c>
      <c r="D330" t="inlineStr">
        <is>
          <t>ÖSTERGÖTLANDS LÄN</t>
        </is>
      </c>
      <c r="E330" t="inlineStr">
        <is>
          <t>LINKÖPING</t>
        </is>
      </c>
      <c r="F330" t="inlineStr">
        <is>
          <t>Allmännings- och besparingsskogar</t>
        </is>
      </c>
      <c r="G330" t="n">
        <v>9.9</v>
      </c>
      <c r="H330" t="n">
        <v>0</v>
      </c>
      <c r="I330" t="n">
        <v>0</v>
      </c>
      <c r="J330" t="n">
        <v>0</v>
      </c>
      <c r="K330" t="n">
        <v>1</v>
      </c>
      <c r="L330" t="n">
        <v>0</v>
      </c>
      <c r="M330" t="n">
        <v>0</v>
      </c>
      <c r="N330" t="n">
        <v>0</v>
      </c>
      <c r="O330" t="n">
        <v>1</v>
      </c>
      <c r="P330" t="n">
        <v>1</v>
      </c>
      <c r="Q330" t="n">
        <v>1</v>
      </c>
      <c r="R330" s="2" t="inlineStr">
        <is>
          <t>Bitter taggsvamp</t>
        </is>
      </c>
      <c r="S330">
        <f>HYPERLINK("https://klasma.github.io/Logging_0580/artfynd/A 36723-2023 artfynd.xlsx", "A 36723-2023")</f>
        <v/>
      </c>
      <c r="T330">
        <f>HYPERLINK("https://klasma.github.io/Logging_0580/kartor/A 36723-2023 karta.png", "A 36723-2023")</f>
        <v/>
      </c>
      <c r="V330">
        <f>HYPERLINK("https://klasma.github.io/Logging_0580/klagomål/A 36723-2023 FSC-klagomål.docx", "A 36723-2023")</f>
        <v/>
      </c>
      <c r="W330">
        <f>HYPERLINK("https://klasma.github.io/Logging_0580/klagomålsmail/A 36723-2023 FSC-klagomål mail.docx", "A 36723-2023")</f>
        <v/>
      </c>
      <c r="X330">
        <f>HYPERLINK("https://klasma.github.io/Logging_0580/tillsyn/A 36723-2023 tillsynsbegäran.docx", "A 36723-2023")</f>
        <v/>
      </c>
      <c r="Y330">
        <f>HYPERLINK("https://klasma.github.io/Logging_0580/tillsynsmail/A 36723-2023 tillsynsbegäran mail.docx", "A 36723-2023")</f>
        <v/>
      </c>
    </row>
    <row r="331" ht="15" customHeight="1">
      <c r="A331" t="inlineStr">
        <is>
          <t>A 4168-2025</t>
        </is>
      </c>
      <c r="B331" s="1" t="n">
        <v>45685.4172337963</v>
      </c>
      <c r="C331" s="1" t="n">
        <v>46093</v>
      </c>
      <c r="D331" t="inlineStr">
        <is>
          <t>ÖSTERGÖTLANDS LÄN</t>
        </is>
      </c>
      <c r="E331" t="inlineStr">
        <is>
          <t>ÖDESHÖG</t>
        </is>
      </c>
      <c r="F331" t="inlineStr">
        <is>
          <t>Kyrkan</t>
        </is>
      </c>
      <c r="G331" t="n">
        <v>6</v>
      </c>
      <c r="H331" t="n">
        <v>0</v>
      </c>
      <c r="I331" t="n">
        <v>1</v>
      </c>
      <c r="J331" t="n">
        <v>0</v>
      </c>
      <c r="K331" t="n">
        <v>0</v>
      </c>
      <c r="L331" t="n">
        <v>0</v>
      </c>
      <c r="M331" t="n">
        <v>0</v>
      </c>
      <c r="N331" t="n">
        <v>0</v>
      </c>
      <c r="O331" t="n">
        <v>0</v>
      </c>
      <c r="P331" t="n">
        <v>0</v>
      </c>
      <c r="Q331" t="n">
        <v>1</v>
      </c>
      <c r="R331" s="2" t="inlineStr">
        <is>
          <t>Fällmossa</t>
        </is>
      </c>
      <c r="S331">
        <f>HYPERLINK("https://klasma.github.io/Logging_0509/artfynd/A 4168-2025 artfynd.xlsx", "A 4168-2025")</f>
        <v/>
      </c>
      <c r="T331">
        <f>HYPERLINK("https://klasma.github.io/Logging_0509/kartor/A 4168-2025 karta.png", "A 4168-2025")</f>
        <v/>
      </c>
      <c r="V331">
        <f>HYPERLINK("https://klasma.github.io/Logging_0509/klagomål/A 4168-2025 FSC-klagomål.docx", "A 4168-2025")</f>
        <v/>
      </c>
      <c r="W331">
        <f>HYPERLINK("https://klasma.github.io/Logging_0509/klagomålsmail/A 4168-2025 FSC-klagomål mail.docx", "A 4168-2025")</f>
        <v/>
      </c>
      <c r="X331">
        <f>HYPERLINK("https://klasma.github.io/Logging_0509/tillsyn/A 4168-2025 tillsynsbegäran.docx", "A 4168-2025")</f>
        <v/>
      </c>
      <c r="Y331">
        <f>HYPERLINK("https://klasma.github.io/Logging_0509/tillsynsmail/A 4168-2025 tillsynsbegäran mail.docx", "A 4168-2025")</f>
        <v/>
      </c>
    </row>
    <row r="332" ht="15" customHeight="1">
      <c r="A332" t="inlineStr">
        <is>
          <t>A 10769-2024</t>
        </is>
      </c>
      <c r="B332" s="1" t="n">
        <v>45369</v>
      </c>
      <c r="C332" s="1" t="n">
        <v>46093</v>
      </c>
      <c r="D332" t="inlineStr">
        <is>
          <t>ÖSTERGÖTLANDS LÄN</t>
        </is>
      </c>
      <c r="E332" t="inlineStr">
        <is>
          <t>NORRKÖPING</t>
        </is>
      </c>
      <c r="F332" t="inlineStr">
        <is>
          <t>Holmen skog AB</t>
        </is>
      </c>
      <c r="G332" t="n">
        <v>2</v>
      </c>
      <c r="H332" t="n">
        <v>1</v>
      </c>
      <c r="I332" t="n">
        <v>0</v>
      </c>
      <c r="J332" t="n">
        <v>1</v>
      </c>
      <c r="K332" t="n">
        <v>0</v>
      </c>
      <c r="L332" t="n">
        <v>0</v>
      </c>
      <c r="M332" t="n">
        <v>0</v>
      </c>
      <c r="N332" t="n">
        <v>0</v>
      </c>
      <c r="O332" t="n">
        <v>1</v>
      </c>
      <c r="P332" t="n">
        <v>0</v>
      </c>
      <c r="Q332" t="n">
        <v>1</v>
      </c>
      <c r="R332" s="2" t="inlineStr">
        <is>
          <t>Talltita</t>
        </is>
      </c>
      <c r="S332">
        <f>HYPERLINK("https://klasma.github.io/Logging_0581/artfynd/A 10769-2024 artfynd.xlsx", "A 10769-2024")</f>
        <v/>
      </c>
      <c r="T332">
        <f>HYPERLINK("https://klasma.github.io/Logging_0581/kartor/A 10769-2024 karta.png", "A 10769-2024")</f>
        <v/>
      </c>
      <c r="V332">
        <f>HYPERLINK("https://klasma.github.io/Logging_0581/klagomål/A 10769-2024 FSC-klagomål.docx", "A 10769-2024")</f>
        <v/>
      </c>
      <c r="W332">
        <f>HYPERLINK("https://klasma.github.io/Logging_0581/klagomålsmail/A 10769-2024 FSC-klagomål mail.docx", "A 10769-2024")</f>
        <v/>
      </c>
      <c r="X332">
        <f>HYPERLINK("https://klasma.github.io/Logging_0581/tillsyn/A 10769-2024 tillsynsbegäran.docx", "A 10769-2024")</f>
        <v/>
      </c>
      <c r="Y332">
        <f>HYPERLINK("https://klasma.github.io/Logging_0581/tillsynsmail/A 10769-2024 tillsynsbegäran mail.docx", "A 10769-2024")</f>
        <v/>
      </c>
      <c r="Z332">
        <f>HYPERLINK("https://klasma.github.io/Logging_0581/fåglar/A 10769-2024 prioriterade fågelarter.docx", "A 10769-2024")</f>
        <v/>
      </c>
    </row>
    <row r="333" ht="15" customHeight="1">
      <c r="A333" t="inlineStr">
        <is>
          <t>A 34976-2025</t>
        </is>
      </c>
      <c r="B333" s="1" t="n">
        <v>45849</v>
      </c>
      <c r="C333" s="1" t="n">
        <v>46093</v>
      </c>
      <c r="D333" t="inlineStr">
        <is>
          <t>ÖSTERGÖTLANDS LÄN</t>
        </is>
      </c>
      <c r="E333" t="inlineStr">
        <is>
          <t>SÖDERKÖPING</t>
        </is>
      </c>
      <c r="G333" t="n">
        <v>4</v>
      </c>
      <c r="H333" t="n">
        <v>0</v>
      </c>
      <c r="I333" t="n">
        <v>0</v>
      </c>
      <c r="J333" t="n">
        <v>1</v>
      </c>
      <c r="K333" t="n">
        <v>0</v>
      </c>
      <c r="L333" t="n">
        <v>0</v>
      </c>
      <c r="M333" t="n">
        <v>0</v>
      </c>
      <c r="N333" t="n">
        <v>0</v>
      </c>
      <c r="O333" t="n">
        <v>1</v>
      </c>
      <c r="P333" t="n">
        <v>0</v>
      </c>
      <c r="Q333" t="n">
        <v>1</v>
      </c>
      <c r="R333" s="2" t="inlineStr">
        <is>
          <t>Krusfrö</t>
        </is>
      </c>
      <c r="S333">
        <f>HYPERLINK("https://klasma.github.io/Logging_0582/artfynd/A 34976-2025 artfynd.xlsx", "A 34976-2025")</f>
        <v/>
      </c>
      <c r="T333">
        <f>HYPERLINK("https://klasma.github.io/Logging_0582/kartor/A 34976-2025 karta.png", "A 34976-2025")</f>
        <v/>
      </c>
      <c r="V333">
        <f>HYPERLINK("https://klasma.github.io/Logging_0582/klagomål/A 34976-2025 FSC-klagomål.docx", "A 34976-2025")</f>
        <v/>
      </c>
      <c r="W333">
        <f>HYPERLINK("https://klasma.github.io/Logging_0582/klagomålsmail/A 34976-2025 FSC-klagomål mail.docx", "A 34976-2025")</f>
        <v/>
      </c>
      <c r="X333">
        <f>HYPERLINK("https://klasma.github.io/Logging_0582/tillsyn/A 34976-2025 tillsynsbegäran.docx", "A 34976-2025")</f>
        <v/>
      </c>
      <c r="Y333">
        <f>HYPERLINK("https://klasma.github.io/Logging_0582/tillsynsmail/A 34976-2025 tillsynsbegäran mail.docx", "A 34976-2025")</f>
        <v/>
      </c>
    </row>
    <row r="334" ht="15" customHeight="1">
      <c r="A334" t="inlineStr">
        <is>
          <t>A 18462-2024</t>
        </is>
      </c>
      <c r="B334" s="1" t="n">
        <v>45425.47636574074</v>
      </c>
      <c r="C334" s="1" t="n">
        <v>46093</v>
      </c>
      <c r="D334" t="inlineStr">
        <is>
          <t>ÖSTERGÖTLANDS LÄN</t>
        </is>
      </c>
      <c r="E334" t="inlineStr">
        <is>
          <t>FINSPÅNG</t>
        </is>
      </c>
      <c r="G334" t="n">
        <v>6.1</v>
      </c>
      <c r="H334" t="n">
        <v>1</v>
      </c>
      <c r="I334" t="n">
        <v>0</v>
      </c>
      <c r="J334" t="n">
        <v>0</v>
      </c>
      <c r="K334" t="n">
        <v>0</v>
      </c>
      <c r="L334" t="n">
        <v>1</v>
      </c>
      <c r="M334" t="n">
        <v>0</v>
      </c>
      <c r="N334" t="n">
        <v>0</v>
      </c>
      <c r="O334" t="n">
        <v>1</v>
      </c>
      <c r="P334" t="n">
        <v>1</v>
      </c>
      <c r="Q334" t="n">
        <v>1</v>
      </c>
      <c r="R334" s="2" t="inlineStr">
        <is>
          <t>Mosippa</t>
        </is>
      </c>
      <c r="S334">
        <f>HYPERLINK("https://klasma.github.io/Logging_0562/artfynd/A 18462-2024 artfynd.xlsx", "A 18462-2024")</f>
        <v/>
      </c>
      <c r="T334">
        <f>HYPERLINK("https://klasma.github.io/Logging_0562/kartor/A 18462-2024 karta.png", "A 18462-2024")</f>
        <v/>
      </c>
      <c r="V334">
        <f>HYPERLINK("https://klasma.github.io/Logging_0562/klagomål/A 18462-2024 FSC-klagomål.docx", "A 18462-2024")</f>
        <v/>
      </c>
      <c r="W334">
        <f>HYPERLINK("https://klasma.github.io/Logging_0562/klagomålsmail/A 18462-2024 FSC-klagomål mail.docx", "A 18462-2024")</f>
        <v/>
      </c>
      <c r="X334">
        <f>HYPERLINK("https://klasma.github.io/Logging_0562/tillsyn/A 18462-2024 tillsynsbegäran.docx", "A 18462-2024")</f>
        <v/>
      </c>
      <c r="Y334">
        <f>HYPERLINK("https://klasma.github.io/Logging_0562/tillsynsmail/A 18462-2024 tillsynsbegäran mail.docx", "A 18462-2024")</f>
        <v/>
      </c>
    </row>
    <row r="335" ht="15" customHeight="1">
      <c r="A335" t="inlineStr">
        <is>
          <t>A 32570-2023</t>
        </is>
      </c>
      <c r="B335" s="1" t="n">
        <v>45121</v>
      </c>
      <c r="C335" s="1" t="n">
        <v>46093</v>
      </c>
      <c r="D335" t="inlineStr">
        <is>
          <t>ÖSTERGÖTLANDS LÄN</t>
        </is>
      </c>
      <c r="E335" t="inlineStr">
        <is>
          <t>FINSPÅNG</t>
        </is>
      </c>
      <c r="F335" t="inlineStr">
        <is>
          <t>Övriga Aktiebolag</t>
        </is>
      </c>
      <c r="G335" t="n">
        <v>7.7</v>
      </c>
      <c r="H335" t="n">
        <v>1</v>
      </c>
      <c r="I335" t="n">
        <v>0</v>
      </c>
      <c r="J335" t="n">
        <v>1</v>
      </c>
      <c r="K335" t="n">
        <v>0</v>
      </c>
      <c r="L335" t="n">
        <v>0</v>
      </c>
      <c r="M335" t="n">
        <v>0</v>
      </c>
      <c r="N335" t="n">
        <v>0</v>
      </c>
      <c r="O335" t="n">
        <v>1</v>
      </c>
      <c r="P335" t="n">
        <v>0</v>
      </c>
      <c r="Q335" t="n">
        <v>1</v>
      </c>
      <c r="R335" s="2" t="inlineStr">
        <is>
          <t>Havsörn</t>
        </is>
      </c>
      <c r="S335">
        <f>HYPERLINK("https://klasma.github.io/Logging_0562/artfynd/A 32570-2023 artfynd.xlsx", "A 32570-2023")</f>
        <v/>
      </c>
      <c r="T335">
        <f>HYPERLINK("https://klasma.github.io/Logging_0562/kartor/A 32570-2023 karta.png", "A 32570-2023")</f>
        <v/>
      </c>
      <c r="V335">
        <f>HYPERLINK("https://klasma.github.io/Logging_0562/klagomål/A 32570-2023 FSC-klagomål.docx", "A 32570-2023")</f>
        <v/>
      </c>
      <c r="W335">
        <f>HYPERLINK("https://klasma.github.io/Logging_0562/klagomålsmail/A 32570-2023 FSC-klagomål mail.docx", "A 32570-2023")</f>
        <v/>
      </c>
      <c r="X335">
        <f>HYPERLINK("https://klasma.github.io/Logging_0562/tillsyn/A 32570-2023 tillsynsbegäran.docx", "A 32570-2023")</f>
        <v/>
      </c>
      <c r="Y335">
        <f>HYPERLINK("https://klasma.github.io/Logging_0562/tillsynsmail/A 32570-2023 tillsynsbegäran mail.docx", "A 32570-2023")</f>
        <v/>
      </c>
      <c r="Z335">
        <f>HYPERLINK("https://klasma.github.io/Logging_0562/fåglar/A 32570-2023 prioriterade fågelarter.docx", "A 32570-2023")</f>
        <v/>
      </c>
    </row>
    <row r="336" ht="15" customHeight="1">
      <c r="A336" t="inlineStr">
        <is>
          <t>A 1126-2023</t>
        </is>
      </c>
      <c r="B336" s="1" t="n">
        <v>44935.61596064815</v>
      </c>
      <c r="C336" s="1" t="n">
        <v>46093</v>
      </c>
      <c r="D336" t="inlineStr">
        <is>
          <t>ÖSTERGÖTLANDS LÄN</t>
        </is>
      </c>
      <c r="E336" t="inlineStr">
        <is>
          <t>ÅTVIDABERG</t>
        </is>
      </c>
      <c r="G336" t="n">
        <v>1.6</v>
      </c>
      <c r="H336" t="n">
        <v>1</v>
      </c>
      <c r="I336" t="n">
        <v>1</v>
      </c>
      <c r="J336" t="n">
        <v>0</v>
      </c>
      <c r="K336" t="n">
        <v>0</v>
      </c>
      <c r="L336" t="n">
        <v>0</v>
      </c>
      <c r="M336" t="n">
        <v>0</v>
      </c>
      <c r="N336" t="n">
        <v>0</v>
      </c>
      <c r="O336" t="n">
        <v>0</v>
      </c>
      <c r="P336" t="n">
        <v>0</v>
      </c>
      <c r="Q336" t="n">
        <v>1</v>
      </c>
      <c r="R336" s="2" t="inlineStr">
        <is>
          <t>Purpurknipprot</t>
        </is>
      </c>
      <c r="S336">
        <f>HYPERLINK("https://klasma.github.io/Logging_0561/artfynd/A 1126-2023 artfynd.xlsx", "A 1126-2023")</f>
        <v/>
      </c>
      <c r="T336">
        <f>HYPERLINK("https://klasma.github.io/Logging_0561/kartor/A 1126-2023 karta.png", "A 1126-2023")</f>
        <v/>
      </c>
      <c r="V336">
        <f>HYPERLINK("https://klasma.github.io/Logging_0561/klagomål/A 1126-2023 FSC-klagomål.docx", "A 1126-2023")</f>
        <v/>
      </c>
      <c r="W336">
        <f>HYPERLINK("https://klasma.github.io/Logging_0561/klagomålsmail/A 1126-2023 FSC-klagomål mail.docx", "A 1126-2023")</f>
        <v/>
      </c>
      <c r="X336">
        <f>HYPERLINK("https://klasma.github.io/Logging_0561/tillsyn/A 1126-2023 tillsynsbegäran.docx", "A 1126-2023")</f>
        <v/>
      </c>
      <c r="Y336">
        <f>HYPERLINK("https://klasma.github.io/Logging_0561/tillsynsmail/A 1126-2023 tillsynsbegäran mail.docx", "A 1126-2023")</f>
        <v/>
      </c>
    </row>
    <row r="337" ht="15" customHeight="1">
      <c r="A337" t="inlineStr">
        <is>
          <t>A 37283-2023</t>
        </is>
      </c>
      <c r="B337" s="1" t="n">
        <v>45156</v>
      </c>
      <c r="C337" s="1" t="n">
        <v>46093</v>
      </c>
      <c r="D337" t="inlineStr">
        <is>
          <t>ÖSTERGÖTLANDS LÄN</t>
        </is>
      </c>
      <c r="E337" t="inlineStr">
        <is>
          <t>ÅTVIDABERG</t>
        </is>
      </c>
      <c r="G337" t="n">
        <v>0.1</v>
      </c>
      <c r="H337" t="n">
        <v>1</v>
      </c>
      <c r="I337" t="n">
        <v>0</v>
      </c>
      <c r="J337" t="n">
        <v>1</v>
      </c>
      <c r="K337" t="n">
        <v>0</v>
      </c>
      <c r="L337" t="n">
        <v>0</v>
      </c>
      <c r="M337" t="n">
        <v>0</v>
      </c>
      <c r="N337" t="n">
        <v>0</v>
      </c>
      <c r="O337" t="n">
        <v>1</v>
      </c>
      <c r="P337" t="n">
        <v>0</v>
      </c>
      <c r="Q337" t="n">
        <v>1</v>
      </c>
      <c r="R337" s="2" t="inlineStr">
        <is>
          <t>Spillkråka</t>
        </is>
      </c>
      <c r="S337">
        <f>HYPERLINK("https://klasma.github.io/Logging_0561/artfynd/A 37283-2023 artfynd.xlsx", "A 37283-2023")</f>
        <v/>
      </c>
      <c r="T337">
        <f>HYPERLINK("https://klasma.github.io/Logging_0561/kartor/A 37283-2023 karta.png", "A 37283-2023")</f>
        <v/>
      </c>
      <c r="U337">
        <f>HYPERLINK("https://klasma.github.io/Logging_0561/knärot/A 37283-2023 karta knärot.png", "A 37283-2023")</f>
        <v/>
      </c>
      <c r="V337">
        <f>HYPERLINK("https://klasma.github.io/Logging_0561/klagomål/A 37283-2023 FSC-klagomål.docx", "A 37283-2023")</f>
        <v/>
      </c>
      <c r="W337">
        <f>HYPERLINK("https://klasma.github.io/Logging_0561/klagomålsmail/A 37283-2023 FSC-klagomål mail.docx", "A 37283-2023")</f>
        <v/>
      </c>
      <c r="X337">
        <f>HYPERLINK("https://klasma.github.io/Logging_0561/tillsyn/A 37283-2023 tillsynsbegäran.docx", "A 37283-2023")</f>
        <v/>
      </c>
      <c r="Y337">
        <f>HYPERLINK("https://klasma.github.io/Logging_0561/tillsynsmail/A 37283-2023 tillsynsbegäran mail.docx", "A 37283-2023")</f>
        <v/>
      </c>
      <c r="Z337">
        <f>HYPERLINK("https://klasma.github.io/Logging_0561/fåglar/A 37283-2023 prioriterade fågelarter.docx", "A 37283-2023")</f>
        <v/>
      </c>
    </row>
    <row r="338" ht="15" customHeight="1">
      <c r="A338" t="inlineStr">
        <is>
          <t>A 29514-2024</t>
        </is>
      </c>
      <c r="B338" s="1" t="n">
        <v>45484</v>
      </c>
      <c r="C338" s="1" t="n">
        <v>46093</v>
      </c>
      <c r="D338" t="inlineStr">
        <is>
          <t>ÖSTERGÖTLANDS LÄN</t>
        </is>
      </c>
      <c r="E338" t="inlineStr">
        <is>
          <t>KINDA</t>
        </is>
      </c>
      <c r="G338" t="n">
        <v>18.9</v>
      </c>
      <c r="H338" t="n">
        <v>0</v>
      </c>
      <c r="I338" t="n">
        <v>0</v>
      </c>
      <c r="J338" t="n">
        <v>1</v>
      </c>
      <c r="K338" t="n">
        <v>0</v>
      </c>
      <c r="L338" t="n">
        <v>0</v>
      </c>
      <c r="M338" t="n">
        <v>0</v>
      </c>
      <c r="N338" t="n">
        <v>0</v>
      </c>
      <c r="O338" t="n">
        <v>1</v>
      </c>
      <c r="P338" t="n">
        <v>0</v>
      </c>
      <c r="Q338" t="n">
        <v>1</v>
      </c>
      <c r="R338" s="2" t="inlineStr">
        <is>
          <t>Aspelandsfibbla</t>
        </is>
      </c>
      <c r="S338">
        <f>HYPERLINK("https://klasma.github.io/Logging_0513/artfynd/A 29514-2024 artfynd.xlsx", "A 29514-2024")</f>
        <v/>
      </c>
      <c r="T338">
        <f>HYPERLINK("https://klasma.github.io/Logging_0513/kartor/A 29514-2024 karta.png", "A 29514-2024")</f>
        <v/>
      </c>
      <c r="V338">
        <f>HYPERLINK("https://klasma.github.io/Logging_0513/klagomål/A 29514-2024 FSC-klagomål.docx", "A 29514-2024")</f>
        <v/>
      </c>
      <c r="W338">
        <f>HYPERLINK("https://klasma.github.io/Logging_0513/klagomålsmail/A 29514-2024 FSC-klagomål mail.docx", "A 29514-2024")</f>
        <v/>
      </c>
      <c r="X338">
        <f>HYPERLINK("https://klasma.github.io/Logging_0513/tillsyn/A 29514-2024 tillsynsbegäran.docx", "A 29514-2024")</f>
        <v/>
      </c>
      <c r="Y338">
        <f>HYPERLINK("https://klasma.github.io/Logging_0513/tillsynsmail/A 29514-2024 tillsynsbegäran mail.docx", "A 29514-2024")</f>
        <v/>
      </c>
    </row>
    <row r="339" ht="15" customHeight="1">
      <c r="A339" t="inlineStr">
        <is>
          <t>A 31824-2025</t>
        </is>
      </c>
      <c r="B339" s="1" t="n">
        <v>45834.58208333333</v>
      </c>
      <c r="C339" s="1" t="n">
        <v>46093</v>
      </c>
      <c r="D339" t="inlineStr">
        <is>
          <t>ÖSTERGÖTLANDS LÄN</t>
        </is>
      </c>
      <c r="E339" t="inlineStr">
        <is>
          <t>KINDA</t>
        </is>
      </c>
      <c r="G339" t="n">
        <v>3.9</v>
      </c>
      <c r="H339" t="n">
        <v>0</v>
      </c>
      <c r="I339" t="n">
        <v>0</v>
      </c>
      <c r="J339" t="n">
        <v>0</v>
      </c>
      <c r="K339" t="n">
        <v>0</v>
      </c>
      <c r="L339" t="n">
        <v>1</v>
      </c>
      <c r="M339" t="n">
        <v>0</v>
      </c>
      <c r="N339" t="n">
        <v>0</v>
      </c>
      <c r="O339" t="n">
        <v>1</v>
      </c>
      <c r="P339" t="n">
        <v>1</v>
      </c>
      <c r="Q339" t="n">
        <v>1</v>
      </c>
      <c r="R339" s="2" t="inlineStr">
        <is>
          <t>Ask</t>
        </is>
      </c>
      <c r="S339">
        <f>HYPERLINK("https://klasma.github.io/Logging_0513/artfynd/A 31824-2025 artfynd.xlsx", "A 31824-2025")</f>
        <v/>
      </c>
      <c r="T339">
        <f>HYPERLINK("https://klasma.github.io/Logging_0513/kartor/A 31824-2025 karta.png", "A 31824-2025")</f>
        <v/>
      </c>
      <c r="V339">
        <f>HYPERLINK("https://klasma.github.io/Logging_0513/klagomål/A 31824-2025 FSC-klagomål.docx", "A 31824-2025")</f>
        <v/>
      </c>
      <c r="W339">
        <f>HYPERLINK("https://klasma.github.io/Logging_0513/klagomålsmail/A 31824-2025 FSC-klagomål mail.docx", "A 31824-2025")</f>
        <v/>
      </c>
      <c r="X339">
        <f>HYPERLINK("https://klasma.github.io/Logging_0513/tillsyn/A 31824-2025 tillsynsbegäran.docx", "A 31824-2025")</f>
        <v/>
      </c>
      <c r="Y339">
        <f>HYPERLINK("https://klasma.github.io/Logging_0513/tillsynsmail/A 31824-2025 tillsynsbegäran mail.docx", "A 31824-2025")</f>
        <v/>
      </c>
    </row>
    <row r="340" ht="15" customHeight="1">
      <c r="A340" t="inlineStr">
        <is>
          <t>A 18267-2024</t>
        </is>
      </c>
      <c r="B340" s="1" t="n">
        <v>45421</v>
      </c>
      <c r="C340" s="1" t="n">
        <v>46093</v>
      </c>
      <c r="D340" t="inlineStr">
        <is>
          <t>ÖSTERGÖTLANDS LÄN</t>
        </is>
      </c>
      <c r="E340" t="inlineStr">
        <is>
          <t>NORRKÖPING</t>
        </is>
      </c>
      <c r="F340" t="inlineStr">
        <is>
          <t>Holmen skog AB</t>
        </is>
      </c>
      <c r="G340" t="n">
        <v>1.4</v>
      </c>
      <c r="H340" t="n">
        <v>0</v>
      </c>
      <c r="I340" t="n">
        <v>0</v>
      </c>
      <c r="J340" t="n">
        <v>1</v>
      </c>
      <c r="K340" t="n">
        <v>0</v>
      </c>
      <c r="L340" t="n">
        <v>0</v>
      </c>
      <c r="M340" t="n">
        <v>0</v>
      </c>
      <c r="N340" t="n">
        <v>0</v>
      </c>
      <c r="O340" t="n">
        <v>1</v>
      </c>
      <c r="P340" t="n">
        <v>0</v>
      </c>
      <c r="Q340" t="n">
        <v>1</v>
      </c>
      <c r="R340" s="2" t="inlineStr">
        <is>
          <t>Mörk kolflarnlav</t>
        </is>
      </c>
      <c r="S340">
        <f>HYPERLINK("https://klasma.github.io/Logging_0581/artfynd/A 18267-2024 artfynd.xlsx", "A 18267-2024")</f>
        <v/>
      </c>
      <c r="T340">
        <f>HYPERLINK("https://klasma.github.io/Logging_0581/kartor/A 18267-2024 karta.png", "A 18267-2024")</f>
        <v/>
      </c>
      <c r="V340">
        <f>HYPERLINK("https://klasma.github.io/Logging_0581/klagomål/A 18267-2024 FSC-klagomål.docx", "A 18267-2024")</f>
        <v/>
      </c>
      <c r="W340">
        <f>HYPERLINK("https://klasma.github.io/Logging_0581/klagomålsmail/A 18267-2024 FSC-klagomål mail.docx", "A 18267-2024")</f>
        <v/>
      </c>
      <c r="X340">
        <f>HYPERLINK("https://klasma.github.io/Logging_0581/tillsyn/A 18267-2024 tillsynsbegäran.docx", "A 18267-2024")</f>
        <v/>
      </c>
      <c r="Y340">
        <f>HYPERLINK("https://klasma.github.io/Logging_0581/tillsynsmail/A 18267-2024 tillsynsbegäran mail.docx", "A 18267-2024")</f>
        <v/>
      </c>
    </row>
    <row r="341" ht="15" customHeight="1">
      <c r="A341" t="inlineStr">
        <is>
          <t>A 22526-2025</t>
        </is>
      </c>
      <c r="B341" s="1" t="n">
        <v>45786.78096064815</v>
      </c>
      <c r="C341" s="1" t="n">
        <v>46093</v>
      </c>
      <c r="D341" t="inlineStr">
        <is>
          <t>ÖSTERGÖTLANDS LÄN</t>
        </is>
      </c>
      <c r="E341" t="inlineStr">
        <is>
          <t>LINKÖPING</t>
        </is>
      </c>
      <c r="G341" t="n">
        <v>1.8</v>
      </c>
      <c r="H341" t="n">
        <v>1</v>
      </c>
      <c r="I341" t="n">
        <v>0</v>
      </c>
      <c r="J341" t="n">
        <v>1</v>
      </c>
      <c r="K341" t="n">
        <v>0</v>
      </c>
      <c r="L341" t="n">
        <v>0</v>
      </c>
      <c r="M341" t="n">
        <v>0</v>
      </c>
      <c r="N341" t="n">
        <v>0</v>
      </c>
      <c r="O341" t="n">
        <v>1</v>
      </c>
      <c r="P341" t="n">
        <v>0</v>
      </c>
      <c r="Q341" t="n">
        <v>1</v>
      </c>
      <c r="R341" s="2" t="inlineStr">
        <is>
          <t>Röd skogslilja</t>
        </is>
      </c>
      <c r="S341">
        <f>HYPERLINK("https://klasma.github.io/Logging_0580/artfynd/A 22526-2025 artfynd.xlsx", "A 22526-2025")</f>
        <v/>
      </c>
      <c r="T341">
        <f>HYPERLINK("https://klasma.github.io/Logging_0580/kartor/A 22526-2025 karta.png", "A 22526-2025")</f>
        <v/>
      </c>
      <c r="V341">
        <f>HYPERLINK("https://klasma.github.io/Logging_0580/klagomål/A 22526-2025 FSC-klagomål.docx", "A 22526-2025")</f>
        <v/>
      </c>
      <c r="W341">
        <f>HYPERLINK("https://klasma.github.io/Logging_0580/klagomålsmail/A 22526-2025 FSC-klagomål mail.docx", "A 22526-2025")</f>
        <v/>
      </c>
      <c r="X341">
        <f>HYPERLINK("https://klasma.github.io/Logging_0580/tillsyn/A 22526-2025 tillsynsbegäran.docx", "A 22526-2025")</f>
        <v/>
      </c>
      <c r="Y341">
        <f>HYPERLINK("https://klasma.github.io/Logging_0580/tillsynsmail/A 22526-2025 tillsynsbegäran mail.docx", "A 22526-2025")</f>
        <v/>
      </c>
    </row>
    <row r="342" ht="15" customHeight="1">
      <c r="A342" t="inlineStr">
        <is>
          <t>A 7564-2025</t>
        </is>
      </c>
      <c r="B342" s="1" t="n">
        <v>45705.59221064814</v>
      </c>
      <c r="C342" s="1" t="n">
        <v>46093</v>
      </c>
      <c r="D342" t="inlineStr">
        <is>
          <t>ÖSTERGÖTLANDS LÄN</t>
        </is>
      </c>
      <c r="E342" t="inlineStr">
        <is>
          <t>MJÖLBY</t>
        </is>
      </c>
      <c r="G342" t="n">
        <v>1.1</v>
      </c>
      <c r="H342" t="n">
        <v>0</v>
      </c>
      <c r="I342" t="n">
        <v>0</v>
      </c>
      <c r="J342" t="n">
        <v>1</v>
      </c>
      <c r="K342" t="n">
        <v>0</v>
      </c>
      <c r="L342" t="n">
        <v>0</v>
      </c>
      <c r="M342" t="n">
        <v>0</v>
      </c>
      <c r="N342" t="n">
        <v>0</v>
      </c>
      <c r="O342" t="n">
        <v>1</v>
      </c>
      <c r="P342" t="n">
        <v>0</v>
      </c>
      <c r="Q342" t="n">
        <v>1</v>
      </c>
      <c r="R342" s="2" t="inlineStr">
        <is>
          <t>Solvända</t>
        </is>
      </c>
      <c r="S342">
        <f>HYPERLINK("https://klasma.github.io/Logging_0586/artfynd/A 7564-2025 artfynd.xlsx", "A 7564-2025")</f>
        <v/>
      </c>
      <c r="T342">
        <f>HYPERLINK("https://klasma.github.io/Logging_0586/kartor/A 7564-2025 karta.png", "A 7564-2025")</f>
        <v/>
      </c>
      <c r="V342">
        <f>HYPERLINK("https://klasma.github.io/Logging_0586/klagomål/A 7564-2025 FSC-klagomål.docx", "A 7564-2025")</f>
        <v/>
      </c>
      <c r="W342">
        <f>HYPERLINK("https://klasma.github.io/Logging_0586/klagomålsmail/A 7564-2025 FSC-klagomål mail.docx", "A 7564-2025")</f>
        <v/>
      </c>
      <c r="X342">
        <f>HYPERLINK("https://klasma.github.io/Logging_0586/tillsyn/A 7564-2025 tillsynsbegäran.docx", "A 7564-2025")</f>
        <v/>
      </c>
      <c r="Y342">
        <f>HYPERLINK("https://klasma.github.io/Logging_0586/tillsynsmail/A 7564-2025 tillsynsbegäran mail.docx", "A 7564-2025")</f>
        <v/>
      </c>
    </row>
    <row r="343" ht="15" customHeight="1">
      <c r="A343" t="inlineStr">
        <is>
          <t>A 19103-2021</t>
        </is>
      </c>
      <c r="B343" s="1" t="n">
        <v>44308</v>
      </c>
      <c r="C343" s="1" t="n">
        <v>46093</v>
      </c>
      <c r="D343" t="inlineStr">
        <is>
          <t>ÖSTERGÖTLANDS LÄN</t>
        </is>
      </c>
      <c r="E343" t="inlineStr">
        <is>
          <t>LINKÖPING</t>
        </is>
      </c>
      <c r="G343" t="n">
        <v>4.7</v>
      </c>
      <c r="H343" t="n">
        <v>0</v>
      </c>
      <c r="I343" t="n">
        <v>0</v>
      </c>
      <c r="J343" t="n">
        <v>1</v>
      </c>
      <c r="K343" t="n">
        <v>0</v>
      </c>
      <c r="L343" t="n">
        <v>0</v>
      </c>
      <c r="M343" t="n">
        <v>0</v>
      </c>
      <c r="N343" t="n">
        <v>0</v>
      </c>
      <c r="O343" t="n">
        <v>1</v>
      </c>
      <c r="P343" t="n">
        <v>0</v>
      </c>
      <c r="Q343" t="n">
        <v>1</v>
      </c>
      <c r="R343" s="2" t="inlineStr">
        <is>
          <t>Tallticka</t>
        </is>
      </c>
      <c r="S343">
        <f>HYPERLINK("https://klasma.github.io/Logging_0580/artfynd/A 19103-2021 artfynd.xlsx", "A 19103-2021")</f>
        <v/>
      </c>
      <c r="T343">
        <f>HYPERLINK("https://klasma.github.io/Logging_0580/kartor/A 19103-2021 karta.png", "A 19103-2021")</f>
        <v/>
      </c>
      <c r="V343">
        <f>HYPERLINK("https://klasma.github.io/Logging_0580/klagomål/A 19103-2021 FSC-klagomål.docx", "A 19103-2021")</f>
        <v/>
      </c>
      <c r="W343">
        <f>HYPERLINK("https://klasma.github.io/Logging_0580/klagomålsmail/A 19103-2021 FSC-klagomål mail.docx", "A 19103-2021")</f>
        <v/>
      </c>
      <c r="X343">
        <f>HYPERLINK("https://klasma.github.io/Logging_0580/tillsyn/A 19103-2021 tillsynsbegäran.docx", "A 19103-2021")</f>
        <v/>
      </c>
      <c r="Y343">
        <f>HYPERLINK("https://klasma.github.io/Logging_0580/tillsynsmail/A 19103-2021 tillsynsbegäran mail.docx", "A 19103-2021")</f>
        <v/>
      </c>
    </row>
    <row r="344" ht="15" customHeight="1">
      <c r="A344" t="inlineStr">
        <is>
          <t>A 48448-2021</t>
        </is>
      </c>
      <c r="B344" s="1" t="n">
        <v>44452</v>
      </c>
      <c r="C344" s="1" t="n">
        <v>46093</v>
      </c>
      <c r="D344" t="inlineStr">
        <is>
          <t>ÖSTERGÖTLANDS LÄN</t>
        </is>
      </c>
      <c r="E344" t="inlineStr">
        <is>
          <t>KINDA</t>
        </is>
      </c>
      <c r="F344" t="inlineStr">
        <is>
          <t>Övriga Aktiebolag</t>
        </is>
      </c>
      <c r="G344" t="n">
        <v>4.1</v>
      </c>
      <c r="H344" t="n">
        <v>1</v>
      </c>
      <c r="I344" t="n">
        <v>0</v>
      </c>
      <c r="J344" t="n">
        <v>1</v>
      </c>
      <c r="K344" t="n">
        <v>0</v>
      </c>
      <c r="L344" t="n">
        <v>0</v>
      </c>
      <c r="M344" t="n">
        <v>0</v>
      </c>
      <c r="N344" t="n">
        <v>0</v>
      </c>
      <c r="O344" t="n">
        <v>1</v>
      </c>
      <c r="P344" t="n">
        <v>0</v>
      </c>
      <c r="Q344" t="n">
        <v>1</v>
      </c>
      <c r="R344" s="2" t="inlineStr">
        <is>
          <t>Talltita</t>
        </is>
      </c>
      <c r="S344">
        <f>HYPERLINK("https://klasma.github.io/Logging_0513/artfynd/A 48448-2021 artfynd.xlsx", "A 48448-2021")</f>
        <v/>
      </c>
      <c r="T344">
        <f>HYPERLINK("https://klasma.github.io/Logging_0513/kartor/A 48448-2021 karta.png", "A 48448-2021")</f>
        <v/>
      </c>
      <c r="V344">
        <f>HYPERLINK("https://klasma.github.io/Logging_0513/klagomål/A 48448-2021 FSC-klagomål.docx", "A 48448-2021")</f>
        <v/>
      </c>
      <c r="W344">
        <f>HYPERLINK("https://klasma.github.io/Logging_0513/klagomålsmail/A 48448-2021 FSC-klagomål mail.docx", "A 48448-2021")</f>
        <v/>
      </c>
      <c r="X344">
        <f>HYPERLINK("https://klasma.github.io/Logging_0513/tillsyn/A 48448-2021 tillsynsbegäran.docx", "A 48448-2021")</f>
        <v/>
      </c>
      <c r="Y344">
        <f>HYPERLINK("https://klasma.github.io/Logging_0513/tillsynsmail/A 48448-2021 tillsynsbegäran mail.docx", "A 48448-2021")</f>
        <v/>
      </c>
      <c r="Z344">
        <f>HYPERLINK("https://klasma.github.io/Logging_0513/fåglar/A 48448-2021 prioriterade fågelarter.docx", "A 48448-2021")</f>
        <v/>
      </c>
    </row>
    <row r="345" ht="15" customHeight="1">
      <c r="A345" t="inlineStr">
        <is>
          <t>A 54872-2022</t>
        </is>
      </c>
      <c r="B345" s="1" t="n">
        <v>44886</v>
      </c>
      <c r="C345" s="1" t="n">
        <v>46093</v>
      </c>
      <c r="D345" t="inlineStr">
        <is>
          <t>ÖSTERGÖTLANDS LÄN</t>
        </is>
      </c>
      <c r="E345" t="inlineStr">
        <is>
          <t>KINDA</t>
        </is>
      </c>
      <c r="G345" t="n">
        <v>1.1</v>
      </c>
      <c r="H345" t="n">
        <v>1</v>
      </c>
      <c r="I345" t="n">
        <v>0</v>
      </c>
      <c r="J345" t="n">
        <v>0</v>
      </c>
      <c r="K345" t="n">
        <v>0</v>
      </c>
      <c r="L345" t="n">
        <v>0</v>
      </c>
      <c r="M345" t="n">
        <v>0</v>
      </c>
      <c r="N345" t="n">
        <v>0</v>
      </c>
      <c r="O345" t="n">
        <v>0</v>
      </c>
      <c r="P345" t="n">
        <v>0</v>
      </c>
      <c r="Q345" t="n">
        <v>1</v>
      </c>
      <c r="R345" s="2" t="inlineStr">
        <is>
          <t>Tjäder</t>
        </is>
      </c>
      <c r="S345">
        <f>HYPERLINK("https://klasma.github.io/Logging_0513/artfynd/A 54872-2022 artfynd.xlsx", "A 54872-2022")</f>
        <v/>
      </c>
      <c r="T345">
        <f>HYPERLINK("https://klasma.github.io/Logging_0513/kartor/A 54872-2022 karta.png", "A 54872-2022")</f>
        <v/>
      </c>
      <c r="V345">
        <f>HYPERLINK("https://klasma.github.io/Logging_0513/klagomål/A 54872-2022 FSC-klagomål.docx", "A 54872-2022")</f>
        <v/>
      </c>
      <c r="W345">
        <f>HYPERLINK("https://klasma.github.io/Logging_0513/klagomålsmail/A 54872-2022 FSC-klagomål mail.docx", "A 54872-2022")</f>
        <v/>
      </c>
      <c r="X345">
        <f>HYPERLINK("https://klasma.github.io/Logging_0513/tillsyn/A 54872-2022 tillsynsbegäran.docx", "A 54872-2022")</f>
        <v/>
      </c>
      <c r="Y345">
        <f>HYPERLINK("https://klasma.github.io/Logging_0513/tillsynsmail/A 54872-2022 tillsynsbegäran mail.docx", "A 54872-2022")</f>
        <v/>
      </c>
      <c r="Z345">
        <f>HYPERLINK("https://klasma.github.io/Logging_0513/fåglar/A 54872-2022 prioriterade fågelarter.docx", "A 54872-2022")</f>
        <v/>
      </c>
    </row>
    <row r="346" ht="15" customHeight="1">
      <c r="A346" t="inlineStr">
        <is>
          <t>A 45317-2023</t>
        </is>
      </c>
      <c r="B346" s="1" t="n">
        <v>45191.74868055555</v>
      </c>
      <c r="C346" s="1" t="n">
        <v>46093</v>
      </c>
      <c r="D346" t="inlineStr">
        <is>
          <t>ÖSTERGÖTLANDS LÄN</t>
        </is>
      </c>
      <c r="E346" t="inlineStr">
        <is>
          <t>LINKÖPING</t>
        </is>
      </c>
      <c r="F346" t="inlineStr">
        <is>
          <t>Allmännings- och besparingsskogar</t>
        </is>
      </c>
      <c r="G346" t="n">
        <v>29.3</v>
      </c>
      <c r="H346" t="n">
        <v>0</v>
      </c>
      <c r="I346" t="n">
        <v>0</v>
      </c>
      <c r="J346" t="n">
        <v>1</v>
      </c>
      <c r="K346" t="n">
        <v>0</v>
      </c>
      <c r="L346" t="n">
        <v>0</v>
      </c>
      <c r="M346" t="n">
        <v>0</v>
      </c>
      <c r="N346" t="n">
        <v>0</v>
      </c>
      <c r="O346" t="n">
        <v>1</v>
      </c>
      <c r="P346" t="n">
        <v>0</v>
      </c>
      <c r="Q346" t="n">
        <v>1</v>
      </c>
      <c r="R346" s="2" t="inlineStr">
        <is>
          <t>Svinrot</t>
        </is>
      </c>
      <c r="S346">
        <f>HYPERLINK("https://klasma.github.io/Logging_0580/artfynd/A 45317-2023 artfynd.xlsx", "A 45317-2023")</f>
        <v/>
      </c>
      <c r="T346">
        <f>HYPERLINK("https://klasma.github.io/Logging_0580/kartor/A 45317-2023 karta.png", "A 45317-2023")</f>
        <v/>
      </c>
      <c r="V346">
        <f>HYPERLINK("https://klasma.github.io/Logging_0580/klagomål/A 45317-2023 FSC-klagomål.docx", "A 45317-2023")</f>
        <v/>
      </c>
      <c r="W346">
        <f>HYPERLINK("https://klasma.github.io/Logging_0580/klagomålsmail/A 45317-2023 FSC-klagomål mail.docx", "A 45317-2023")</f>
        <v/>
      </c>
      <c r="X346">
        <f>HYPERLINK("https://klasma.github.io/Logging_0580/tillsyn/A 45317-2023 tillsynsbegäran.docx", "A 45317-2023")</f>
        <v/>
      </c>
      <c r="Y346">
        <f>HYPERLINK("https://klasma.github.io/Logging_0580/tillsynsmail/A 45317-2023 tillsynsbegäran mail.docx", "A 45317-2023")</f>
        <v/>
      </c>
    </row>
    <row r="347" ht="15" customHeight="1">
      <c r="A347" t="inlineStr">
        <is>
          <t>A 4051-2023</t>
        </is>
      </c>
      <c r="B347" s="1" t="n">
        <v>44952</v>
      </c>
      <c r="C347" s="1" t="n">
        <v>46093</v>
      </c>
      <c r="D347" t="inlineStr">
        <is>
          <t>ÖSTERGÖTLANDS LÄN</t>
        </is>
      </c>
      <c r="E347" t="inlineStr">
        <is>
          <t>VALDEMARSVIK</t>
        </is>
      </c>
      <c r="G347" t="n">
        <v>2.5</v>
      </c>
      <c r="H347" t="n">
        <v>0</v>
      </c>
      <c r="I347" t="n">
        <v>0</v>
      </c>
      <c r="J347" t="n">
        <v>1</v>
      </c>
      <c r="K347" t="n">
        <v>0</v>
      </c>
      <c r="L347" t="n">
        <v>0</v>
      </c>
      <c r="M347" t="n">
        <v>0</v>
      </c>
      <c r="N347" t="n">
        <v>0</v>
      </c>
      <c r="O347" t="n">
        <v>1</v>
      </c>
      <c r="P347" t="n">
        <v>0</v>
      </c>
      <c r="Q347" t="n">
        <v>1</v>
      </c>
      <c r="R347" s="2" t="inlineStr">
        <is>
          <t>Skogsklocka</t>
        </is>
      </c>
      <c r="S347">
        <f>HYPERLINK("https://klasma.github.io/Logging_0563/artfynd/A 4051-2023 artfynd.xlsx", "A 4051-2023")</f>
        <v/>
      </c>
      <c r="T347">
        <f>HYPERLINK("https://klasma.github.io/Logging_0563/kartor/A 4051-2023 karta.png", "A 4051-2023")</f>
        <v/>
      </c>
      <c r="V347">
        <f>HYPERLINK("https://klasma.github.io/Logging_0563/klagomål/A 4051-2023 FSC-klagomål.docx", "A 4051-2023")</f>
        <v/>
      </c>
      <c r="W347">
        <f>HYPERLINK("https://klasma.github.io/Logging_0563/klagomålsmail/A 4051-2023 FSC-klagomål mail.docx", "A 4051-2023")</f>
        <v/>
      </c>
      <c r="X347">
        <f>HYPERLINK("https://klasma.github.io/Logging_0563/tillsyn/A 4051-2023 tillsynsbegäran.docx", "A 4051-2023")</f>
        <v/>
      </c>
      <c r="Y347">
        <f>HYPERLINK("https://klasma.github.io/Logging_0563/tillsynsmail/A 4051-2023 tillsynsbegäran mail.docx", "A 4051-2023")</f>
        <v/>
      </c>
    </row>
    <row r="348" ht="15" customHeight="1">
      <c r="A348" t="inlineStr">
        <is>
          <t>A 25651-2024</t>
        </is>
      </c>
      <c r="B348" s="1" t="n">
        <v>45463</v>
      </c>
      <c r="C348" s="1" t="n">
        <v>46093</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20295-2025</t>
        </is>
      </c>
      <c r="B349" s="1" t="n">
        <v>45774.74846064814</v>
      </c>
      <c r="C349" s="1" t="n">
        <v>46093</v>
      </c>
      <c r="D349" t="inlineStr">
        <is>
          <t>ÖSTERGÖTLANDS LÄN</t>
        </is>
      </c>
      <c r="E349" t="inlineStr">
        <is>
          <t>LINKÖPING</t>
        </is>
      </c>
      <c r="G349" t="n">
        <v>3</v>
      </c>
      <c r="H349" t="n">
        <v>0</v>
      </c>
      <c r="I349" t="n">
        <v>0</v>
      </c>
      <c r="J349" t="n">
        <v>1</v>
      </c>
      <c r="K349" t="n">
        <v>0</v>
      </c>
      <c r="L349" t="n">
        <v>0</v>
      </c>
      <c r="M349" t="n">
        <v>0</v>
      </c>
      <c r="N349" t="n">
        <v>0</v>
      </c>
      <c r="O349" t="n">
        <v>1</v>
      </c>
      <c r="P349" t="n">
        <v>0</v>
      </c>
      <c r="Q349" t="n">
        <v>1</v>
      </c>
      <c r="R349" s="2" t="inlineStr">
        <is>
          <t>Tallticka</t>
        </is>
      </c>
      <c r="S349">
        <f>HYPERLINK("https://klasma.github.io/Logging_0580/artfynd/A 20295-2025 artfynd.xlsx", "A 20295-2025")</f>
        <v/>
      </c>
      <c r="T349">
        <f>HYPERLINK("https://klasma.github.io/Logging_0580/kartor/A 20295-2025 karta.png", "A 20295-2025")</f>
        <v/>
      </c>
      <c r="V349">
        <f>HYPERLINK("https://klasma.github.io/Logging_0580/klagomål/A 20295-2025 FSC-klagomål.docx", "A 20295-2025")</f>
        <v/>
      </c>
      <c r="W349">
        <f>HYPERLINK("https://klasma.github.io/Logging_0580/klagomålsmail/A 20295-2025 FSC-klagomål mail.docx", "A 20295-2025")</f>
        <v/>
      </c>
      <c r="X349">
        <f>HYPERLINK("https://klasma.github.io/Logging_0580/tillsyn/A 20295-2025 tillsynsbegäran.docx", "A 20295-2025")</f>
        <v/>
      </c>
      <c r="Y349">
        <f>HYPERLINK("https://klasma.github.io/Logging_0580/tillsynsmail/A 20295-2025 tillsynsbegäran mail.docx", "A 20295-2025")</f>
        <v/>
      </c>
    </row>
    <row r="350" ht="15" customHeight="1">
      <c r="A350" t="inlineStr">
        <is>
          <t>A 37683-2024</t>
        </is>
      </c>
      <c r="B350" s="1" t="n">
        <v>45541.59120370371</v>
      </c>
      <c r="C350" s="1" t="n">
        <v>46093</v>
      </c>
      <c r="D350" t="inlineStr">
        <is>
          <t>ÖSTERGÖTLANDS LÄN</t>
        </is>
      </c>
      <c r="E350" t="inlineStr">
        <is>
          <t>LINKÖPING</t>
        </is>
      </c>
      <c r="G350" t="n">
        <v>0.6</v>
      </c>
      <c r="H350" t="n">
        <v>0</v>
      </c>
      <c r="I350" t="n">
        <v>1</v>
      </c>
      <c r="J350" t="n">
        <v>0</v>
      </c>
      <c r="K350" t="n">
        <v>0</v>
      </c>
      <c r="L350" t="n">
        <v>0</v>
      </c>
      <c r="M350" t="n">
        <v>0</v>
      </c>
      <c r="N350" t="n">
        <v>0</v>
      </c>
      <c r="O350" t="n">
        <v>0</v>
      </c>
      <c r="P350" t="n">
        <v>0</v>
      </c>
      <c r="Q350" t="n">
        <v>1</v>
      </c>
      <c r="R350" s="2" t="inlineStr">
        <is>
          <t>Tibast</t>
        </is>
      </c>
      <c r="S350">
        <f>HYPERLINK("https://klasma.github.io/Logging_0580/artfynd/A 37683-2024 artfynd.xlsx", "A 37683-2024")</f>
        <v/>
      </c>
      <c r="T350">
        <f>HYPERLINK("https://klasma.github.io/Logging_0580/kartor/A 37683-2024 karta.png", "A 37683-2024")</f>
        <v/>
      </c>
      <c r="V350">
        <f>HYPERLINK("https://klasma.github.io/Logging_0580/klagomål/A 37683-2024 FSC-klagomål.docx", "A 37683-2024")</f>
        <v/>
      </c>
      <c r="W350">
        <f>HYPERLINK("https://klasma.github.io/Logging_0580/klagomålsmail/A 37683-2024 FSC-klagomål mail.docx", "A 37683-2024")</f>
        <v/>
      </c>
      <c r="X350">
        <f>HYPERLINK("https://klasma.github.io/Logging_0580/tillsyn/A 37683-2024 tillsynsbegäran.docx", "A 37683-2024")</f>
        <v/>
      </c>
      <c r="Y350">
        <f>HYPERLINK("https://klasma.github.io/Logging_0580/tillsynsmail/A 37683-2024 tillsynsbegäran mail.docx", "A 37683-2024")</f>
        <v/>
      </c>
    </row>
    <row r="351" ht="15" customHeight="1">
      <c r="A351" t="inlineStr">
        <is>
          <t>A 40002-2025</t>
        </is>
      </c>
      <c r="B351" s="1" t="n">
        <v>45894.33137731482</v>
      </c>
      <c r="C351" s="1" t="n">
        <v>46093</v>
      </c>
      <c r="D351" t="inlineStr">
        <is>
          <t>ÖSTERGÖTLANDS LÄN</t>
        </is>
      </c>
      <c r="E351" t="inlineStr">
        <is>
          <t>FINSPÅNG</t>
        </is>
      </c>
      <c r="F351" t="inlineStr">
        <is>
          <t>Holmen skog AB</t>
        </is>
      </c>
      <c r="G351" t="n">
        <v>2.4</v>
      </c>
      <c r="H351" t="n">
        <v>0</v>
      </c>
      <c r="I351" t="n">
        <v>0</v>
      </c>
      <c r="J351" t="n">
        <v>1</v>
      </c>
      <c r="K351" t="n">
        <v>0</v>
      </c>
      <c r="L351" t="n">
        <v>0</v>
      </c>
      <c r="M351" t="n">
        <v>0</v>
      </c>
      <c r="N351" t="n">
        <v>0</v>
      </c>
      <c r="O351" t="n">
        <v>1</v>
      </c>
      <c r="P351" t="n">
        <v>0</v>
      </c>
      <c r="Q351" t="n">
        <v>1</v>
      </c>
      <c r="R351" s="2" t="inlineStr">
        <is>
          <t>Svartvit taggsvamp</t>
        </is>
      </c>
      <c r="S351">
        <f>HYPERLINK("https://klasma.github.io/Logging_0562/artfynd/A 40002-2025 artfynd.xlsx", "A 40002-2025")</f>
        <v/>
      </c>
      <c r="T351">
        <f>HYPERLINK("https://klasma.github.io/Logging_0562/kartor/A 40002-2025 karta.png", "A 40002-2025")</f>
        <v/>
      </c>
      <c r="V351">
        <f>HYPERLINK("https://klasma.github.io/Logging_0562/klagomål/A 40002-2025 FSC-klagomål.docx", "A 40002-2025")</f>
        <v/>
      </c>
      <c r="W351">
        <f>HYPERLINK("https://klasma.github.io/Logging_0562/klagomålsmail/A 40002-2025 FSC-klagomål mail.docx", "A 40002-2025")</f>
        <v/>
      </c>
      <c r="X351">
        <f>HYPERLINK("https://klasma.github.io/Logging_0562/tillsyn/A 40002-2025 tillsynsbegäran.docx", "A 40002-2025")</f>
        <v/>
      </c>
      <c r="Y351">
        <f>HYPERLINK("https://klasma.github.io/Logging_0562/tillsynsmail/A 40002-2025 tillsynsbegäran mail.docx", "A 40002-2025")</f>
        <v/>
      </c>
    </row>
    <row r="352" ht="15" customHeight="1">
      <c r="A352" t="inlineStr">
        <is>
          <t>A 5414-2024</t>
        </is>
      </c>
      <c r="B352" s="1" t="n">
        <v>45331</v>
      </c>
      <c r="C352" s="1" t="n">
        <v>46093</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52667-2022</t>
        </is>
      </c>
      <c r="B353" s="1" t="n">
        <v>44874</v>
      </c>
      <c r="C353" s="1" t="n">
        <v>46093</v>
      </c>
      <c r="D353" t="inlineStr">
        <is>
          <t>ÖSTERGÖTLANDS LÄN</t>
        </is>
      </c>
      <c r="E353" t="inlineStr">
        <is>
          <t>YDRE</t>
        </is>
      </c>
      <c r="G353" t="n">
        <v>1.2</v>
      </c>
      <c r="H353" t="n">
        <v>1</v>
      </c>
      <c r="I353" t="n">
        <v>0</v>
      </c>
      <c r="J353" t="n">
        <v>0</v>
      </c>
      <c r="K353" t="n">
        <v>0</v>
      </c>
      <c r="L353" t="n">
        <v>0</v>
      </c>
      <c r="M353" t="n">
        <v>0</v>
      </c>
      <c r="N353" t="n">
        <v>0</v>
      </c>
      <c r="O353" t="n">
        <v>0</v>
      </c>
      <c r="P353" t="n">
        <v>0</v>
      </c>
      <c r="Q353" t="n">
        <v>1</v>
      </c>
      <c r="R353" s="2" t="inlineStr">
        <is>
          <t>Mattlummer</t>
        </is>
      </c>
      <c r="S353">
        <f>HYPERLINK("https://klasma.github.io/Logging_0512/artfynd/A 52667-2022 artfynd.xlsx", "A 52667-2022")</f>
        <v/>
      </c>
      <c r="T353">
        <f>HYPERLINK("https://klasma.github.io/Logging_0512/kartor/A 52667-2022 karta.png", "A 52667-2022")</f>
        <v/>
      </c>
      <c r="V353">
        <f>HYPERLINK("https://klasma.github.io/Logging_0512/klagomål/A 52667-2022 FSC-klagomål.docx", "A 52667-2022")</f>
        <v/>
      </c>
      <c r="W353">
        <f>HYPERLINK("https://klasma.github.io/Logging_0512/klagomålsmail/A 52667-2022 FSC-klagomål mail.docx", "A 52667-2022")</f>
        <v/>
      </c>
      <c r="X353">
        <f>HYPERLINK("https://klasma.github.io/Logging_0512/tillsyn/A 52667-2022 tillsynsbegäran.docx", "A 52667-2022")</f>
        <v/>
      </c>
      <c r="Y353">
        <f>HYPERLINK("https://klasma.github.io/Logging_0512/tillsynsmail/A 52667-2022 tillsynsbegäran mail.docx", "A 52667-2022")</f>
        <v/>
      </c>
    </row>
    <row r="354" ht="15" customHeight="1">
      <c r="A354" t="inlineStr">
        <is>
          <t>A 35948-2023</t>
        </is>
      </c>
      <c r="B354" s="1" t="n">
        <v>45148</v>
      </c>
      <c r="C354" s="1" t="n">
        <v>46093</v>
      </c>
      <c r="D354" t="inlineStr">
        <is>
          <t>ÖSTERGÖTLANDS LÄN</t>
        </is>
      </c>
      <c r="E354" t="inlineStr">
        <is>
          <t>LINKÖPING</t>
        </is>
      </c>
      <c r="G354" t="n">
        <v>1.9</v>
      </c>
      <c r="H354" t="n">
        <v>0</v>
      </c>
      <c r="I354" t="n">
        <v>1</v>
      </c>
      <c r="J354" t="n">
        <v>0</v>
      </c>
      <c r="K354" t="n">
        <v>0</v>
      </c>
      <c r="L354" t="n">
        <v>0</v>
      </c>
      <c r="M354" t="n">
        <v>0</v>
      </c>
      <c r="N354" t="n">
        <v>0</v>
      </c>
      <c r="O354" t="n">
        <v>0</v>
      </c>
      <c r="P354" t="n">
        <v>0</v>
      </c>
      <c r="Q354" t="n">
        <v>1</v>
      </c>
      <c r="R354" s="2" t="inlineStr">
        <is>
          <t>Brun nållav</t>
        </is>
      </c>
      <c r="S354">
        <f>HYPERLINK("https://klasma.github.io/Logging_0580/artfynd/A 35948-2023 artfynd.xlsx", "A 35948-2023")</f>
        <v/>
      </c>
      <c r="T354">
        <f>HYPERLINK("https://klasma.github.io/Logging_0580/kartor/A 35948-2023 karta.png", "A 35948-2023")</f>
        <v/>
      </c>
      <c r="V354">
        <f>HYPERLINK("https://klasma.github.io/Logging_0580/klagomål/A 35948-2023 FSC-klagomål.docx", "A 35948-2023")</f>
        <v/>
      </c>
      <c r="W354">
        <f>HYPERLINK("https://klasma.github.io/Logging_0580/klagomålsmail/A 35948-2023 FSC-klagomål mail.docx", "A 35948-2023")</f>
        <v/>
      </c>
      <c r="X354">
        <f>HYPERLINK("https://klasma.github.io/Logging_0580/tillsyn/A 35948-2023 tillsynsbegäran.docx", "A 35948-2023")</f>
        <v/>
      </c>
      <c r="Y354">
        <f>HYPERLINK("https://klasma.github.io/Logging_0580/tillsynsmail/A 35948-2023 tillsynsbegäran mail.docx", "A 35948-2023")</f>
        <v/>
      </c>
    </row>
    <row r="355" ht="15" customHeight="1">
      <c r="A355" t="inlineStr">
        <is>
          <t>A 19360-2023</t>
        </is>
      </c>
      <c r="B355" s="1" t="n">
        <v>45049</v>
      </c>
      <c r="C355" s="1" t="n">
        <v>46093</v>
      </c>
      <c r="D355" t="inlineStr">
        <is>
          <t>ÖSTERGÖTLANDS LÄN</t>
        </is>
      </c>
      <c r="E355" t="inlineStr">
        <is>
          <t>KINDA</t>
        </is>
      </c>
      <c r="G355" t="n">
        <v>5.8</v>
      </c>
      <c r="H355" t="n">
        <v>0</v>
      </c>
      <c r="I355" t="n">
        <v>1</v>
      </c>
      <c r="J355" t="n">
        <v>0</v>
      </c>
      <c r="K355" t="n">
        <v>0</v>
      </c>
      <c r="L355" t="n">
        <v>0</v>
      </c>
      <c r="M355" t="n">
        <v>0</v>
      </c>
      <c r="N355" t="n">
        <v>0</v>
      </c>
      <c r="O355" t="n">
        <v>0</v>
      </c>
      <c r="P355" t="n">
        <v>0</v>
      </c>
      <c r="Q355" t="n">
        <v>1</v>
      </c>
      <c r="R355" s="2" t="inlineStr">
        <is>
          <t>Sårläka</t>
        </is>
      </c>
      <c r="S355">
        <f>HYPERLINK("https://klasma.github.io/Logging_0513/artfynd/A 19360-2023 artfynd.xlsx", "A 19360-2023")</f>
        <v/>
      </c>
      <c r="T355">
        <f>HYPERLINK("https://klasma.github.io/Logging_0513/kartor/A 19360-2023 karta.png", "A 19360-2023")</f>
        <v/>
      </c>
      <c r="V355">
        <f>HYPERLINK("https://klasma.github.io/Logging_0513/klagomål/A 19360-2023 FSC-klagomål.docx", "A 19360-2023")</f>
        <v/>
      </c>
      <c r="W355">
        <f>HYPERLINK("https://klasma.github.io/Logging_0513/klagomålsmail/A 19360-2023 FSC-klagomål mail.docx", "A 19360-2023")</f>
        <v/>
      </c>
      <c r="X355">
        <f>HYPERLINK("https://klasma.github.io/Logging_0513/tillsyn/A 19360-2023 tillsynsbegäran.docx", "A 19360-2023")</f>
        <v/>
      </c>
      <c r="Y355">
        <f>HYPERLINK("https://klasma.github.io/Logging_0513/tillsynsmail/A 19360-2023 tillsynsbegäran mail.docx", "A 19360-2023")</f>
        <v/>
      </c>
    </row>
    <row r="356" ht="15" customHeight="1">
      <c r="A356" t="inlineStr">
        <is>
          <t>A 41274-2025</t>
        </is>
      </c>
      <c r="B356" s="1" t="n">
        <v>45898.62613425926</v>
      </c>
      <c r="C356" s="1" t="n">
        <v>46093</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40874-2023</t>
        </is>
      </c>
      <c r="B357" s="1" t="n">
        <v>45173.36244212963</v>
      </c>
      <c r="C357" s="1" t="n">
        <v>46093</v>
      </c>
      <c r="D357" t="inlineStr">
        <is>
          <t>ÖSTERGÖTLANDS LÄN</t>
        </is>
      </c>
      <c r="E357" t="inlineStr">
        <is>
          <t>VALDEMARSVIK</t>
        </is>
      </c>
      <c r="G357" t="n">
        <v>1.5</v>
      </c>
      <c r="H357" t="n">
        <v>1</v>
      </c>
      <c r="I357" t="n">
        <v>0</v>
      </c>
      <c r="J357" t="n">
        <v>0</v>
      </c>
      <c r="K357" t="n">
        <v>0</v>
      </c>
      <c r="L357" t="n">
        <v>0</v>
      </c>
      <c r="M357" t="n">
        <v>0</v>
      </c>
      <c r="N357" t="n">
        <v>0</v>
      </c>
      <c r="O357" t="n">
        <v>0</v>
      </c>
      <c r="P357" t="n">
        <v>0</v>
      </c>
      <c r="Q357" t="n">
        <v>1</v>
      </c>
      <c r="R357" s="2" t="inlineStr">
        <is>
          <t>Lopplummer (aggregat)</t>
        </is>
      </c>
      <c r="S357">
        <f>HYPERLINK("https://klasma.github.io/Logging_0563/artfynd/A 40874-2023 artfynd.xlsx", "A 40874-2023")</f>
        <v/>
      </c>
      <c r="T357">
        <f>HYPERLINK("https://klasma.github.io/Logging_0563/kartor/A 40874-2023 karta.png", "A 40874-2023")</f>
        <v/>
      </c>
      <c r="V357">
        <f>HYPERLINK("https://klasma.github.io/Logging_0563/klagomål/A 40874-2023 FSC-klagomål.docx", "A 40874-2023")</f>
        <v/>
      </c>
      <c r="W357">
        <f>HYPERLINK("https://klasma.github.io/Logging_0563/klagomålsmail/A 40874-2023 FSC-klagomål mail.docx", "A 40874-2023")</f>
        <v/>
      </c>
      <c r="X357">
        <f>HYPERLINK("https://klasma.github.io/Logging_0563/tillsyn/A 40874-2023 tillsynsbegäran.docx", "A 40874-2023")</f>
        <v/>
      </c>
      <c r="Y357">
        <f>HYPERLINK("https://klasma.github.io/Logging_0563/tillsynsmail/A 40874-2023 tillsynsbegäran mail.docx", "A 40874-2023")</f>
        <v/>
      </c>
    </row>
    <row r="358" ht="15" customHeight="1">
      <c r="A358" t="inlineStr">
        <is>
          <t>A 57522-2024</t>
        </is>
      </c>
      <c r="B358" s="1" t="n">
        <v>45630.41168981481</v>
      </c>
      <c r="C358" s="1" t="n">
        <v>46093</v>
      </c>
      <c r="D358" t="inlineStr">
        <is>
          <t>ÖSTERGÖTLANDS LÄN</t>
        </is>
      </c>
      <c r="E358" t="inlineStr">
        <is>
          <t>KINDA</t>
        </is>
      </c>
      <c r="G358" t="n">
        <v>3.3</v>
      </c>
      <c r="H358" t="n">
        <v>0</v>
      </c>
      <c r="I358" t="n">
        <v>0</v>
      </c>
      <c r="J358" t="n">
        <v>1</v>
      </c>
      <c r="K358" t="n">
        <v>0</v>
      </c>
      <c r="L358" t="n">
        <v>0</v>
      </c>
      <c r="M358" t="n">
        <v>0</v>
      </c>
      <c r="N358" t="n">
        <v>0</v>
      </c>
      <c r="O358" t="n">
        <v>1</v>
      </c>
      <c r="P358" t="n">
        <v>0</v>
      </c>
      <c r="Q358" t="n">
        <v>1</v>
      </c>
      <c r="R358" s="2" t="inlineStr">
        <is>
          <t>Vedskivlav</t>
        </is>
      </c>
      <c r="S358">
        <f>HYPERLINK("https://klasma.github.io/Logging_0513/artfynd/A 57522-2024 artfynd.xlsx", "A 57522-2024")</f>
        <v/>
      </c>
      <c r="T358">
        <f>HYPERLINK("https://klasma.github.io/Logging_0513/kartor/A 57522-2024 karta.png", "A 57522-2024")</f>
        <v/>
      </c>
      <c r="V358">
        <f>HYPERLINK("https://klasma.github.io/Logging_0513/klagomål/A 57522-2024 FSC-klagomål.docx", "A 57522-2024")</f>
        <v/>
      </c>
      <c r="W358">
        <f>HYPERLINK("https://klasma.github.io/Logging_0513/klagomålsmail/A 57522-2024 FSC-klagomål mail.docx", "A 57522-2024")</f>
        <v/>
      </c>
      <c r="X358">
        <f>HYPERLINK("https://klasma.github.io/Logging_0513/tillsyn/A 57522-2024 tillsynsbegäran.docx", "A 57522-2024")</f>
        <v/>
      </c>
      <c r="Y358">
        <f>HYPERLINK("https://klasma.github.io/Logging_0513/tillsynsmail/A 57522-2024 tillsynsbegäran mail.docx", "A 57522-2024")</f>
        <v/>
      </c>
    </row>
    <row r="359" ht="15" customHeight="1">
      <c r="A359" t="inlineStr">
        <is>
          <t>A 46957-2023</t>
        </is>
      </c>
      <c r="B359" s="1" t="n">
        <v>45201</v>
      </c>
      <c r="C359" s="1" t="n">
        <v>46093</v>
      </c>
      <c r="D359" t="inlineStr">
        <is>
          <t>ÖSTERGÖTLANDS LÄN</t>
        </is>
      </c>
      <c r="E359" t="inlineStr">
        <is>
          <t>NORRKÖPING</t>
        </is>
      </c>
      <c r="G359" t="n">
        <v>1.8</v>
      </c>
      <c r="H359" t="n">
        <v>0</v>
      </c>
      <c r="I359" t="n">
        <v>0</v>
      </c>
      <c r="J359" t="n">
        <v>1</v>
      </c>
      <c r="K359" t="n">
        <v>0</v>
      </c>
      <c r="L359" t="n">
        <v>0</v>
      </c>
      <c r="M359" t="n">
        <v>0</v>
      </c>
      <c r="N359" t="n">
        <v>0</v>
      </c>
      <c r="O359" t="n">
        <v>1</v>
      </c>
      <c r="P359" t="n">
        <v>0</v>
      </c>
      <c r="Q359" t="n">
        <v>1</v>
      </c>
      <c r="R359" s="2" t="inlineStr">
        <is>
          <t>Vedskivlav</t>
        </is>
      </c>
      <c r="S359">
        <f>HYPERLINK("https://klasma.github.io/Logging_0581/artfynd/A 46957-2023 artfynd.xlsx", "A 46957-2023")</f>
        <v/>
      </c>
      <c r="T359">
        <f>HYPERLINK("https://klasma.github.io/Logging_0581/kartor/A 46957-2023 karta.png", "A 46957-2023")</f>
        <v/>
      </c>
      <c r="V359">
        <f>HYPERLINK("https://klasma.github.io/Logging_0581/klagomål/A 46957-2023 FSC-klagomål.docx", "A 46957-2023")</f>
        <v/>
      </c>
      <c r="W359">
        <f>HYPERLINK("https://klasma.github.io/Logging_0581/klagomålsmail/A 46957-2023 FSC-klagomål mail.docx", "A 46957-2023")</f>
        <v/>
      </c>
      <c r="X359">
        <f>HYPERLINK("https://klasma.github.io/Logging_0581/tillsyn/A 46957-2023 tillsynsbegäran.docx", "A 46957-2023")</f>
        <v/>
      </c>
      <c r="Y359">
        <f>HYPERLINK("https://klasma.github.io/Logging_0581/tillsynsmail/A 46957-2023 tillsynsbegäran mail.docx", "A 46957-2023")</f>
        <v/>
      </c>
    </row>
    <row r="360" ht="15" customHeight="1">
      <c r="A360" t="inlineStr">
        <is>
          <t>A 35863-2025</t>
        </is>
      </c>
      <c r="B360" s="1" t="n">
        <v>45861</v>
      </c>
      <c r="C360" s="1" t="n">
        <v>46093</v>
      </c>
      <c r="D360" t="inlineStr">
        <is>
          <t>ÖSTERGÖTLANDS LÄN</t>
        </is>
      </c>
      <c r="E360" t="inlineStr">
        <is>
          <t>KINDA</t>
        </is>
      </c>
      <c r="G360" t="n">
        <v>2.8</v>
      </c>
      <c r="H360" t="n">
        <v>0</v>
      </c>
      <c r="I360" t="n">
        <v>1</v>
      </c>
      <c r="J360" t="n">
        <v>0</v>
      </c>
      <c r="K360" t="n">
        <v>0</v>
      </c>
      <c r="L360" t="n">
        <v>0</v>
      </c>
      <c r="M360" t="n">
        <v>0</v>
      </c>
      <c r="N360" t="n">
        <v>0</v>
      </c>
      <c r="O360" t="n">
        <v>0</v>
      </c>
      <c r="P360" t="n">
        <v>0</v>
      </c>
      <c r="Q360" t="n">
        <v>1</v>
      </c>
      <c r="R360" s="2" t="inlineStr">
        <is>
          <t>Tibast</t>
        </is>
      </c>
      <c r="S360">
        <f>HYPERLINK("https://klasma.github.io/Logging_0513/artfynd/A 35863-2025 artfynd.xlsx", "A 35863-2025")</f>
        <v/>
      </c>
      <c r="T360">
        <f>HYPERLINK("https://klasma.github.io/Logging_0513/kartor/A 35863-2025 karta.png", "A 35863-2025")</f>
        <v/>
      </c>
      <c r="V360">
        <f>HYPERLINK("https://klasma.github.io/Logging_0513/klagomål/A 35863-2025 FSC-klagomål.docx", "A 35863-2025")</f>
        <v/>
      </c>
      <c r="W360">
        <f>HYPERLINK("https://klasma.github.io/Logging_0513/klagomålsmail/A 35863-2025 FSC-klagomål mail.docx", "A 35863-2025")</f>
        <v/>
      </c>
      <c r="X360">
        <f>HYPERLINK("https://klasma.github.io/Logging_0513/tillsyn/A 35863-2025 tillsynsbegäran.docx", "A 35863-2025")</f>
        <v/>
      </c>
      <c r="Y360">
        <f>HYPERLINK("https://klasma.github.io/Logging_0513/tillsynsmail/A 35863-2025 tillsynsbegäran mail.docx", "A 35863-2025")</f>
        <v/>
      </c>
    </row>
    <row r="361" ht="15" customHeight="1">
      <c r="A361" t="inlineStr">
        <is>
          <t>A 33003-2024</t>
        </is>
      </c>
      <c r="B361" s="1" t="n">
        <v>45517</v>
      </c>
      <c r="C361" s="1" t="n">
        <v>46093</v>
      </c>
      <c r="D361" t="inlineStr">
        <is>
          <t>ÖSTERGÖTLANDS LÄN</t>
        </is>
      </c>
      <c r="E361" t="inlineStr">
        <is>
          <t>KINDA</t>
        </is>
      </c>
      <c r="G361" t="n">
        <v>2.4</v>
      </c>
      <c r="H361" t="n">
        <v>1</v>
      </c>
      <c r="I361" t="n">
        <v>0</v>
      </c>
      <c r="J361" t="n">
        <v>1</v>
      </c>
      <c r="K361" t="n">
        <v>0</v>
      </c>
      <c r="L361" t="n">
        <v>0</v>
      </c>
      <c r="M361" t="n">
        <v>0</v>
      </c>
      <c r="N361" t="n">
        <v>0</v>
      </c>
      <c r="O361" t="n">
        <v>1</v>
      </c>
      <c r="P361" t="n">
        <v>0</v>
      </c>
      <c r="Q361" t="n">
        <v>1</v>
      </c>
      <c r="R361" s="2" t="inlineStr">
        <is>
          <t>Sävsparv</t>
        </is>
      </c>
      <c r="S361">
        <f>HYPERLINK("https://klasma.github.io/Logging_0513/artfynd/A 33003-2024 artfynd.xlsx", "A 33003-2024")</f>
        <v/>
      </c>
      <c r="T361">
        <f>HYPERLINK("https://klasma.github.io/Logging_0513/kartor/A 33003-2024 karta.png", "A 33003-2024")</f>
        <v/>
      </c>
      <c r="V361">
        <f>HYPERLINK("https://klasma.github.io/Logging_0513/klagomål/A 33003-2024 FSC-klagomål.docx", "A 33003-2024")</f>
        <v/>
      </c>
      <c r="W361">
        <f>HYPERLINK("https://klasma.github.io/Logging_0513/klagomålsmail/A 33003-2024 FSC-klagomål mail.docx", "A 33003-2024")</f>
        <v/>
      </c>
      <c r="X361">
        <f>HYPERLINK("https://klasma.github.io/Logging_0513/tillsyn/A 33003-2024 tillsynsbegäran.docx", "A 33003-2024")</f>
        <v/>
      </c>
      <c r="Y361">
        <f>HYPERLINK("https://klasma.github.io/Logging_0513/tillsynsmail/A 33003-2024 tillsynsbegäran mail.docx", "A 33003-2024")</f>
        <v/>
      </c>
      <c r="Z361">
        <f>HYPERLINK("https://klasma.github.io/Logging_0513/fåglar/A 33003-2024 prioriterade fågelarter.docx", "A 33003-2024")</f>
        <v/>
      </c>
    </row>
    <row r="362" ht="15" customHeight="1">
      <c r="A362" t="inlineStr">
        <is>
          <t>A 27107-2023</t>
        </is>
      </c>
      <c r="B362" s="1" t="n">
        <v>45096</v>
      </c>
      <c r="C362" s="1" t="n">
        <v>46093</v>
      </c>
      <c r="D362" t="inlineStr">
        <is>
          <t>ÖSTERGÖTLANDS LÄN</t>
        </is>
      </c>
      <c r="E362" t="inlineStr">
        <is>
          <t>NORRKÖPING</t>
        </is>
      </c>
      <c r="F362" t="inlineStr">
        <is>
          <t>Holmen skog AB</t>
        </is>
      </c>
      <c r="G362" t="n">
        <v>0.5</v>
      </c>
      <c r="H362" t="n">
        <v>1</v>
      </c>
      <c r="I362" t="n">
        <v>0</v>
      </c>
      <c r="J362" t="n">
        <v>1</v>
      </c>
      <c r="K362" t="n">
        <v>0</v>
      </c>
      <c r="L362" t="n">
        <v>0</v>
      </c>
      <c r="M362" t="n">
        <v>0</v>
      </c>
      <c r="N362" t="n">
        <v>0</v>
      </c>
      <c r="O362" t="n">
        <v>1</v>
      </c>
      <c r="P362" t="n">
        <v>0</v>
      </c>
      <c r="Q362" t="n">
        <v>1</v>
      </c>
      <c r="R362" s="2" t="inlineStr">
        <is>
          <t>Svartvit flugsnappare</t>
        </is>
      </c>
      <c r="S362">
        <f>HYPERLINK("https://klasma.github.io/Logging_0581/artfynd/A 27107-2023 artfynd.xlsx", "A 27107-2023")</f>
        <v/>
      </c>
      <c r="T362">
        <f>HYPERLINK("https://klasma.github.io/Logging_0581/kartor/A 27107-2023 karta.png", "A 27107-2023")</f>
        <v/>
      </c>
      <c r="V362">
        <f>HYPERLINK("https://klasma.github.io/Logging_0581/klagomål/A 27107-2023 FSC-klagomål.docx", "A 27107-2023")</f>
        <v/>
      </c>
      <c r="W362">
        <f>HYPERLINK("https://klasma.github.io/Logging_0581/klagomålsmail/A 27107-2023 FSC-klagomål mail.docx", "A 27107-2023")</f>
        <v/>
      </c>
      <c r="X362">
        <f>HYPERLINK("https://klasma.github.io/Logging_0581/tillsyn/A 27107-2023 tillsynsbegäran.docx", "A 27107-2023")</f>
        <v/>
      </c>
      <c r="Y362">
        <f>HYPERLINK("https://klasma.github.io/Logging_0581/tillsynsmail/A 27107-2023 tillsynsbegäran mail.docx", "A 27107-2023")</f>
        <v/>
      </c>
      <c r="Z362">
        <f>HYPERLINK("https://klasma.github.io/Logging_0581/fåglar/A 27107-2023 prioriterade fågelarter.docx", "A 27107-2023")</f>
        <v/>
      </c>
    </row>
    <row r="363" ht="15" customHeight="1">
      <c r="A363" t="inlineStr">
        <is>
          <t>A 9817-2025</t>
        </is>
      </c>
      <c r="B363" s="1" t="n">
        <v>45716.5672337963</v>
      </c>
      <c r="C363" s="1" t="n">
        <v>46093</v>
      </c>
      <c r="D363" t="inlineStr">
        <is>
          <t>ÖSTERGÖTLANDS LÄN</t>
        </is>
      </c>
      <c r="E363" t="inlineStr">
        <is>
          <t>NORRKÖPING</t>
        </is>
      </c>
      <c r="G363" t="n">
        <v>1.4</v>
      </c>
      <c r="H363" t="n">
        <v>0</v>
      </c>
      <c r="I363" t="n">
        <v>1</v>
      </c>
      <c r="J363" t="n">
        <v>0</v>
      </c>
      <c r="K363" t="n">
        <v>0</v>
      </c>
      <c r="L363" t="n">
        <v>0</v>
      </c>
      <c r="M363" t="n">
        <v>0</v>
      </c>
      <c r="N363" t="n">
        <v>0</v>
      </c>
      <c r="O363" t="n">
        <v>0</v>
      </c>
      <c r="P363" t="n">
        <v>0</v>
      </c>
      <c r="Q363" t="n">
        <v>1</v>
      </c>
      <c r="R363" s="2" t="inlineStr">
        <is>
          <t>Blåmossa</t>
        </is>
      </c>
      <c r="S363">
        <f>HYPERLINK("https://klasma.github.io/Logging_0581/artfynd/A 9817-2025 artfynd.xlsx", "A 9817-2025")</f>
        <v/>
      </c>
      <c r="T363">
        <f>HYPERLINK("https://klasma.github.io/Logging_0581/kartor/A 9817-2025 karta.png", "A 9817-2025")</f>
        <v/>
      </c>
      <c r="V363">
        <f>HYPERLINK("https://klasma.github.io/Logging_0581/klagomål/A 9817-2025 FSC-klagomål.docx", "A 9817-2025")</f>
        <v/>
      </c>
      <c r="W363">
        <f>HYPERLINK("https://klasma.github.io/Logging_0581/klagomålsmail/A 9817-2025 FSC-klagomål mail.docx", "A 9817-2025")</f>
        <v/>
      </c>
      <c r="X363">
        <f>HYPERLINK("https://klasma.github.io/Logging_0581/tillsyn/A 9817-2025 tillsynsbegäran.docx", "A 9817-2025")</f>
        <v/>
      </c>
      <c r="Y363">
        <f>HYPERLINK("https://klasma.github.io/Logging_0581/tillsynsmail/A 9817-2025 tillsynsbegäran mail.docx", "A 9817-2025")</f>
        <v/>
      </c>
    </row>
    <row r="364" ht="15" customHeight="1">
      <c r="A364" t="inlineStr">
        <is>
          <t>A 7801-2022</t>
        </is>
      </c>
      <c r="B364" s="1" t="n">
        <v>44608.4999537037</v>
      </c>
      <c r="C364" s="1" t="n">
        <v>46093</v>
      </c>
      <c r="D364" t="inlineStr">
        <is>
          <t>ÖSTERGÖTLANDS LÄN</t>
        </is>
      </c>
      <c r="E364" t="inlineStr">
        <is>
          <t>KINDA</t>
        </is>
      </c>
      <c r="F364" t="inlineStr">
        <is>
          <t>Sveaskog</t>
        </is>
      </c>
      <c r="G364" t="n">
        <v>11.4</v>
      </c>
      <c r="H364" t="n">
        <v>0</v>
      </c>
      <c r="I364" t="n">
        <v>0</v>
      </c>
      <c r="J364" t="n">
        <v>0</v>
      </c>
      <c r="K364" t="n">
        <v>0</v>
      </c>
      <c r="L364" t="n">
        <v>1</v>
      </c>
      <c r="M364" t="n">
        <v>0</v>
      </c>
      <c r="N364" t="n">
        <v>0</v>
      </c>
      <c r="O364" t="n">
        <v>1</v>
      </c>
      <c r="P364" t="n">
        <v>1</v>
      </c>
      <c r="Q364" t="n">
        <v>1</v>
      </c>
      <c r="R364" s="2" t="inlineStr">
        <is>
          <t>Ask</t>
        </is>
      </c>
      <c r="S364">
        <f>HYPERLINK("https://klasma.github.io/Logging_0513/artfynd/A 7801-2022 artfynd.xlsx", "A 7801-2022")</f>
        <v/>
      </c>
      <c r="T364">
        <f>HYPERLINK("https://klasma.github.io/Logging_0513/kartor/A 7801-2022 karta.png", "A 7801-2022")</f>
        <v/>
      </c>
      <c r="V364">
        <f>HYPERLINK("https://klasma.github.io/Logging_0513/klagomål/A 7801-2022 FSC-klagomål.docx", "A 7801-2022")</f>
        <v/>
      </c>
      <c r="W364">
        <f>HYPERLINK("https://klasma.github.io/Logging_0513/klagomålsmail/A 7801-2022 FSC-klagomål mail.docx", "A 7801-2022")</f>
        <v/>
      </c>
      <c r="X364">
        <f>HYPERLINK("https://klasma.github.io/Logging_0513/tillsyn/A 7801-2022 tillsynsbegäran.docx", "A 7801-2022")</f>
        <v/>
      </c>
      <c r="Y364">
        <f>HYPERLINK("https://klasma.github.io/Logging_0513/tillsynsmail/A 7801-2022 tillsynsbegäran mail.docx", "A 7801-2022")</f>
        <v/>
      </c>
    </row>
    <row r="365" ht="15" customHeight="1">
      <c r="A365" t="inlineStr">
        <is>
          <t>A 61104-2022</t>
        </is>
      </c>
      <c r="B365" s="1" t="n">
        <v>44915</v>
      </c>
      <c r="C365" s="1" t="n">
        <v>46093</v>
      </c>
      <c r="D365" t="inlineStr">
        <is>
          <t>ÖSTERGÖTLANDS LÄN</t>
        </is>
      </c>
      <c r="E365" t="inlineStr">
        <is>
          <t>FINSPÅNG</t>
        </is>
      </c>
      <c r="F365" t="inlineStr">
        <is>
          <t>Holmen skog AB</t>
        </is>
      </c>
      <c r="G365" t="n">
        <v>3.4</v>
      </c>
      <c r="H365" t="n">
        <v>0</v>
      </c>
      <c r="I365" t="n">
        <v>0</v>
      </c>
      <c r="J365" t="n">
        <v>1</v>
      </c>
      <c r="K365" t="n">
        <v>0</v>
      </c>
      <c r="L365" t="n">
        <v>0</v>
      </c>
      <c r="M365" t="n">
        <v>0</v>
      </c>
      <c r="N365" t="n">
        <v>0</v>
      </c>
      <c r="O365" t="n">
        <v>1</v>
      </c>
      <c r="P365" t="n">
        <v>0</v>
      </c>
      <c r="Q365" t="n">
        <v>1</v>
      </c>
      <c r="R365" s="2" t="inlineStr">
        <is>
          <t>Tallticka</t>
        </is>
      </c>
      <c r="S365">
        <f>HYPERLINK("https://klasma.github.io/Logging_0562/artfynd/A 61104-2022 artfynd.xlsx", "A 61104-2022")</f>
        <v/>
      </c>
      <c r="T365">
        <f>HYPERLINK("https://klasma.github.io/Logging_0562/kartor/A 61104-2022 karta.png", "A 61104-2022")</f>
        <v/>
      </c>
      <c r="V365">
        <f>HYPERLINK("https://klasma.github.io/Logging_0562/klagomål/A 61104-2022 FSC-klagomål.docx", "A 61104-2022")</f>
        <v/>
      </c>
      <c r="W365">
        <f>HYPERLINK("https://klasma.github.io/Logging_0562/klagomålsmail/A 61104-2022 FSC-klagomål mail.docx", "A 61104-2022")</f>
        <v/>
      </c>
      <c r="X365">
        <f>HYPERLINK("https://klasma.github.io/Logging_0562/tillsyn/A 61104-2022 tillsynsbegäran.docx", "A 61104-2022")</f>
        <v/>
      </c>
      <c r="Y365">
        <f>HYPERLINK("https://klasma.github.io/Logging_0562/tillsynsmail/A 61104-2022 tillsynsbegäran mail.docx", "A 61104-2022")</f>
        <v/>
      </c>
    </row>
    <row r="366" ht="15" customHeight="1">
      <c r="A366" t="inlineStr">
        <is>
          <t>A 42366-2025</t>
        </is>
      </c>
      <c r="B366" s="1" t="n">
        <v>45905.32633101852</v>
      </c>
      <c r="C366" s="1" t="n">
        <v>46093</v>
      </c>
      <c r="D366" t="inlineStr">
        <is>
          <t>ÖSTERGÖTLANDS LÄN</t>
        </is>
      </c>
      <c r="E366" t="inlineStr">
        <is>
          <t>FINSPÅNG</t>
        </is>
      </c>
      <c r="F366" t="inlineStr">
        <is>
          <t>Holmen skog AB</t>
        </is>
      </c>
      <c r="G366" t="n">
        <v>2.7</v>
      </c>
      <c r="H366" t="n">
        <v>0</v>
      </c>
      <c r="I366" t="n">
        <v>0</v>
      </c>
      <c r="J366" t="n">
        <v>1</v>
      </c>
      <c r="K366" t="n">
        <v>0</v>
      </c>
      <c r="L366" t="n">
        <v>0</v>
      </c>
      <c r="M366" t="n">
        <v>0</v>
      </c>
      <c r="N366" t="n">
        <v>0</v>
      </c>
      <c r="O366" t="n">
        <v>1</v>
      </c>
      <c r="P366" t="n">
        <v>0</v>
      </c>
      <c r="Q366" t="n">
        <v>1</v>
      </c>
      <c r="R366" s="2" t="inlineStr">
        <is>
          <t>Vit vedfingersvamp</t>
        </is>
      </c>
      <c r="S366">
        <f>HYPERLINK("https://klasma.github.io/Logging_0562/artfynd/A 42366-2025 artfynd.xlsx", "A 42366-2025")</f>
        <v/>
      </c>
      <c r="T366">
        <f>HYPERLINK("https://klasma.github.io/Logging_0562/kartor/A 42366-2025 karta.png", "A 42366-2025")</f>
        <v/>
      </c>
      <c r="V366">
        <f>HYPERLINK("https://klasma.github.io/Logging_0562/klagomål/A 42366-2025 FSC-klagomål.docx", "A 42366-2025")</f>
        <v/>
      </c>
      <c r="W366">
        <f>HYPERLINK("https://klasma.github.io/Logging_0562/klagomålsmail/A 42366-2025 FSC-klagomål mail.docx", "A 42366-2025")</f>
        <v/>
      </c>
      <c r="X366">
        <f>HYPERLINK("https://klasma.github.io/Logging_0562/tillsyn/A 42366-2025 tillsynsbegäran.docx", "A 42366-2025")</f>
        <v/>
      </c>
      <c r="Y366">
        <f>HYPERLINK("https://klasma.github.io/Logging_0562/tillsynsmail/A 42366-2025 tillsynsbegäran mail.docx", "A 42366-2025")</f>
        <v/>
      </c>
    </row>
    <row r="367" ht="15" customHeight="1">
      <c r="A367" t="inlineStr">
        <is>
          <t>A 11716-2025</t>
        </is>
      </c>
      <c r="B367" s="1" t="n">
        <v>45727</v>
      </c>
      <c r="C367" s="1" t="n">
        <v>46093</v>
      </c>
      <c r="D367" t="inlineStr">
        <is>
          <t>ÖSTERGÖTLANDS LÄN</t>
        </is>
      </c>
      <c r="E367" t="inlineStr">
        <is>
          <t>YDRE</t>
        </is>
      </c>
      <c r="G367" t="n">
        <v>1.7</v>
      </c>
      <c r="H367" t="n">
        <v>0</v>
      </c>
      <c r="I367" t="n">
        <v>1</v>
      </c>
      <c r="J367" t="n">
        <v>0</v>
      </c>
      <c r="K367" t="n">
        <v>0</v>
      </c>
      <c r="L367" t="n">
        <v>0</v>
      </c>
      <c r="M367" t="n">
        <v>0</v>
      </c>
      <c r="N367" t="n">
        <v>0</v>
      </c>
      <c r="O367" t="n">
        <v>0</v>
      </c>
      <c r="P367" t="n">
        <v>0</v>
      </c>
      <c r="Q367" t="n">
        <v>1</v>
      </c>
      <c r="R367" s="2" t="inlineStr">
        <is>
          <t>Kryddspindling</t>
        </is>
      </c>
      <c r="S367">
        <f>HYPERLINK("https://klasma.github.io/Logging_0512/artfynd/A 11716-2025 artfynd.xlsx", "A 11716-2025")</f>
        <v/>
      </c>
      <c r="T367">
        <f>HYPERLINK("https://klasma.github.io/Logging_0512/kartor/A 11716-2025 karta.png", "A 11716-2025")</f>
        <v/>
      </c>
      <c r="V367">
        <f>HYPERLINK("https://klasma.github.io/Logging_0512/klagomål/A 11716-2025 FSC-klagomål.docx", "A 11716-2025")</f>
        <v/>
      </c>
      <c r="W367">
        <f>HYPERLINK("https://klasma.github.io/Logging_0512/klagomålsmail/A 11716-2025 FSC-klagomål mail.docx", "A 11716-2025")</f>
        <v/>
      </c>
      <c r="X367">
        <f>HYPERLINK("https://klasma.github.io/Logging_0512/tillsyn/A 11716-2025 tillsynsbegäran.docx", "A 11716-2025")</f>
        <v/>
      </c>
      <c r="Y367">
        <f>HYPERLINK("https://klasma.github.io/Logging_0512/tillsynsmail/A 11716-2025 tillsynsbegäran mail.docx", "A 11716-2025")</f>
        <v/>
      </c>
    </row>
    <row r="368" ht="15" customHeight="1">
      <c r="A368" t="inlineStr">
        <is>
          <t>A 42452-2025</t>
        </is>
      </c>
      <c r="B368" s="1" t="n">
        <v>45905.44513888889</v>
      </c>
      <c r="C368" s="1" t="n">
        <v>46093</v>
      </c>
      <c r="D368" t="inlineStr">
        <is>
          <t>ÖSTERGÖTLANDS LÄN</t>
        </is>
      </c>
      <c r="E368" t="inlineStr">
        <is>
          <t>FINSPÅNG</t>
        </is>
      </c>
      <c r="F368" t="inlineStr">
        <is>
          <t>Holmen skog AB</t>
        </is>
      </c>
      <c r="G368" t="n">
        <v>7.6</v>
      </c>
      <c r="H368" t="n">
        <v>1</v>
      </c>
      <c r="I368" t="n">
        <v>0</v>
      </c>
      <c r="J368" t="n">
        <v>0</v>
      </c>
      <c r="K368" t="n">
        <v>1</v>
      </c>
      <c r="L368" t="n">
        <v>0</v>
      </c>
      <c r="M368" t="n">
        <v>0</v>
      </c>
      <c r="N368" t="n">
        <v>0</v>
      </c>
      <c r="O368" t="n">
        <v>1</v>
      </c>
      <c r="P368" t="n">
        <v>1</v>
      </c>
      <c r="Q368" t="n">
        <v>1</v>
      </c>
      <c r="R368" s="2" t="inlineStr">
        <is>
          <t>Knippnejlika</t>
        </is>
      </c>
      <c r="S368">
        <f>HYPERLINK("https://klasma.github.io/Logging_0562/artfynd/A 42452-2025 artfynd.xlsx", "A 42452-2025")</f>
        <v/>
      </c>
      <c r="T368">
        <f>HYPERLINK("https://klasma.github.io/Logging_0562/kartor/A 42452-2025 karta.png", "A 42452-2025")</f>
        <v/>
      </c>
      <c r="V368">
        <f>HYPERLINK("https://klasma.github.io/Logging_0562/klagomål/A 42452-2025 FSC-klagomål.docx", "A 42452-2025")</f>
        <v/>
      </c>
      <c r="W368">
        <f>HYPERLINK("https://klasma.github.io/Logging_0562/klagomålsmail/A 42452-2025 FSC-klagomål mail.docx", "A 42452-2025")</f>
        <v/>
      </c>
      <c r="X368">
        <f>HYPERLINK("https://klasma.github.io/Logging_0562/tillsyn/A 42452-2025 tillsynsbegäran.docx", "A 42452-2025")</f>
        <v/>
      </c>
      <c r="Y368">
        <f>HYPERLINK("https://klasma.github.io/Logging_0562/tillsynsmail/A 42452-2025 tillsynsbegäran mail.docx", "A 42452-2025")</f>
        <v/>
      </c>
    </row>
    <row r="369" ht="15" customHeight="1">
      <c r="A369" t="inlineStr">
        <is>
          <t>A 60958-2022</t>
        </is>
      </c>
      <c r="B369" s="1" t="n">
        <v>44914.64768518518</v>
      </c>
      <c r="C369" s="1" t="n">
        <v>46093</v>
      </c>
      <c r="D369" t="inlineStr">
        <is>
          <t>ÖSTERGÖTLANDS LÄN</t>
        </is>
      </c>
      <c r="E369" t="inlineStr">
        <is>
          <t>KINDA</t>
        </is>
      </c>
      <c r="G369" t="n">
        <v>3.2</v>
      </c>
      <c r="H369" t="n">
        <v>0</v>
      </c>
      <c r="I369" t="n">
        <v>0</v>
      </c>
      <c r="J369" t="n">
        <v>0</v>
      </c>
      <c r="K369" t="n">
        <v>0</v>
      </c>
      <c r="L369" t="n">
        <v>1</v>
      </c>
      <c r="M369" t="n">
        <v>0</v>
      </c>
      <c r="N369" t="n">
        <v>0</v>
      </c>
      <c r="O369" t="n">
        <v>1</v>
      </c>
      <c r="P369" t="n">
        <v>1</v>
      </c>
      <c r="Q369" t="n">
        <v>1</v>
      </c>
      <c r="R369" s="2" t="inlineStr">
        <is>
          <t>Puckelmaskros</t>
        </is>
      </c>
      <c r="S369">
        <f>HYPERLINK("https://klasma.github.io/Logging_0513/artfynd/A 60958-2022 artfynd.xlsx", "A 60958-2022")</f>
        <v/>
      </c>
      <c r="T369">
        <f>HYPERLINK("https://klasma.github.io/Logging_0513/kartor/A 60958-2022 karta.png", "A 60958-2022")</f>
        <v/>
      </c>
      <c r="V369">
        <f>HYPERLINK("https://klasma.github.io/Logging_0513/klagomål/A 60958-2022 FSC-klagomål.docx", "A 60958-2022")</f>
        <v/>
      </c>
      <c r="W369">
        <f>HYPERLINK("https://klasma.github.io/Logging_0513/klagomålsmail/A 60958-2022 FSC-klagomål mail.docx", "A 60958-2022")</f>
        <v/>
      </c>
      <c r="X369">
        <f>HYPERLINK("https://klasma.github.io/Logging_0513/tillsyn/A 60958-2022 tillsynsbegäran.docx", "A 60958-2022")</f>
        <v/>
      </c>
      <c r="Y369">
        <f>HYPERLINK("https://klasma.github.io/Logging_0513/tillsynsmail/A 60958-2022 tillsynsbegäran mail.docx", "A 60958-2022")</f>
        <v/>
      </c>
    </row>
    <row r="370" ht="15" customHeight="1">
      <c r="A370" t="inlineStr">
        <is>
          <t>A 42548-2025</t>
        </is>
      </c>
      <c r="B370" s="1" t="n">
        <v>45905.58907407407</v>
      </c>
      <c r="C370" s="1" t="n">
        <v>46093</v>
      </c>
      <c r="D370" t="inlineStr">
        <is>
          <t>ÖSTERGÖTLANDS LÄN</t>
        </is>
      </c>
      <c r="E370" t="inlineStr">
        <is>
          <t>NORRKÖPING</t>
        </is>
      </c>
      <c r="F370" t="inlineStr">
        <is>
          <t>Holmen skog AB</t>
        </is>
      </c>
      <c r="G370" t="n">
        <v>1.2</v>
      </c>
      <c r="H370" t="n">
        <v>0</v>
      </c>
      <c r="I370" t="n">
        <v>1</v>
      </c>
      <c r="J370" t="n">
        <v>0</v>
      </c>
      <c r="K370" t="n">
        <v>0</v>
      </c>
      <c r="L370" t="n">
        <v>0</v>
      </c>
      <c r="M370" t="n">
        <v>0</v>
      </c>
      <c r="N370" t="n">
        <v>0</v>
      </c>
      <c r="O370" t="n">
        <v>0</v>
      </c>
      <c r="P370" t="n">
        <v>0</v>
      </c>
      <c r="Q370" t="n">
        <v>1</v>
      </c>
      <c r="R370" s="2" t="inlineStr">
        <is>
          <t>Kattfotslav</t>
        </is>
      </c>
      <c r="S370">
        <f>HYPERLINK("https://klasma.github.io/Logging_0581/artfynd/A 42548-2025 artfynd.xlsx", "A 42548-2025")</f>
        <v/>
      </c>
      <c r="T370">
        <f>HYPERLINK("https://klasma.github.io/Logging_0581/kartor/A 42548-2025 karta.png", "A 42548-2025")</f>
        <v/>
      </c>
      <c r="V370">
        <f>HYPERLINK("https://klasma.github.io/Logging_0581/klagomål/A 42548-2025 FSC-klagomål.docx", "A 42548-2025")</f>
        <v/>
      </c>
      <c r="W370">
        <f>HYPERLINK("https://klasma.github.io/Logging_0581/klagomålsmail/A 42548-2025 FSC-klagomål mail.docx", "A 42548-2025")</f>
        <v/>
      </c>
      <c r="X370">
        <f>HYPERLINK("https://klasma.github.io/Logging_0581/tillsyn/A 42548-2025 tillsynsbegäran.docx", "A 42548-2025")</f>
        <v/>
      </c>
      <c r="Y370">
        <f>HYPERLINK("https://klasma.github.io/Logging_0581/tillsynsmail/A 42548-2025 tillsynsbegäran mail.docx", "A 42548-2025")</f>
        <v/>
      </c>
    </row>
    <row r="371" ht="15" customHeight="1">
      <c r="A371" t="inlineStr">
        <is>
          <t>A 1213-2023</t>
        </is>
      </c>
      <c r="B371" s="1" t="n">
        <v>44930</v>
      </c>
      <c r="C371" s="1" t="n">
        <v>46093</v>
      </c>
      <c r="D371" t="inlineStr">
        <is>
          <t>ÖSTERGÖTLANDS LÄN</t>
        </is>
      </c>
      <c r="E371" t="inlineStr">
        <is>
          <t>LINKÖPING</t>
        </is>
      </c>
      <c r="F371" t="inlineStr">
        <is>
          <t>Övriga statliga verk och myndigheter</t>
        </is>
      </c>
      <c r="G371" t="n">
        <v>17.8</v>
      </c>
      <c r="H371" t="n">
        <v>0</v>
      </c>
      <c r="I371" t="n">
        <v>1</v>
      </c>
      <c r="J371" t="n">
        <v>0</v>
      </c>
      <c r="K371" t="n">
        <v>0</v>
      </c>
      <c r="L371" t="n">
        <v>0</v>
      </c>
      <c r="M371" t="n">
        <v>0</v>
      </c>
      <c r="N371" t="n">
        <v>0</v>
      </c>
      <c r="O371" t="n">
        <v>0</v>
      </c>
      <c r="P371" t="n">
        <v>0</v>
      </c>
      <c r="Q371" t="n">
        <v>1</v>
      </c>
      <c r="R371" s="2" t="inlineStr">
        <is>
          <t>Stubbspretmossa</t>
        </is>
      </c>
      <c r="S371">
        <f>HYPERLINK("https://klasma.github.io/Logging_0580/artfynd/A 1213-2023 artfynd.xlsx", "A 1213-2023")</f>
        <v/>
      </c>
      <c r="T371">
        <f>HYPERLINK("https://klasma.github.io/Logging_0580/kartor/A 1213-2023 karta.png", "A 1213-2023")</f>
        <v/>
      </c>
      <c r="V371">
        <f>HYPERLINK("https://klasma.github.io/Logging_0580/klagomål/A 1213-2023 FSC-klagomål.docx", "A 1213-2023")</f>
        <v/>
      </c>
      <c r="W371">
        <f>HYPERLINK("https://klasma.github.io/Logging_0580/klagomålsmail/A 1213-2023 FSC-klagomål mail.docx", "A 1213-2023")</f>
        <v/>
      </c>
      <c r="X371">
        <f>HYPERLINK("https://klasma.github.io/Logging_0580/tillsyn/A 1213-2023 tillsynsbegäran.docx", "A 1213-2023")</f>
        <v/>
      </c>
      <c r="Y371">
        <f>HYPERLINK("https://klasma.github.io/Logging_0580/tillsynsmail/A 1213-2023 tillsynsbegäran mail.docx", "A 1213-2023")</f>
        <v/>
      </c>
    </row>
    <row r="372" ht="15" customHeight="1">
      <c r="A372" t="inlineStr">
        <is>
          <t>A 38229-2025</t>
        </is>
      </c>
      <c r="B372" s="1" t="n">
        <v>45883</v>
      </c>
      <c r="C372" s="1" t="n">
        <v>46093</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14699-2025</t>
        </is>
      </c>
      <c r="B373" s="1" t="n">
        <v>45742.60076388889</v>
      </c>
      <c r="C373" s="1" t="n">
        <v>46093</v>
      </c>
      <c r="D373" t="inlineStr">
        <is>
          <t>ÖSTERGÖTLANDS LÄN</t>
        </is>
      </c>
      <c r="E373" t="inlineStr">
        <is>
          <t>SÖDERKÖPING</t>
        </is>
      </c>
      <c r="G373" t="n">
        <v>5.1</v>
      </c>
      <c r="H373" t="n">
        <v>1</v>
      </c>
      <c r="I373" t="n">
        <v>0</v>
      </c>
      <c r="J373" t="n">
        <v>0</v>
      </c>
      <c r="K373" t="n">
        <v>1</v>
      </c>
      <c r="L373" t="n">
        <v>0</v>
      </c>
      <c r="M373" t="n">
        <v>0</v>
      </c>
      <c r="N373" t="n">
        <v>0</v>
      </c>
      <c r="O373" t="n">
        <v>1</v>
      </c>
      <c r="P373" t="n">
        <v>1</v>
      </c>
      <c r="Q373" t="n">
        <v>1</v>
      </c>
      <c r="R373" s="2" t="inlineStr">
        <is>
          <t>Knärot</t>
        </is>
      </c>
      <c r="S373">
        <f>HYPERLINK("https://klasma.github.io/Logging_0582/artfynd/A 14699-2025 artfynd.xlsx", "A 14699-2025")</f>
        <v/>
      </c>
      <c r="T373">
        <f>HYPERLINK("https://klasma.github.io/Logging_0582/kartor/A 14699-2025 karta.png", "A 14699-2025")</f>
        <v/>
      </c>
      <c r="U373">
        <f>HYPERLINK("https://klasma.github.io/Logging_0582/knärot/A 14699-2025 karta knärot.png", "A 14699-2025")</f>
        <v/>
      </c>
      <c r="V373">
        <f>HYPERLINK("https://klasma.github.io/Logging_0582/klagomål/A 14699-2025 FSC-klagomål.docx", "A 14699-2025")</f>
        <v/>
      </c>
      <c r="W373">
        <f>HYPERLINK("https://klasma.github.io/Logging_0582/klagomålsmail/A 14699-2025 FSC-klagomål mail.docx", "A 14699-2025")</f>
        <v/>
      </c>
      <c r="X373">
        <f>HYPERLINK("https://klasma.github.io/Logging_0582/tillsyn/A 14699-2025 tillsynsbegäran.docx", "A 14699-2025")</f>
        <v/>
      </c>
      <c r="Y373">
        <f>HYPERLINK("https://klasma.github.io/Logging_0582/tillsynsmail/A 14699-2025 tillsynsbegäran mail.docx", "A 14699-2025")</f>
        <v/>
      </c>
    </row>
    <row r="374" ht="15" customHeight="1">
      <c r="A374" t="inlineStr">
        <is>
          <t>A 1141-2025</t>
        </is>
      </c>
      <c r="B374" s="1" t="n">
        <v>45666.70653935185</v>
      </c>
      <c r="C374" s="1" t="n">
        <v>46093</v>
      </c>
      <c r="D374" t="inlineStr">
        <is>
          <t>ÖSTERGÖTLANDS LÄN</t>
        </is>
      </c>
      <c r="E374" t="inlineStr">
        <is>
          <t>ÅTVIDABERG</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HYPERLINK("https://klasma.github.io/Logging_0561/artfynd/A 1141-2025 artfynd.xlsx", "A 1141-2025")</f>
        <v/>
      </c>
      <c r="T374">
        <f>HYPERLINK("https://klasma.github.io/Logging_0561/kartor/A 1141-2025 karta.png", "A 1141-2025")</f>
        <v/>
      </c>
      <c r="V374">
        <f>HYPERLINK("https://klasma.github.io/Logging_0561/klagomål/A 1141-2025 FSC-klagomål.docx", "A 1141-2025")</f>
        <v/>
      </c>
      <c r="W374">
        <f>HYPERLINK("https://klasma.github.io/Logging_0561/klagomålsmail/A 1141-2025 FSC-klagomål mail.docx", "A 1141-2025")</f>
        <v/>
      </c>
      <c r="X374">
        <f>HYPERLINK("https://klasma.github.io/Logging_0561/tillsyn/A 1141-2025 tillsynsbegäran.docx", "A 1141-2025")</f>
        <v/>
      </c>
      <c r="Y374">
        <f>HYPERLINK("https://klasma.github.io/Logging_0561/tillsynsmail/A 1141-2025 tillsynsbegäran mail.docx", "A 1141-2025")</f>
        <v/>
      </c>
    </row>
    <row r="375" ht="15" customHeight="1">
      <c r="A375" t="inlineStr">
        <is>
          <t>A 42837-2024</t>
        </is>
      </c>
      <c r="B375" s="1" t="n">
        <v>45566</v>
      </c>
      <c r="C375" s="1" t="n">
        <v>46093</v>
      </c>
      <c r="D375" t="inlineStr">
        <is>
          <t>ÖSTERGÖTLANDS LÄN</t>
        </is>
      </c>
      <c r="E375" t="inlineStr">
        <is>
          <t>FINSPÅNG</t>
        </is>
      </c>
      <c r="F375" t="inlineStr">
        <is>
          <t>Holmen skog AB</t>
        </is>
      </c>
      <c r="G375" t="n">
        <v>2.7</v>
      </c>
      <c r="H375" t="n">
        <v>1</v>
      </c>
      <c r="I375" t="n">
        <v>0</v>
      </c>
      <c r="J375" t="n">
        <v>0</v>
      </c>
      <c r="K375" t="n">
        <v>1</v>
      </c>
      <c r="L375" t="n">
        <v>0</v>
      </c>
      <c r="M375" t="n">
        <v>0</v>
      </c>
      <c r="N375" t="n">
        <v>0</v>
      </c>
      <c r="O375" t="n">
        <v>1</v>
      </c>
      <c r="P375" t="n">
        <v>1</v>
      </c>
      <c r="Q375" t="n">
        <v>1</v>
      </c>
      <c r="R375" s="2" t="inlineStr">
        <is>
          <t>Knärot</t>
        </is>
      </c>
      <c r="S375">
        <f>HYPERLINK("https://klasma.github.io/Logging_0562/artfynd/A 42837-2024 artfynd.xlsx", "A 42837-2024")</f>
        <v/>
      </c>
      <c r="T375">
        <f>HYPERLINK("https://klasma.github.io/Logging_0562/kartor/A 42837-2024 karta.png", "A 42837-2024")</f>
        <v/>
      </c>
      <c r="U375">
        <f>HYPERLINK("https://klasma.github.io/Logging_0562/knärot/A 42837-2024 karta knärot.png", "A 42837-2024")</f>
        <v/>
      </c>
      <c r="V375">
        <f>HYPERLINK("https://klasma.github.io/Logging_0562/klagomål/A 42837-2024 FSC-klagomål.docx", "A 42837-2024")</f>
        <v/>
      </c>
      <c r="W375">
        <f>HYPERLINK("https://klasma.github.io/Logging_0562/klagomålsmail/A 42837-2024 FSC-klagomål mail.docx", "A 42837-2024")</f>
        <v/>
      </c>
      <c r="X375">
        <f>HYPERLINK("https://klasma.github.io/Logging_0562/tillsyn/A 42837-2024 tillsynsbegäran.docx", "A 42837-2024")</f>
        <v/>
      </c>
      <c r="Y375">
        <f>HYPERLINK("https://klasma.github.io/Logging_0562/tillsynsmail/A 42837-2024 tillsynsbegäran mail.docx", "A 42837-2024")</f>
        <v/>
      </c>
    </row>
    <row r="376" ht="15" customHeight="1">
      <c r="A376" t="inlineStr">
        <is>
          <t>A 4497-2025</t>
        </is>
      </c>
      <c r="B376" s="1" t="n">
        <v>45686.67418981482</v>
      </c>
      <c r="C376" s="1" t="n">
        <v>46093</v>
      </c>
      <c r="D376" t="inlineStr">
        <is>
          <t>ÖSTERGÖTLANDS LÄN</t>
        </is>
      </c>
      <c r="E376" t="inlineStr">
        <is>
          <t>ÖDESHÖG</t>
        </is>
      </c>
      <c r="F376" t="inlineStr">
        <is>
          <t>Kyrkan</t>
        </is>
      </c>
      <c r="G376" t="n">
        <v>3.6</v>
      </c>
      <c r="H376" t="n">
        <v>0</v>
      </c>
      <c r="I376" t="n">
        <v>0</v>
      </c>
      <c r="J376" t="n">
        <v>0</v>
      </c>
      <c r="K376" t="n">
        <v>0</v>
      </c>
      <c r="L376" t="n">
        <v>0</v>
      </c>
      <c r="M376" t="n">
        <v>1</v>
      </c>
      <c r="N376" t="n">
        <v>0</v>
      </c>
      <c r="O376" t="n">
        <v>1</v>
      </c>
      <c r="P376" t="n">
        <v>1</v>
      </c>
      <c r="Q376" t="n">
        <v>1</v>
      </c>
      <c r="R376" s="2" t="inlineStr">
        <is>
          <t>Skogsalm</t>
        </is>
      </c>
      <c r="S376">
        <f>HYPERLINK("https://klasma.github.io/Logging_0509/artfynd/A 4497-2025 artfynd.xlsx", "A 4497-2025")</f>
        <v/>
      </c>
      <c r="T376">
        <f>HYPERLINK("https://klasma.github.io/Logging_0509/kartor/A 4497-2025 karta.png", "A 4497-2025")</f>
        <v/>
      </c>
      <c r="V376">
        <f>HYPERLINK("https://klasma.github.io/Logging_0509/klagomål/A 4497-2025 FSC-klagomål.docx", "A 4497-2025")</f>
        <v/>
      </c>
      <c r="W376">
        <f>HYPERLINK("https://klasma.github.io/Logging_0509/klagomålsmail/A 4497-2025 FSC-klagomål mail.docx", "A 4497-2025")</f>
        <v/>
      </c>
      <c r="X376">
        <f>HYPERLINK("https://klasma.github.io/Logging_0509/tillsyn/A 4497-2025 tillsynsbegäran.docx", "A 4497-2025")</f>
        <v/>
      </c>
      <c r="Y376">
        <f>HYPERLINK("https://klasma.github.io/Logging_0509/tillsynsmail/A 4497-2025 tillsynsbegäran mail.docx", "A 4497-2025")</f>
        <v/>
      </c>
    </row>
    <row r="377" ht="15" customHeight="1">
      <c r="A377" t="inlineStr">
        <is>
          <t>A 17772-2025</t>
        </is>
      </c>
      <c r="B377" s="1" t="n">
        <v>45758.51744212963</v>
      </c>
      <c r="C377" s="1" t="n">
        <v>46093</v>
      </c>
      <c r="D377" t="inlineStr">
        <is>
          <t>ÖSTERGÖTLANDS LÄN</t>
        </is>
      </c>
      <c r="E377" t="inlineStr">
        <is>
          <t>ÅTVIDABERG</t>
        </is>
      </c>
      <c r="G377" t="n">
        <v>6.3</v>
      </c>
      <c r="H377" t="n">
        <v>1</v>
      </c>
      <c r="I377" t="n">
        <v>0</v>
      </c>
      <c r="J377" t="n">
        <v>0</v>
      </c>
      <c r="K377" t="n">
        <v>0</v>
      </c>
      <c r="L377" t="n">
        <v>0</v>
      </c>
      <c r="M377" t="n">
        <v>0</v>
      </c>
      <c r="N377" t="n">
        <v>0</v>
      </c>
      <c r="O377" t="n">
        <v>0</v>
      </c>
      <c r="P377" t="n">
        <v>0</v>
      </c>
      <c r="Q377" t="n">
        <v>1</v>
      </c>
      <c r="R377" s="2" t="inlineStr">
        <is>
          <t>Revlummer</t>
        </is>
      </c>
      <c r="S377">
        <f>HYPERLINK("https://klasma.github.io/Logging_0561/artfynd/A 17772-2025 artfynd.xlsx", "A 17772-2025")</f>
        <v/>
      </c>
      <c r="T377">
        <f>HYPERLINK("https://klasma.github.io/Logging_0561/kartor/A 17772-2025 karta.png", "A 17772-2025")</f>
        <v/>
      </c>
      <c r="V377">
        <f>HYPERLINK("https://klasma.github.io/Logging_0561/klagomål/A 17772-2025 FSC-klagomål.docx", "A 17772-2025")</f>
        <v/>
      </c>
      <c r="W377">
        <f>HYPERLINK("https://klasma.github.io/Logging_0561/klagomålsmail/A 17772-2025 FSC-klagomål mail.docx", "A 17772-2025")</f>
        <v/>
      </c>
      <c r="X377">
        <f>HYPERLINK("https://klasma.github.io/Logging_0561/tillsyn/A 17772-2025 tillsynsbegäran.docx", "A 17772-2025")</f>
        <v/>
      </c>
      <c r="Y377">
        <f>HYPERLINK("https://klasma.github.io/Logging_0561/tillsynsmail/A 17772-2025 tillsynsbegäran mail.docx", "A 17772-2025")</f>
        <v/>
      </c>
    </row>
    <row r="378" ht="15" customHeight="1">
      <c r="A378" t="inlineStr">
        <is>
          <t>A 36128-2023</t>
        </is>
      </c>
      <c r="B378" s="1" t="n">
        <v>45149.57418981481</v>
      </c>
      <c r="C378" s="1" t="n">
        <v>46093</v>
      </c>
      <c r="D378" t="inlineStr">
        <is>
          <t>ÖSTERGÖTLANDS LÄN</t>
        </is>
      </c>
      <c r="E378" t="inlineStr">
        <is>
          <t>FINSPÅNG</t>
        </is>
      </c>
      <c r="G378" t="n">
        <v>9</v>
      </c>
      <c r="H378" t="n">
        <v>1</v>
      </c>
      <c r="I378" t="n">
        <v>0</v>
      </c>
      <c r="J378" t="n">
        <v>1</v>
      </c>
      <c r="K378" t="n">
        <v>0</v>
      </c>
      <c r="L378" t="n">
        <v>0</v>
      </c>
      <c r="M378" t="n">
        <v>0</v>
      </c>
      <c r="N378" t="n">
        <v>0</v>
      </c>
      <c r="O378" t="n">
        <v>1</v>
      </c>
      <c r="P378" t="n">
        <v>0</v>
      </c>
      <c r="Q378" t="n">
        <v>1</v>
      </c>
      <c r="R378" s="2" t="inlineStr">
        <is>
          <t>Talltita</t>
        </is>
      </c>
      <c r="S378">
        <f>HYPERLINK("https://klasma.github.io/Logging_0562/artfynd/A 36128-2023 artfynd.xlsx", "A 36128-2023")</f>
        <v/>
      </c>
      <c r="T378">
        <f>HYPERLINK("https://klasma.github.io/Logging_0562/kartor/A 36128-2023 karta.png", "A 36128-2023")</f>
        <v/>
      </c>
      <c r="V378">
        <f>HYPERLINK("https://klasma.github.io/Logging_0562/klagomål/A 36128-2023 FSC-klagomål.docx", "A 36128-2023")</f>
        <v/>
      </c>
      <c r="W378">
        <f>HYPERLINK("https://klasma.github.io/Logging_0562/klagomålsmail/A 36128-2023 FSC-klagomål mail.docx", "A 36128-2023")</f>
        <v/>
      </c>
      <c r="X378">
        <f>HYPERLINK("https://klasma.github.io/Logging_0562/tillsyn/A 36128-2023 tillsynsbegäran.docx", "A 36128-2023")</f>
        <v/>
      </c>
      <c r="Y378">
        <f>HYPERLINK("https://klasma.github.io/Logging_0562/tillsynsmail/A 36128-2023 tillsynsbegäran mail.docx", "A 36128-2023")</f>
        <v/>
      </c>
      <c r="Z378">
        <f>HYPERLINK("https://klasma.github.io/Logging_0562/fåglar/A 36128-2023 prioriterade fågelarter.docx", "A 36128-2023")</f>
        <v/>
      </c>
    </row>
    <row r="379" ht="15" customHeight="1">
      <c r="A379" t="inlineStr">
        <is>
          <t>A 6035-2022</t>
        </is>
      </c>
      <c r="B379" s="1" t="n">
        <v>44599</v>
      </c>
      <c r="C379" s="1" t="n">
        <v>46093</v>
      </c>
      <c r="D379" t="inlineStr">
        <is>
          <t>ÖSTERGÖTLANDS LÄN</t>
        </is>
      </c>
      <c r="E379" t="inlineStr">
        <is>
          <t>FINSPÅNG</t>
        </is>
      </c>
      <c r="F379" t="inlineStr">
        <is>
          <t>Naturvårdsverket</t>
        </is>
      </c>
      <c r="G379" t="n">
        <v>0.8</v>
      </c>
      <c r="H379" t="n">
        <v>1</v>
      </c>
      <c r="I379" t="n">
        <v>0</v>
      </c>
      <c r="J379" t="n">
        <v>0</v>
      </c>
      <c r="K379" t="n">
        <v>0</v>
      </c>
      <c r="L379" t="n">
        <v>0</v>
      </c>
      <c r="M379" t="n">
        <v>0</v>
      </c>
      <c r="N379" t="n">
        <v>0</v>
      </c>
      <c r="O379" t="n">
        <v>0</v>
      </c>
      <c r="P379" t="n">
        <v>0</v>
      </c>
      <c r="Q379" t="n">
        <v>1</v>
      </c>
      <c r="R379" s="2" t="inlineStr">
        <is>
          <t>Bred kärrtrollslända</t>
        </is>
      </c>
      <c r="S379">
        <f>HYPERLINK("https://klasma.github.io/Logging_0562/artfynd/A 6035-2022 artfynd.xlsx", "A 6035-2022")</f>
        <v/>
      </c>
      <c r="T379">
        <f>HYPERLINK("https://klasma.github.io/Logging_0562/kartor/A 6035-2022 karta.png", "A 6035-2022")</f>
        <v/>
      </c>
      <c r="V379">
        <f>HYPERLINK("https://klasma.github.io/Logging_0562/klagomål/A 6035-2022 FSC-klagomål.docx", "A 6035-2022")</f>
        <v/>
      </c>
      <c r="W379">
        <f>HYPERLINK("https://klasma.github.io/Logging_0562/klagomålsmail/A 6035-2022 FSC-klagomål mail.docx", "A 6035-2022")</f>
        <v/>
      </c>
      <c r="X379">
        <f>HYPERLINK("https://klasma.github.io/Logging_0562/tillsyn/A 6035-2022 tillsynsbegäran.docx", "A 6035-2022")</f>
        <v/>
      </c>
      <c r="Y379">
        <f>HYPERLINK("https://klasma.github.io/Logging_0562/tillsynsmail/A 6035-2022 tillsynsbegäran mail.docx", "A 6035-2022")</f>
        <v/>
      </c>
    </row>
    <row r="380" ht="15" customHeight="1">
      <c r="A380" t="inlineStr">
        <is>
          <t>A 52523-2022</t>
        </is>
      </c>
      <c r="B380" s="1" t="n">
        <v>44874</v>
      </c>
      <c r="C380" s="1" t="n">
        <v>46093</v>
      </c>
      <c r="D380" t="inlineStr">
        <is>
          <t>ÖSTERGÖTLANDS LÄN</t>
        </is>
      </c>
      <c r="E380" t="inlineStr">
        <is>
          <t>MOTALA</t>
        </is>
      </c>
      <c r="F380" t="inlineStr">
        <is>
          <t>Kyrkan</t>
        </is>
      </c>
      <c r="G380" t="n">
        <v>6.7</v>
      </c>
      <c r="H380" t="n">
        <v>1</v>
      </c>
      <c r="I380" t="n">
        <v>0</v>
      </c>
      <c r="J380" t="n">
        <v>0</v>
      </c>
      <c r="K380" t="n">
        <v>0</v>
      </c>
      <c r="L380" t="n">
        <v>0</v>
      </c>
      <c r="M380" t="n">
        <v>0</v>
      </c>
      <c r="N380" t="n">
        <v>0</v>
      </c>
      <c r="O380" t="n">
        <v>0</v>
      </c>
      <c r="P380" t="n">
        <v>0</v>
      </c>
      <c r="Q380" t="n">
        <v>1</v>
      </c>
      <c r="R380" s="2" t="inlineStr">
        <is>
          <t>Fläcknycklar</t>
        </is>
      </c>
      <c r="S380">
        <f>HYPERLINK("https://klasma.github.io/Logging_0583/artfynd/A 52523-2022 artfynd.xlsx", "A 52523-2022")</f>
        <v/>
      </c>
      <c r="T380">
        <f>HYPERLINK("https://klasma.github.io/Logging_0583/kartor/A 52523-2022 karta.png", "A 52523-2022")</f>
        <v/>
      </c>
      <c r="V380">
        <f>HYPERLINK("https://klasma.github.io/Logging_0583/klagomål/A 52523-2022 FSC-klagomål.docx", "A 52523-2022")</f>
        <v/>
      </c>
      <c r="W380">
        <f>HYPERLINK("https://klasma.github.io/Logging_0583/klagomålsmail/A 52523-2022 FSC-klagomål mail.docx", "A 52523-2022")</f>
        <v/>
      </c>
      <c r="X380">
        <f>HYPERLINK("https://klasma.github.io/Logging_0583/tillsyn/A 52523-2022 tillsynsbegäran.docx", "A 52523-2022")</f>
        <v/>
      </c>
      <c r="Y380">
        <f>HYPERLINK("https://klasma.github.io/Logging_0583/tillsynsmail/A 52523-2022 tillsynsbegäran mail.docx", "A 52523-2022")</f>
        <v/>
      </c>
    </row>
    <row r="381" ht="15" customHeight="1">
      <c r="A381" t="inlineStr">
        <is>
          <t>A 43989-2025</t>
        </is>
      </c>
      <c r="B381" s="1" t="n">
        <v>45915.44128472222</v>
      </c>
      <c r="C381" s="1" t="n">
        <v>46093</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18729-2025</t>
        </is>
      </c>
      <c r="B382" s="1" t="n">
        <v>45763.67392361111</v>
      </c>
      <c r="C382" s="1" t="n">
        <v>46093</v>
      </c>
      <c r="D382" t="inlineStr">
        <is>
          <t>ÖSTERGÖTLANDS LÄN</t>
        </is>
      </c>
      <c r="E382" t="inlineStr">
        <is>
          <t>MOTALA</t>
        </is>
      </c>
      <c r="F382" t="inlineStr">
        <is>
          <t>Sveaskog</t>
        </is>
      </c>
      <c r="G382" t="n">
        <v>1.9</v>
      </c>
      <c r="H382" t="n">
        <v>1</v>
      </c>
      <c r="I382" t="n">
        <v>0</v>
      </c>
      <c r="J382" t="n">
        <v>0</v>
      </c>
      <c r="K382" t="n">
        <v>0</v>
      </c>
      <c r="L382" t="n">
        <v>0</v>
      </c>
      <c r="M382" t="n">
        <v>0</v>
      </c>
      <c r="N382" t="n">
        <v>0</v>
      </c>
      <c r="O382" t="n">
        <v>0</v>
      </c>
      <c r="P382" t="n">
        <v>0</v>
      </c>
      <c r="Q382" t="n">
        <v>1</v>
      </c>
      <c r="R382" s="2" t="inlineStr">
        <is>
          <t>Blåsippa</t>
        </is>
      </c>
      <c r="S382">
        <f>HYPERLINK("https://klasma.github.io/Logging_0583/artfynd/A 18729-2025 artfynd.xlsx", "A 18729-2025")</f>
        <v/>
      </c>
      <c r="T382">
        <f>HYPERLINK("https://klasma.github.io/Logging_0583/kartor/A 18729-2025 karta.png", "A 18729-2025")</f>
        <v/>
      </c>
      <c r="V382">
        <f>HYPERLINK("https://klasma.github.io/Logging_0583/klagomål/A 18729-2025 FSC-klagomål.docx", "A 18729-2025")</f>
        <v/>
      </c>
      <c r="W382">
        <f>HYPERLINK("https://klasma.github.io/Logging_0583/klagomålsmail/A 18729-2025 FSC-klagomål mail.docx", "A 18729-2025")</f>
        <v/>
      </c>
      <c r="X382">
        <f>HYPERLINK("https://klasma.github.io/Logging_0583/tillsyn/A 18729-2025 tillsynsbegäran.docx", "A 18729-2025")</f>
        <v/>
      </c>
      <c r="Y382">
        <f>HYPERLINK("https://klasma.github.io/Logging_0583/tillsynsmail/A 18729-2025 tillsynsbegäran mail.docx", "A 18729-2025")</f>
        <v/>
      </c>
    </row>
    <row r="383" ht="15" customHeight="1">
      <c r="A383" t="inlineStr">
        <is>
          <t>A 46955-2023</t>
        </is>
      </c>
      <c r="B383" s="1" t="n">
        <v>45201</v>
      </c>
      <c r="C383" s="1" t="n">
        <v>46093</v>
      </c>
      <c r="D383" t="inlineStr">
        <is>
          <t>ÖSTERGÖTLANDS LÄN</t>
        </is>
      </c>
      <c r="E383" t="inlineStr">
        <is>
          <t>NORRKÖPING</t>
        </is>
      </c>
      <c r="G383" t="n">
        <v>4</v>
      </c>
      <c r="H383" t="n">
        <v>0</v>
      </c>
      <c r="I383" t="n">
        <v>1</v>
      </c>
      <c r="J383" t="n">
        <v>0</v>
      </c>
      <c r="K383" t="n">
        <v>0</v>
      </c>
      <c r="L383" t="n">
        <v>0</v>
      </c>
      <c r="M383" t="n">
        <v>0</v>
      </c>
      <c r="N383" t="n">
        <v>0</v>
      </c>
      <c r="O383" t="n">
        <v>0</v>
      </c>
      <c r="P383" t="n">
        <v>0</v>
      </c>
      <c r="Q383" t="n">
        <v>1</v>
      </c>
      <c r="R383" s="2" t="inlineStr">
        <is>
          <t>Dropptaggsvamp</t>
        </is>
      </c>
      <c r="S383">
        <f>HYPERLINK("https://klasma.github.io/Logging_0581/artfynd/A 46955-2023 artfynd.xlsx", "A 46955-2023")</f>
        <v/>
      </c>
      <c r="T383">
        <f>HYPERLINK("https://klasma.github.io/Logging_0581/kartor/A 46955-2023 karta.png", "A 46955-2023")</f>
        <v/>
      </c>
      <c r="V383">
        <f>HYPERLINK("https://klasma.github.io/Logging_0581/klagomål/A 46955-2023 FSC-klagomål.docx", "A 46955-2023")</f>
        <v/>
      </c>
      <c r="W383">
        <f>HYPERLINK("https://klasma.github.io/Logging_0581/klagomålsmail/A 46955-2023 FSC-klagomål mail.docx", "A 46955-2023")</f>
        <v/>
      </c>
      <c r="X383">
        <f>HYPERLINK("https://klasma.github.io/Logging_0581/tillsyn/A 46955-2023 tillsynsbegäran.docx", "A 46955-2023")</f>
        <v/>
      </c>
      <c r="Y383">
        <f>HYPERLINK("https://klasma.github.io/Logging_0581/tillsynsmail/A 46955-2023 tillsynsbegäran mail.docx", "A 46955-2023")</f>
        <v/>
      </c>
    </row>
    <row r="384" ht="15" customHeight="1">
      <c r="A384" t="inlineStr">
        <is>
          <t>A 46145-2023</t>
        </is>
      </c>
      <c r="B384" s="1" t="n">
        <v>45196.57292824074</v>
      </c>
      <c r="C384" s="1" t="n">
        <v>46093</v>
      </c>
      <c r="D384" t="inlineStr">
        <is>
          <t>ÖSTERGÖTLANDS LÄN</t>
        </is>
      </c>
      <c r="E384" t="inlineStr">
        <is>
          <t>KINDA</t>
        </is>
      </c>
      <c r="G384" t="n">
        <v>4.2</v>
      </c>
      <c r="H384" t="n">
        <v>0</v>
      </c>
      <c r="I384" t="n">
        <v>1</v>
      </c>
      <c r="J384" t="n">
        <v>0</v>
      </c>
      <c r="K384" t="n">
        <v>0</v>
      </c>
      <c r="L384" t="n">
        <v>0</v>
      </c>
      <c r="M384" t="n">
        <v>0</v>
      </c>
      <c r="N384" t="n">
        <v>0</v>
      </c>
      <c r="O384" t="n">
        <v>0</v>
      </c>
      <c r="P384" t="n">
        <v>0</v>
      </c>
      <c r="Q384" t="n">
        <v>1</v>
      </c>
      <c r="R384" s="2" t="inlineStr">
        <is>
          <t>Svart trolldruva</t>
        </is>
      </c>
      <c r="S384">
        <f>HYPERLINK("https://klasma.github.io/Logging_0513/artfynd/A 46145-2023 artfynd.xlsx", "A 46145-2023")</f>
        <v/>
      </c>
      <c r="T384">
        <f>HYPERLINK("https://klasma.github.io/Logging_0513/kartor/A 46145-2023 karta.png", "A 46145-2023")</f>
        <v/>
      </c>
      <c r="V384">
        <f>HYPERLINK("https://klasma.github.io/Logging_0513/klagomål/A 46145-2023 FSC-klagomål.docx", "A 46145-2023")</f>
        <v/>
      </c>
      <c r="W384">
        <f>HYPERLINK("https://klasma.github.io/Logging_0513/klagomålsmail/A 46145-2023 FSC-klagomål mail.docx", "A 46145-2023")</f>
        <v/>
      </c>
      <c r="X384">
        <f>HYPERLINK("https://klasma.github.io/Logging_0513/tillsyn/A 46145-2023 tillsynsbegäran.docx", "A 46145-2023")</f>
        <v/>
      </c>
      <c r="Y384">
        <f>HYPERLINK("https://klasma.github.io/Logging_0513/tillsynsmail/A 46145-2023 tillsynsbegäran mail.docx", "A 46145-2023")</f>
        <v/>
      </c>
    </row>
    <row r="385" ht="15" customHeight="1">
      <c r="A385" t="inlineStr">
        <is>
          <t>A 8171-2025</t>
        </is>
      </c>
      <c r="B385" s="1" t="n">
        <v>45708.3696875</v>
      </c>
      <c r="C385" s="1" t="n">
        <v>46093</v>
      </c>
      <c r="D385" t="inlineStr">
        <is>
          <t>ÖSTERGÖTLANDS LÄN</t>
        </is>
      </c>
      <c r="E385" t="inlineStr">
        <is>
          <t>BOXHOLM</t>
        </is>
      </c>
      <c r="F385" t="inlineStr">
        <is>
          <t>Kyrkan</t>
        </is>
      </c>
      <c r="G385" t="n">
        <v>14.2</v>
      </c>
      <c r="H385" t="n">
        <v>0</v>
      </c>
      <c r="I385" t="n">
        <v>0</v>
      </c>
      <c r="J385" t="n">
        <v>1</v>
      </c>
      <c r="K385" t="n">
        <v>0</v>
      </c>
      <c r="L385" t="n">
        <v>0</v>
      </c>
      <c r="M385" t="n">
        <v>0</v>
      </c>
      <c r="N385" t="n">
        <v>0</v>
      </c>
      <c r="O385" t="n">
        <v>1</v>
      </c>
      <c r="P385" t="n">
        <v>0</v>
      </c>
      <c r="Q385" t="n">
        <v>1</v>
      </c>
      <c r="R385" s="2" t="inlineStr">
        <is>
          <t>Skogshare</t>
        </is>
      </c>
      <c r="S385">
        <f>HYPERLINK("https://klasma.github.io/Logging_0560/artfynd/A 8171-2025 artfynd.xlsx", "A 8171-2025")</f>
        <v/>
      </c>
      <c r="T385">
        <f>HYPERLINK("https://klasma.github.io/Logging_0560/kartor/A 8171-2025 karta.png", "A 8171-2025")</f>
        <v/>
      </c>
      <c r="V385">
        <f>HYPERLINK("https://klasma.github.io/Logging_0560/klagomål/A 8171-2025 FSC-klagomål.docx", "A 8171-2025")</f>
        <v/>
      </c>
      <c r="W385">
        <f>HYPERLINK("https://klasma.github.io/Logging_0560/klagomålsmail/A 8171-2025 FSC-klagomål mail.docx", "A 8171-2025")</f>
        <v/>
      </c>
      <c r="X385">
        <f>HYPERLINK("https://klasma.github.io/Logging_0560/tillsyn/A 8171-2025 tillsynsbegäran.docx", "A 8171-2025")</f>
        <v/>
      </c>
      <c r="Y385">
        <f>HYPERLINK("https://klasma.github.io/Logging_0560/tillsynsmail/A 8171-2025 tillsynsbegäran mail.docx", "A 8171-2025")</f>
        <v/>
      </c>
    </row>
    <row r="386" ht="15" customHeight="1">
      <c r="A386" t="inlineStr">
        <is>
          <t>A 56651-2023</t>
        </is>
      </c>
      <c r="B386" s="1" t="n">
        <v>45243</v>
      </c>
      <c r="C386" s="1" t="n">
        <v>46093</v>
      </c>
      <c r="D386" t="inlineStr">
        <is>
          <t>ÖSTERGÖTLANDS LÄN</t>
        </is>
      </c>
      <c r="E386" t="inlineStr">
        <is>
          <t>LINKÖPING</t>
        </is>
      </c>
      <c r="F386" t="inlineStr">
        <is>
          <t>Övriga Aktiebolag</t>
        </is>
      </c>
      <c r="G386" t="n">
        <v>2.3</v>
      </c>
      <c r="H386" t="n">
        <v>0</v>
      </c>
      <c r="I386" t="n">
        <v>0</v>
      </c>
      <c r="J386" t="n">
        <v>1</v>
      </c>
      <c r="K386" t="n">
        <v>0</v>
      </c>
      <c r="L386" t="n">
        <v>0</v>
      </c>
      <c r="M386" t="n">
        <v>0</v>
      </c>
      <c r="N386" t="n">
        <v>0</v>
      </c>
      <c r="O386" t="n">
        <v>1</v>
      </c>
      <c r="P386" t="n">
        <v>0</v>
      </c>
      <c r="Q386" t="n">
        <v>1</v>
      </c>
      <c r="R386" s="2" t="inlineStr">
        <is>
          <t>Gul dropplav</t>
        </is>
      </c>
      <c r="S386">
        <f>HYPERLINK("https://klasma.github.io/Logging_0580/artfynd/A 56651-2023 artfynd.xlsx", "A 56651-2023")</f>
        <v/>
      </c>
      <c r="T386">
        <f>HYPERLINK("https://klasma.github.io/Logging_0580/kartor/A 56651-2023 karta.png", "A 56651-2023")</f>
        <v/>
      </c>
      <c r="V386">
        <f>HYPERLINK("https://klasma.github.io/Logging_0580/klagomål/A 56651-2023 FSC-klagomål.docx", "A 56651-2023")</f>
        <v/>
      </c>
      <c r="W386">
        <f>HYPERLINK("https://klasma.github.io/Logging_0580/klagomålsmail/A 56651-2023 FSC-klagomål mail.docx", "A 56651-2023")</f>
        <v/>
      </c>
      <c r="X386">
        <f>HYPERLINK("https://klasma.github.io/Logging_0580/tillsyn/A 56651-2023 tillsynsbegäran.docx", "A 56651-2023")</f>
        <v/>
      </c>
      <c r="Y386">
        <f>HYPERLINK("https://klasma.github.io/Logging_0580/tillsynsmail/A 56651-2023 tillsynsbegäran mail.docx", "A 56651-2023")</f>
        <v/>
      </c>
    </row>
    <row r="387" ht="15" customHeight="1">
      <c r="A387" t="inlineStr">
        <is>
          <t>A 44760-2025</t>
        </is>
      </c>
      <c r="B387" s="1" t="n">
        <v>45917.71873842592</v>
      </c>
      <c r="C387" s="1" t="n">
        <v>46093</v>
      </c>
      <c r="D387" t="inlineStr">
        <is>
          <t>ÖSTERGÖTLANDS LÄN</t>
        </is>
      </c>
      <c r="E387" t="inlineStr">
        <is>
          <t>LINKÖPING</t>
        </is>
      </c>
      <c r="G387" t="n">
        <v>0.9</v>
      </c>
      <c r="H387" t="n">
        <v>0</v>
      </c>
      <c r="I387" t="n">
        <v>0</v>
      </c>
      <c r="J387" t="n">
        <v>1</v>
      </c>
      <c r="K387" t="n">
        <v>0</v>
      </c>
      <c r="L387" t="n">
        <v>0</v>
      </c>
      <c r="M387" t="n">
        <v>0</v>
      </c>
      <c r="N387" t="n">
        <v>0</v>
      </c>
      <c r="O387" t="n">
        <v>1</v>
      </c>
      <c r="P387" t="n">
        <v>0</v>
      </c>
      <c r="Q387" t="n">
        <v>1</v>
      </c>
      <c r="R387" s="2" t="inlineStr">
        <is>
          <t>Tallticka</t>
        </is>
      </c>
      <c r="S387">
        <f>HYPERLINK("https://klasma.github.io/Logging_0580/artfynd/A 44760-2025 artfynd.xlsx", "A 44760-2025")</f>
        <v/>
      </c>
      <c r="T387">
        <f>HYPERLINK("https://klasma.github.io/Logging_0580/kartor/A 44760-2025 karta.png", "A 44760-2025")</f>
        <v/>
      </c>
      <c r="V387">
        <f>HYPERLINK("https://klasma.github.io/Logging_0580/klagomål/A 44760-2025 FSC-klagomål.docx", "A 44760-2025")</f>
        <v/>
      </c>
      <c r="W387">
        <f>HYPERLINK("https://klasma.github.io/Logging_0580/klagomålsmail/A 44760-2025 FSC-klagomål mail.docx", "A 44760-2025")</f>
        <v/>
      </c>
      <c r="X387">
        <f>HYPERLINK("https://klasma.github.io/Logging_0580/tillsyn/A 44760-2025 tillsynsbegäran.docx", "A 44760-2025")</f>
        <v/>
      </c>
      <c r="Y387">
        <f>HYPERLINK("https://klasma.github.io/Logging_0580/tillsynsmail/A 44760-2025 tillsynsbegäran mail.docx", "A 44760-2025")</f>
        <v/>
      </c>
    </row>
    <row r="388" ht="15" customHeight="1">
      <c r="A388" t="inlineStr">
        <is>
          <t>A 44677-2025</t>
        </is>
      </c>
      <c r="B388" s="1" t="n">
        <v>45917.5712037037</v>
      </c>
      <c r="C388" s="1" t="n">
        <v>46093</v>
      </c>
      <c r="D388" t="inlineStr">
        <is>
          <t>ÖSTERGÖTLANDS LÄN</t>
        </is>
      </c>
      <c r="E388" t="inlineStr">
        <is>
          <t>NORRKÖPING</t>
        </is>
      </c>
      <c r="F388" t="inlineStr">
        <is>
          <t>Holmen skog AB</t>
        </is>
      </c>
      <c r="G388" t="n">
        <v>1</v>
      </c>
      <c r="H388" t="n">
        <v>0</v>
      </c>
      <c r="I388" t="n">
        <v>0</v>
      </c>
      <c r="J388" t="n">
        <v>1</v>
      </c>
      <c r="K388" t="n">
        <v>0</v>
      </c>
      <c r="L388" t="n">
        <v>0</v>
      </c>
      <c r="M388" t="n">
        <v>0</v>
      </c>
      <c r="N388" t="n">
        <v>0</v>
      </c>
      <c r="O388" t="n">
        <v>1</v>
      </c>
      <c r="P388" t="n">
        <v>0</v>
      </c>
      <c r="Q388" t="n">
        <v>1</v>
      </c>
      <c r="R388" s="2" t="inlineStr">
        <is>
          <t>Motaggsvamp</t>
        </is>
      </c>
      <c r="S388">
        <f>HYPERLINK("https://klasma.github.io/Logging_0581/artfynd/A 44677-2025 artfynd.xlsx", "A 44677-2025")</f>
        <v/>
      </c>
      <c r="T388">
        <f>HYPERLINK("https://klasma.github.io/Logging_0581/kartor/A 44677-2025 karta.png", "A 44677-2025")</f>
        <v/>
      </c>
      <c r="V388">
        <f>HYPERLINK("https://klasma.github.io/Logging_0581/klagomål/A 44677-2025 FSC-klagomål.docx", "A 44677-2025")</f>
        <v/>
      </c>
      <c r="W388">
        <f>HYPERLINK("https://klasma.github.io/Logging_0581/klagomålsmail/A 44677-2025 FSC-klagomål mail.docx", "A 44677-2025")</f>
        <v/>
      </c>
      <c r="X388">
        <f>HYPERLINK("https://klasma.github.io/Logging_0581/tillsyn/A 44677-2025 tillsynsbegäran.docx", "A 44677-2025")</f>
        <v/>
      </c>
      <c r="Y388">
        <f>HYPERLINK("https://klasma.github.io/Logging_0581/tillsynsmail/A 44677-2025 tillsynsbegäran mail.docx", "A 44677-2025")</f>
        <v/>
      </c>
    </row>
    <row r="389" ht="15" customHeight="1">
      <c r="A389" t="inlineStr">
        <is>
          <t>A 4709-2025</t>
        </is>
      </c>
      <c r="B389" s="1" t="n">
        <v>45688</v>
      </c>
      <c r="C389" s="1" t="n">
        <v>46093</v>
      </c>
      <c r="D389" t="inlineStr">
        <is>
          <t>ÖSTERGÖTLANDS LÄN</t>
        </is>
      </c>
      <c r="E389" t="inlineStr">
        <is>
          <t>SÖDERKÖPING</t>
        </is>
      </c>
      <c r="G389" t="n">
        <v>5.1</v>
      </c>
      <c r="H389" t="n">
        <v>0</v>
      </c>
      <c r="I389" t="n">
        <v>1</v>
      </c>
      <c r="J389" t="n">
        <v>0</v>
      </c>
      <c r="K389" t="n">
        <v>0</v>
      </c>
      <c r="L389" t="n">
        <v>0</v>
      </c>
      <c r="M389" t="n">
        <v>0</v>
      </c>
      <c r="N389" t="n">
        <v>0</v>
      </c>
      <c r="O389" t="n">
        <v>0</v>
      </c>
      <c r="P389" t="n">
        <v>0</v>
      </c>
      <c r="Q389" t="n">
        <v>1</v>
      </c>
      <c r="R389" s="2" t="inlineStr">
        <is>
          <t>Flagellkvastmossa</t>
        </is>
      </c>
      <c r="S389">
        <f>HYPERLINK("https://klasma.github.io/Logging_0582/artfynd/A 4709-2025 artfynd.xlsx", "A 4709-2025")</f>
        <v/>
      </c>
      <c r="T389">
        <f>HYPERLINK("https://klasma.github.io/Logging_0582/kartor/A 4709-2025 karta.png", "A 4709-2025")</f>
        <v/>
      </c>
      <c r="V389">
        <f>HYPERLINK("https://klasma.github.io/Logging_0582/klagomål/A 4709-2025 FSC-klagomål.docx", "A 4709-2025")</f>
        <v/>
      </c>
      <c r="W389">
        <f>HYPERLINK("https://klasma.github.io/Logging_0582/klagomålsmail/A 4709-2025 FSC-klagomål mail.docx", "A 4709-2025")</f>
        <v/>
      </c>
      <c r="X389">
        <f>HYPERLINK("https://klasma.github.io/Logging_0582/tillsyn/A 4709-2025 tillsynsbegäran.docx", "A 4709-2025")</f>
        <v/>
      </c>
      <c r="Y389">
        <f>HYPERLINK("https://klasma.github.io/Logging_0582/tillsynsmail/A 4709-2025 tillsynsbegäran mail.docx", "A 4709-2025")</f>
        <v/>
      </c>
    </row>
    <row r="390" ht="15" customHeight="1">
      <c r="A390" t="inlineStr">
        <is>
          <t>A 36475-2025</t>
        </is>
      </c>
      <c r="B390" s="1" t="n">
        <v>45869.48996527777</v>
      </c>
      <c r="C390" s="1" t="n">
        <v>46093</v>
      </c>
      <c r="D390" t="inlineStr">
        <is>
          <t>ÖSTERGÖTLANDS LÄN</t>
        </is>
      </c>
      <c r="E390" t="inlineStr">
        <is>
          <t>BOXHOLM</t>
        </is>
      </c>
      <c r="F390" t="inlineStr">
        <is>
          <t>Övriga Aktiebolag</t>
        </is>
      </c>
      <c r="G390" t="n">
        <v>2.1</v>
      </c>
      <c r="H390" t="n">
        <v>0</v>
      </c>
      <c r="I390" t="n">
        <v>1</v>
      </c>
      <c r="J390" t="n">
        <v>0</v>
      </c>
      <c r="K390" t="n">
        <v>0</v>
      </c>
      <c r="L390" t="n">
        <v>0</v>
      </c>
      <c r="M390" t="n">
        <v>0</v>
      </c>
      <c r="N390" t="n">
        <v>0</v>
      </c>
      <c r="O390" t="n">
        <v>0</v>
      </c>
      <c r="P390" t="n">
        <v>0</v>
      </c>
      <c r="Q390" t="n">
        <v>1</v>
      </c>
      <c r="R390" s="2" t="inlineStr">
        <is>
          <t>Tibast</t>
        </is>
      </c>
      <c r="S390">
        <f>HYPERLINK("https://klasma.github.io/Logging_0560/artfynd/A 36475-2025 artfynd.xlsx", "A 36475-2025")</f>
        <v/>
      </c>
      <c r="T390">
        <f>HYPERLINK("https://klasma.github.io/Logging_0560/kartor/A 36475-2025 karta.png", "A 36475-2025")</f>
        <v/>
      </c>
      <c r="V390">
        <f>HYPERLINK("https://klasma.github.io/Logging_0560/klagomål/A 36475-2025 FSC-klagomål.docx", "A 36475-2025")</f>
        <v/>
      </c>
      <c r="W390">
        <f>HYPERLINK("https://klasma.github.io/Logging_0560/klagomålsmail/A 36475-2025 FSC-klagomål mail.docx", "A 36475-2025")</f>
        <v/>
      </c>
      <c r="X390">
        <f>HYPERLINK("https://klasma.github.io/Logging_0560/tillsyn/A 36475-2025 tillsynsbegäran.docx", "A 36475-2025")</f>
        <v/>
      </c>
      <c r="Y390">
        <f>HYPERLINK("https://klasma.github.io/Logging_0560/tillsynsmail/A 36475-2025 tillsynsbegäran mail.docx", "A 36475-2025")</f>
        <v/>
      </c>
    </row>
    <row r="391" ht="15" customHeight="1">
      <c r="A391" t="inlineStr">
        <is>
          <t>A 45765-2025</t>
        </is>
      </c>
      <c r="B391" s="1" t="n">
        <v>45922</v>
      </c>
      <c r="C391" s="1" t="n">
        <v>46093</v>
      </c>
      <c r="D391" t="inlineStr">
        <is>
          <t>ÖSTERGÖTLANDS LÄN</t>
        </is>
      </c>
      <c r="E391" t="inlineStr">
        <is>
          <t>YDRE</t>
        </is>
      </c>
      <c r="G391" t="n">
        <v>10.9</v>
      </c>
      <c r="H391" t="n">
        <v>0</v>
      </c>
      <c r="I391" t="n">
        <v>0</v>
      </c>
      <c r="J391" t="n">
        <v>1</v>
      </c>
      <c r="K391" t="n">
        <v>0</v>
      </c>
      <c r="L391" t="n">
        <v>0</v>
      </c>
      <c r="M391" t="n">
        <v>0</v>
      </c>
      <c r="N391" t="n">
        <v>0</v>
      </c>
      <c r="O391" t="n">
        <v>1</v>
      </c>
      <c r="P391" t="n">
        <v>0</v>
      </c>
      <c r="Q391" t="n">
        <v>1</v>
      </c>
      <c r="R391" s="2" t="inlineStr">
        <is>
          <t>Sommarfibbla</t>
        </is>
      </c>
      <c r="S391">
        <f>HYPERLINK("https://klasma.github.io/Logging_0512/artfynd/A 45765-2025 artfynd.xlsx", "A 45765-2025")</f>
        <v/>
      </c>
      <c r="T391">
        <f>HYPERLINK("https://klasma.github.io/Logging_0512/kartor/A 45765-2025 karta.png", "A 45765-2025")</f>
        <v/>
      </c>
      <c r="V391">
        <f>HYPERLINK("https://klasma.github.io/Logging_0512/klagomål/A 45765-2025 FSC-klagomål.docx", "A 45765-2025")</f>
        <v/>
      </c>
      <c r="W391">
        <f>HYPERLINK("https://klasma.github.io/Logging_0512/klagomålsmail/A 45765-2025 FSC-klagomål mail.docx", "A 45765-2025")</f>
        <v/>
      </c>
      <c r="X391">
        <f>HYPERLINK("https://klasma.github.io/Logging_0512/tillsyn/A 45765-2025 tillsynsbegäran.docx", "A 45765-2025")</f>
        <v/>
      </c>
      <c r="Y391">
        <f>HYPERLINK("https://klasma.github.io/Logging_0512/tillsynsmail/A 45765-2025 tillsynsbegäran mail.docx", "A 45765-2025")</f>
        <v/>
      </c>
    </row>
    <row r="392" ht="15" customHeight="1">
      <c r="A392" t="inlineStr">
        <is>
          <t>A 59948-2022</t>
        </is>
      </c>
      <c r="B392" s="1" t="n">
        <v>44909</v>
      </c>
      <c r="C392" s="1" t="n">
        <v>46093</v>
      </c>
      <c r="D392" t="inlineStr">
        <is>
          <t>ÖSTERGÖTLANDS LÄN</t>
        </is>
      </c>
      <c r="E392" t="inlineStr">
        <is>
          <t>LINKÖPING</t>
        </is>
      </c>
      <c r="G392" t="n">
        <v>6.7</v>
      </c>
      <c r="H392" t="n">
        <v>0</v>
      </c>
      <c r="I392" t="n">
        <v>0</v>
      </c>
      <c r="J392" t="n">
        <v>0</v>
      </c>
      <c r="K392" t="n">
        <v>0</v>
      </c>
      <c r="L392" t="n">
        <v>0</v>
      </c>
      <c r="M392" t="n">
        <v>1</v>
      </c>
      <c r="N392" t="n">
        <v>0</v>
      </c>
      <c r="O392" t="n">
        <v>1</v>
      </c>
      <c r="P392" t="n">
        <v>1</v>
      </c>
      <c r="Q392" t="n">
        <v>1</v>
      </c>
      <c r="R392" s="2" t="inlineStr">
        <is>
          <t>Skogsalm</t>
        </is>
      </c>
      <c r="S392">
        <f>HYPERLINK("https://klasma.github.io/Logging_0580/artfynd/A 59948-2022 artfynd.xlsx", "A 59948-2022")</f>
        <v/>
      </c>
      <c r="T392">
        <f>HYPERLINK("https://klasma.github.io/Logging_0580/kartor/A 59948-2022 karta.png", "A 59948-2022")</f>
        <v/>
      </c>
      <c r="V392">
        <f>HYPERLINK("https://klasma.github.io/Logging_0580/klagomål/A 59948-2022 FSC-klagomål.docx", "A 59948-2022")</f>
        <v/>
      </c>
      <c r="W392">
        <f>HYPERLINK("https://klasma.github.io/Logging_0580/klagomålsmail/A 59948-2022 FSC-klagomål mail.docx", "A 59948-2022")</f>
        <v/>
      </c>
      <c r="X392">
        <f>HYPERLINK("https://klasma.github.io/Logging_0580/tillsyn/A 59948-2022 tillsynsbegäran.docx", "A 59948-2022")</f>
        <v/>
      </c>
      <c r="Y392">
        <f>HYPERLINK("https://klasma.github.io/Logging_0580/tillsynsmail/A 59948-2022 tillsynsbegäran mail.docx", "A 59948-2022")</f>
        <v/>
      </c>
    </row>
    <row r="393" ht="15" customHeight="1">
      <c r="A393" t="inlineStr">
        <is>
          <t>A 46201-2025</t>
        </is>
      </c>
      <c r="B393" s="1" t="n">
        <v>45924.69556712963</v>
      </c>
      <c r="C393" s="1" t="n">
        <v>46093</v>
      </c>
      <c r="D393" t="inlineStr">
        <is>
          <t>ÖSTERGÖTLANDS LÄN</t>
        </is>
      </c>
      <c r="E393" t="inlineStr">
        <is>
          <t>NORRKÖPING</t>
        </is>
      </c>
      <c r="G393" t="n">
        <v>1.5</v>
      </c>
      <c r="H393" t="n">
        <v>0</v>
      </c>
      <c r="I393" t="n">
        <v>1</v>
      </c>
      <c r="J393" t="n">
        <v>0</v>
      </c>
      <c r="K393" t="n">
        <v>0</v>
      </c>
      <c r="L393" t="n">
        <v>0</v>
      </c>
      <c r="M393" t="n">
        <v>0</v>
      </c>
      <c r="N393" t="n">
        <v>0</v>
      </c>
      <c r="O393" t="n">
        <v>0</v>
      </c>
      <c r="P393" t="n">
        <v>0</v>
      </c>
      <c r="Q393" t="n">
        <v>1</v>
      </c>
      <c r="R393" s="2" t="inlineStr">
        <is>
          <t>Hasselticka</t>
        </is>
      </c>
      <c r="S393">
        <f>HYPERLINK("https://klasma.github.io/Logging_0581/artfynd/A 46201-2025 artfynd.xlsx", "A 46201-2025")</f>
        <v/>
      </c>
      <c r="T393">
        <f>HYPERLINK("https://klasma.github.io/Logging_0581/kartor/A 46201-2025 karta.png", "A 46201-2025")</f>
        <v/>
      </c>
      <c r="V393">
        <f>HYPERLINK("https://klasma.github.io/Logging_0581/klagomål/A 46201-2025 FSC-klagomål.docx", "A 46201-2025")</f>
        <v/>
      </c>
      <c r="W393">
        <f>HYPERLINK("https://klasma.github.io/Logging_0581/klagomålsmail/A 46201-2025 FSC-klagomål mail.docx", "A 46201-2025")</f>
        <v/>
      </c>
      <c r="X393">
        <f>HYPERLINK("https://klasma.github.io/Logging_0581/tillsyn/A 46201-2025 tillsynsbegäran.docx", "A 46201-2025")</f>
        <v/>
      </c>
      <c r="Y393">
        <f>HYPERLINK("https://klasma.github.io/Logging_0581/tillsynsmail/A 46201-2025 tillsynsbegäran mail.docx", "A 46201-2025")</f>
        <v/>
      </c>
    </row>
    <row r="394" ht="15" customHeight="1">
      <c r="A394" t="inlineStr">
        <is>
          <t>A 46123-2025</t>
        </is>
      </c>
      <c r="B394" s="1" t="n">
        <v>45924.58663194445</v>
      </c>
      <c r="C394" s="1" t="n">
        <v>46093</v>
      </c>
      <c r="D394" t="inlineStr">
        <is>
          <t>ÖSTERGÖTLANDS LÄN</t>
        </is>
      </c>
      <c r="E394" t="inlineStr">
        <is>
          <t>MJÖLBY</t>
        </is>
      </c>
      <c r="G394" t="n">
        <v>5.6</v>
      </c>
      <c r="H394" t="n">
        <v>1</v>
      </c>
      <c r="I394" t="n">
        <v>0</v>
      </c>
      <c r="J394" t="n">
        <v>0</v>
      </c>
      <c r="K394" t="n">
        <v>1</v>
      </c>
      <c r="L394" t="n">
        <v>0</v>
      </c>
      <c r="M394" t="n">
        <v>0</v>
      </c>
      <c r="N394" t="n">
        <v>0</v>
      </c>
      <c r="O394" t="n">
        <v>1</v>
      </c>
      <c r="P394" t="n">
        <v>1</v>
      </c>
      <c r="Q394" t="n">
        <v>1</v>
      </c>
      <c r="R394" s="2" t="inlineStr">
        <is>
          <t>Knärot</t>
        </is>
      </c>
      <c r="S394">
        <f>HYPERLINK("https://klasma.github.io/Logging_0586/artfynd/A 46123-2025 artfynd.xlsx", "A 46123-2025")</f>
        <v/>
      </c>
      <c r="T394">
        <f>HYPERLINK("https://klasma.github.io/Logging_0586/kartor/A 46123-2025 karta.png", "A 46123-2025")</f>
        <v/>
      </c>
      <c r="U394">
        <f>HYPERLINK("https://klasma.github.io/Logging_0586/knärot/A 46123-2025 karta knärot.png", "A 46123-2025")</f>
        <v/>
      </c>
      <c r="V394">
        <f>HYPERLINK("https://klasma.github.io/Logging_0586/klagomål/A 46123-2025 FSC-klagomål.docx", "A 46123-2025")</f>
        <v/>
      </c>
      <c r="W394">
        <f>HYPERLINK("https://klasma.github.io/Logging_0586/klagomålsmail/A 46123-2025 FSC-klagomål mail.docx", "A 46123-2025")</f>
        <v/>
      </c>
      <c r="X394">
        <f>HYPERLINK("https://klasma.github.io/Logging_0586/tillsyn/A 46123-2025 tillsynsbegäran.docx", "A 46123-2025")</f>
        <v/>
      </c>
      <c r="Y394">
        <f>HYPERLINK("https://klasma.github.io/Logging_0586/tillsynsmail/A 46123-2025 tillsynsbegäran mail.docx", "A 46123-2025")</f>
        <v/>
      </c>
    </row>
    <row r="395" ht="15" customHeight="1">
      <c r="A395" t="inlineStr">
        <is>
          <t>A 10733-2024</t>
        </is>
      </c>
      <c r="B395" s="1" t="n">
        <v>45369.48751157407</v>
      </c>
      <c r="C395" s="1" t="n">
        <v>46093</v>
      </c>
      <c r="D395" t="inlineStr">
        <is>
          <t>ÖSTERGÖTLANDS LÄN</t>
        </is>
      </c>
      <c r="E395" t="inlineStr">
        <is>
          <t>BOXHOLM</t>
        </is>
      </c>
      <c r="G395" t="n">
        <v>1.8</v>
      </c>
      <c r="H395" t="n">
        <v>1</v>
      </c>
      <c r="I395" t="n">
        <v>0</v>
      </c>
      <c r="J395" t="n">
        <v>0</v>
      </c>
      <c r="K395" t="n">
        <v>1</v>
      </c>
      <c r="L395" t="n">
        <v>0</v>
      </c>
      <c r="M395" t="n">
        <v>0</v>
      </c>
      <c r="N395" t="n">
        <v>0</v>
      </c>
      <c r="O395" t="n">
        <v>1</v>
      </c>
      <c r="P395" t="n">
        <v>1</v>
      </c>
      <c r="Q395" t="n">
        <v>1</v>
      </c>
      <c r="R395" s="2" t="inlineStr">
        <is>
          <t>Knärot</t>
        </is>
      </c>
      <c r="S395">
        <f>HYPERLINK("https://klasma.github.io/Logging_0560/artfynd/A 10733-2024 artfynd.xlsx", "A 10733-2024")</f>
        <v/>
      </c>
      <c r="T395">
        <f>HYPERLINK("https://klasma.github.io/Logging_0560/kartor/A 10733-2024 karta.png", "A 10733-2024")</f>
        <v/>
      </c>
      <c r="U395">
        <f>HYPERLINK("https://klasma.github.io/Logging_0560/knärot/A 10733-2024 karta knärot.png", "A 10733-2024")</f>
        <v/>
      </c>
      <c r="V395">
        <f>HYPERLINK("https://klasma.github.io/Logging_0560/klagomål/A 10733-2024 FSC-klagomål.docx", "A 10733-2024")</f>
        <v/>
      </c>
      <c r="W395">
        <f>HYPERLINK("https://klasma.github.io/Logging_0560/klagomålsmail/A 10733-2024 FSC-klagomål mail.docx", "A 10733-2024")</f>
        <v/>
      </c>
      <c r="X395">
        <f>HYPERLINK("https://klasma.github.io/Logging_0560/tillsyn/A 10733-2024 tillsynsbegäran.docx", "A 10733-2024")</f>
        <v/>
      </c>
      <c r="Y395">
        <f>HYPERLINK("https://klasma.github.io/Logging_0560/tillsynsmail/A 10733-2024 tillsynsbegäran mail.docx", "A 10733-2024")</f>
        <v/>
      </c>
    </row>
    <row r="396" ht="15" customHeight="1">
      <c r="A396" t="inlineStr">
        <is>
          <t>A 53265-2023</t>
        </is>
      </c>
      <c r="B396" s="1" t="n">
        <v>45229</v>
      </c>
      <c r="C396" s="1" t="n">
        <v>46093</v>
      </c>
      <c r="D396" t="inlineStr">
        <is>
          <t>ÖSTERGÖTLANDS LÄN</t>
        </is>
      </c>
      <c r="E396" t="inlineStr">
        <is>
          <t>FINSPÅNG</t>
        </is>
      </c>
      <c r="F396" t="inlineStr">
        <is>
          <t>Holmen skog AB</t>
        </is>
      </c>
      <c r="G396" t="n">
        <v>1.6</v>
      </c>
      <c r="H396" t="n">
        <v>1</v>
      </c>
      <c r="I396" t="n">
        <v>0</v>
      </c>
      <c r="J396" t="n">
        <v>0</v>
      </c>
      <c r="K396" t="n">
        <v>0</v>
      </c>
      <c r="L396" t="n">
        <v>0</v>
      </c>
      <c r="M396" t="n">
        <v>0</v>
      </c>
      <c r="N396" t="n">
        <v>0</v>
      </c>
      <c r="O396" t="n">
        <v>0</v>
      </c>
      <c r="P396" t="n">
        <v>0</v>
      </c>
      <c r="Q396" t="n">
        <v>1</v>
      </c>
      <c r="R396" s="2" t="inlineStr">
        <is>
          <t>Fläcknycklar</t>
        </is>
      </c>
      <c r="S396">
        <f>HYPERLINK("https://klasma.github.io/Logging_0562/artfynd/A 53265-2023 artfynd.xlsx", "A 53265-2023")</f>
        <v/>
      </c>
      <c r="T396">
        <f>HYPERLINK("https://klasma.github.io/Logging_0562/kartor/A 53265-2023 karta.png", "A 53265-2023")</f>
        <v/>
      </c>
      <c r="V396">
        <f>HYPERLINK("https://klasma.github.io/Logging_0562/klagomål/A 53265-2023 FSC-klagomål.docx", "A 53265-2023")</f>
        <v/>
      </c>
      <c r="W396">
        <f>HYPERLINK("https://klasma.github.io/Logging_0562/klagomålsmail/A 53265-2023 FSC-klagomål mail.docx", "A 53265-2023")</f>
        <v/>
      </c>
      <c r="X396">
        <f>HYPERLINK("https://klasma.github.io/Logging_0562/tillsyn/A 53265-2023 tillsynsbegäran.docx", "A 53265-2023")</f>
        <v/>
      </c>
      <c r="Y396">
        <f>HYPERLINK("https://klasma.github.io/Logging_0562/tillsynsmail/A 53265-2023 tillsynsbegäran mail.docx", "A 53265-2023")</f>
        <v/>
      </c>
    </row>
    <row r="397" ht="15" customHeight="1">
      <c r="A397" t="inlineStr">
        <is>
          <t>A 50471-2024</t>
        </is>
      </c>
      <c r="B397" s="1" t="n">
        <v>45601.47166666666</v>
      </c>
      <c r="C397" s="1" t="n">
        <v>46093</v>
      </c>
      <c r="D397" t="inlineStr">
        <is>
          <t>ÖSTERGÖTLANDS LÄN</t>
        </is>
      </c>
      <c r="E397" t="inlineStr">
        <is>
          <t>LINKÖPING</t>
        </is>
      </c>
      <c r="F397" t="inlineStr">
        <is>
          <t>Övriga Aktiebolag</t>
        </is>
      </c>
      <c r="G397" t="n">
        <v>2</v>
      </c>
      <c r="H397" t="n">
        <v>0</v>
      </c>
      <c r="I397" t="n">
        <v>1</v>
      </c>
      <c r="J397" t="n">
        <v>0</v>
      </c>
      <c r="K397" t="n">
        <v>0</v>
      </c>
      <c r="L397" t="n">
        <v>0</v>
      </c>
      <c r="M397" t="n">
        <v>0</v>
      </c>
      <c r="N397" t="n">
        <v>0</v>
      </c>
      <c r="O397" t="n">
        <v>0</v>
      </c>
      <c r="P397" t="n">
        <v>0</v>
      </c>
      <c r="Q397" t="n">
        <v>1</v>
      </c>
      <c r="R397" s="2" t="inlineStr">
        <is>
          <t>Västlig hakmossa</t>
        </is>
      </c>
      <c r="S397">
        <f>HYPERLINK("https://klasma.github.io/Logging_0580/artfynd/A 50471-2024 artfynd.xlsx", "A 50471-2024")</f>
        <v/>
      </c>
      <c r="T397">
        <f>HYPERLINK("https://klasma.github.io/Logging_0580/kartor/A 50471-2024 karta.png", "A 50471-2024")</f>
        <v/>
      </c>
      <c r="V397">
        <f>HYPERLINK("https://klasma.github.io/Logging_0580/klagomål/A 50471-2024 FSC-klagomål.docx", "A 50471-2024")</f>
        <v/>
      </c>
      <c r="W397">
        <f>HYPERLINK("https://klasma.github.io/Logging_0580/klagomålsmail/A 50471-2024 FSC-klagomål mail.docx", "A 50471-2024")</f>
        <v/>
      </c>
      <c r="X397">
        <f>HYPERLINK("https://klasma.github.io/Logging_0580/tillsyn/A 50471-2024 tillsynsbegäran.docx", "A 50471-2024")</f>
        <v/>
      </c>
      <c r="Y397">
        <f>HYPERLINK("https://klasma.github.io/Logging_0580/tillsynsmail/A 50471-2024 tillsynsbegäran mail.docx", "A 50471-2024")</f>
        <v/>
      </c>
    </row>
    <row r="398" ht="15" customHeight="1">
      <c r="A398" t="inlineStr">
        <is>
          <t>A 46522-2025</t>
        </is>
      </c>
      <c r="B398" s="1" t="n">
        <v>45926.32910879629</v>
      </c>
      <c r="C398" s="1" t="n">
        <v>46093</v>
      </c>
      <c r="D398" t="inlineStr">
        <is>
          <t>ÖSTERGÖTLANDS LÄN</t>
        </is>
      </c>
      <c r="E398" t="inlineStr">
        <is>
          <t>MJÖLBY</t>
        </is>
      </c>
      <c r="F398" t="inlineStr">
        <is>
          <t>Sveaskog</t>
        </is>
      </c>
      <c r="G398" t="n">
        <v>1.2</v>
      </c>
      <c r="H398" t="n">
        <v>0</v>
      </c>
      <c r="I398" t="n">
        <v>1</v>
      </c>
      <c r="J398" t="n">
        <v>0</v>
      </c>
      <c r="K398" t="n">
        <v>0</v>
      </c>
      <c r="L398" t="n">
        <v>0</v>
      </c>
      <c r="M398" t="n">
        <v>0</v>
      </c>
      <c r="N398" t="n">
        <v>0</v>
      </c>
      <c r="O398" t="n">
        <v>0</v>
      </c>
      <c r="P398" t="n">
        <v>0</v>
      </c>
      <c r="Q398" t="n">
        <v>1</v>
      </c>
      <c r="R398" s="2" t="inlineStr">
        <is>
          <t>Tibast</t>
        </is>
      </c>
      <c r="S398">
        <f>HYPERLINK("https://klasma.github.io/Logging_0586/artfynd/A 46522-2025 artfynd.xlsx", "A 46522-2025")</f>
        <v/>
      </c>
      <c r="T398">
        <f>HYPERLINK("https://klasma.github.io/Logging_0586/kartor/A 46522-2025 karta.png", "A 46522-2025")</f>
        <v/>
      </c>
      <c r="V398">
        <f>HYPERLINK("https://klasma.github.io/Logging_0586/klagomål/A 46522-2025 FSC-klagomål.docx", "A 46522-2025")</f>
        <v/>
      </c>
      <c r="W398">
        <f>HYPERLINK("https://klasma.github.io/Logging_0586/klagomålsmail/A 46522-2025 FSC-klagomål mail.docx", "A 46522-2025")</f>
        <v/>
      </c>
      <c r="X398">
        <f>HYPERLINK("https://klasma.github.io/Logging_0586/tillsyn/A 46522-2025 tillsynsbegäran.docx", "A 46522-2025")</f>
        <v/>
      </c>
      <c r="Y398">
        <f>HYPERLINK("https://klasma.github.io/Logging_0586/tillsynsmail/A 46522-2025 tillsynsbegäran mail.docx", "A 46522-2025")</f>
        <v/>
      </c>
    </row>
    <row r="399" ht="15" customHeight="1">
      <c r="A399" t="inlineStr">
        <is>
          <t>A 47332-2025</t>
        </is>
      </c>
      <c r="B399" s="1" t="n">
        <v>45930.56317129629</v>
      </c>
      <c r="C399" s="1" t="n">
        <v>46093</v>
      </c>
      <c r="D399" t="inlineStr">
        <is>
          <t>ÖSTERGÖTLANDS LÄN</t>
        </is>
      </c>
      <c r="E399" t="inlineStr">
        <is>
          <t>MOTALA</t>
        </is>
      </c>
      <c r="G399" t="n">
        <v>1.9</v>
      </c>
      <c r="H399" t="n">
        <v>0</v>
      </c>
      <c r="I399" t="n">
        <v>0</v>
      </c>
      <c r="J399" t="n">
        <v>0</v>
      </c>
      <c r="K399" t="n">
        <v>0</v>
      </c>
      <c r="L399" t="n">
        <v>0</v>
      </c>
      <c r="M399" t="n">
        <v>1</v>
      </c>
      <c r="N399" t="n">
        <v>0</v>
      </c>
      <c r="O399" t="n">
        <v>1</v>
      </c>
      <c r="P399" t="n">
        <v>1</v>
      </c>
      <c r="Q399" t="n">
        <v>1</v>
      </c>
      <c r="R399" s="2" t="inlineStr">
        <is>
          <t>Skogsalm</t>
        </is>
      </c>
      <c r="S399">
        <f>HYPERLINK("https://klasma.github.io/Logging_0583/artfynd/A 47332-2025 artfynd.xlsx", "A 47332-2025")</f>
        <v/>
      </c>
      <c r="T399">
        <f>HYPERLINK("https://klasma.github.io/Logging_0583/kartor/A 47332-2025 karta.png", "A 47332-2025")</f>
        <v/>
      </c>
      <c r="V399">
        <f>HYPERLINK("https://klasma.github.io/Logging_0583/klagomål/A 47332-2025 FSC-klagomål.docx", "A 47332-2025")</f>
        <v/>
      </c>
      <c r="W399">
        <f>HYPERLINK("https://klasma.github.io/Logging_0583/klagomålsmail/A 47332-2025 FSC-klagomål mail.docx", "A 47332-2025")</f>
        <v/>
      </c>
      <c r="X399">
        <f>HYPERLINK("https://klasma.github.io/Logging_0583/tillsyn/A 47332-2025 tillsynsbegäran.docx", "A 47332-2025")</f>
        <v/>
      </c>
      <c r="Y399">
        <f>HYPERLINK("https://klasma.github.io/Logging_0583/tillsynsmail/A 47332-2025 tillsynsbegäran mail.docx", "A 47332-2025")</f>
        <v/>
      </c>
    </row>
    <row r="400" ht="15" customHeight="1">
      <c r="A400" t="inlineStr">
        <is>
          <t>A 50639-2024</t>
        </is>
      </c>
      <c r="B400" s="1" t="n">
        <v>45601.67776620371</v>
      </c>
      <c r="C400" s="1" t="n">
        <v>46093</v>
      </c>
      <c r="D400" t="inlineStr">
        <is>
          <t>ÖSTERGÖTLANDS LÄN</t>
        </is>
      </c>
      <c r="E400" t="inlineStr">
        <is>
          <t>FINSPÅNG</t>
        </is>
      </c>
      <c r="F400" t="inlineStr">
        <is>
          <t>Holmen skog AB</t>
        </is>
      </c>
      <c r="G400" t="n">
        <v>13.4</v>
      </c>
      <c r="H400" t="n">
        <v>0</v>
      </c>
      <c r="I400" t="n">
        <v>0</v>
      </c>
      <c r="J400" t="n">
        <v>1</v>
      </c>
      <c r="K400" t="n">
        <v>0</v>
      </c>
      <c r="L400" t="n">
        <v>0</v>
      </c>
      <c r="M400" t="n">
        <v>0</v>
      </c>
      <c r="N400" t="n">
        <v>0</v>
      </c>
      <c r="O400" t="n">
        <v>1</v>
      </c>
      <c r="P400" t="n">
        <v>0</v>
      </c>
      <c r="Q400" t="n">
        <v>1</v>
      </c>
      <c r="R400" s="2" t="inlineStr">
        <is>
          <t>Mindre bastardsvärmare</t>
        </is>
      </c>
      <c r="S400">
        <f>HYPERLINK("https://klasma.github.io/Logging_0562/artfynd/A 50639-2024 artfynd.xlsx", "A 50639-2024")</f>
        <v/>
      </c>
      <c r="T400">
        <f>HYPERLINK("https://klasma.github.io/Logging_0562/kartor/A 50639-2024 karta.png", "A 50639-2024")</f>
        <v/>
      </c>
      <c r="V400">
        <f>HYPERLINK("https://klasma.github.io/Logging_0562/klagomål/A 50639-2024 FSC-klagomål.docx", "A 50639-2024")</f>
        <v/>
      </c>
      <c r="W400">
        <f>HYPERLINK("https://klasma.github.io/Logging_0562/klagomålsmail/A 50639-2024 FSC-klagomål mail.docx", "A 50639-2024")</f>
        <v/>
      </c>
      <c r="X400">
        <f>HYPERLINK("https://klasma.github.io/Logging_0562/tillsyn/A 50639-2024 tillsynsbegäran.docx", "A 50639-2024")</f>
        <v/>
      </c>
      <c r="Y400">
        <f>HYPERLINK("https://klasma.github.io/Logging_0562/tillsynsmail/A 50639-2024 tillsynsbegäran mail.docx", "A 50639-2024")</f>
        <v/>
      </c>
    </row>
    <row r="401" ht="15" customHeight="1">
      <c r="A401" t="inlineStr">
        <is>
          <t>A 48273-2025</t>
        </is>
      </c>
      <c r="B401" s="1" t="n">
        <v>45932</v>
      </c>
      <c r="C401" s="1" t="n">
        <v>46093</v>
      </c>
      <c r="D401" t="inlineStr">
        <is>
          <t>ÖSTERGÖTLANDS LÄN</t>
        </is>
      </c>
      <c r="E401" t="inlineStr">
        <is>
          <t>LINKÖPING</t>
        </is>
      </c>
      <c r="F401" t="inlineStr">
        <is>
          <t>Övriga Aktiebolag</t>
        </is>
      </c>
      <c r="G401" t="n">
        <v>4.6</v>
      </c>
      <c r="H401" t="n">
        <v>0</v>
      </c>
      <c r="I401" t="n">
        <v>0</v>
      </c>
      <c r="J401" t="n">
        <v>1</v>
      </c>
      <c r="K401" t="n">
        <v>0</v>
      </c>
      <c r="L401" t="n">
        <v>0</v>
      </c>
      <c r="M401" t="n">
        <v>0</v>
      </c>
      <c r="N401" t="n">
        <v>0</v>
      </c>
      <c r="O401" t="n">
        <v>1</v>
      </c>
      <c r="P401" t="n">
        <v>0</v>
      </c>
      <c r="Q401" t="n">
        <v>1</v>
      </c>
      <c r="R401" s="2" t="inlineStr">
        <is>
          <t>Barrviolspindling</t>
        </is>
      </c>
      <c r="S401">
        <f>HYPERLINK("https://klasma.github.io/Logging_0580/artfynd/A 48273-2025 artfynd.xlsx", "A 48273-2025")</f>
        <v/>
      </c>
      <c r="T401">
        <f>HYPERLINK("https://klasma.github.io/Logging_0580/kartor/A 48273-2025 karta.png", "A 48273-2025")</f>
        <v/>
      </c>
      <c r="V401">
        <f>HYPERLINK("https://klasma.github.io/Logging_0580/klagomål/A 48273-2025 FSC-klagomål.docx", "A 48273-2025")</f>
        <v/>
      </c>
      <c r="W401">
        <f>HYPERLINK("https://klasma.github.io/Logging_0580/klagomålsmail/A 48273-2025 FSC-klagomål mail.docx", "A 48273-2025")</f>
        <v/>
      </c>
      <c r="X401">
        <f>HYPERLINK("https://klasma.github.io/Logging_0580/tillsyn/A 48273-2025 tillsynsbegäran.docx", "A 48273-2025")</f>
        <v/>
      </c>
      <c r="Y401">
        <f>HYPERLINK("https://klasma.github.io/Logging_0580/tillsynsmail/A 48273-2025 tillsynsbegäran mail.docx", "A 48273-2025")</f>
        <v/>
      </c>
    </row>
    <row r="402" ht="15" customHeight="1">
      <c r="A402" t="inlineStr">
        <is>
          <t>A 48298-2025</t>
        </is>
      </c>
      <c r="B402" s="1" t="n">
        <v>45932</v>
      </c>
      <c r="C402" s="1" t="n">
        <v>46093</v>
      </c>
      <c r="D402" t="inlineStr">
        <is>
          <t>ÖSTERGÖTLANDS LÄN</t>
        </is>
      </c>
      <c r="E402" t="inlineStr">
        <is>
          <t>LINKÖPING</t>
        </is>
      </c>
      <c r="F402" t="inlineStr">
        <is>
          <t>Övriga Aktiebolag</t>
        </is>
      </c>
      <c r="G402" t="n">
        <v>1.7</v>
      </c>
      <c r="H402" t="n">
        <v>0</v>
      </c>
      <c r="I402" t="n">
        <v>1</v>
      </c>
      <c r="J402" t="n">
        <v>0</v>
      </c>
      <c r="K402" t="n">
        <v>0</v>
      </c>
      <c r="L402" t="n">
        <v>0</v>
      </c>
      <c r="M402" t="n">
        <v>0</v>
      </c>
      <c r="N402" t="n">
        <v>0</v>
      </c>
      <c r="O402" t="n">
        <v>0</v>
      </c>
      <c r="P402" t="n">
        <v>0</v>
      </c>
      <c r="Q402" t="n">
        <v>1</v>
      </c>
      <c r="R402" s="2" t="inlineStr">
        <is>
          <t>Västlig hakmossa</t>
        </is>
      </c>
      <c r="S402">
        <f>HYPERLINK("https://klasma.github.io/Logging_0580/artfynd/A 48298-2025 artfynd.xlsx", "A 48298-2025")</f>
        <v/>
      </c>
      <c r="T402">
        <f>HYPERLINK("https://klasma.github.io/Logging_0580/kartor/A 48298-2025 karta.png", "A 48298-2025")</f>
        <v/>
      </c>
      <c r="V402">
        <f>HYPERLINK("https://klasma.github.io/Logging_0580/klagomål/A 48298-2025 FSC-klagomål.docx", "A 48298-2025")</f>
        <v/>
      </c>
      <c r="W402">
        <f>HYPERLINK("https://klasma.github.io/Logging_0580/klagomålsmail/A 48298-2025 FSC-klagomål mail.docx", "A 48298-2025")</f>
        <v/>
      </c>
      <c r="X402">
        <f>HYPERLINK("https://klasma.github.io/Logging_0580/tillsyn/A 48298-2025 tillsynsbegäran.docx", "A 48298-2025")</f>
        <v/>
      </c>
      <c r="Y402">
        <f>HYPERLINK("https://klasma.github.io/Logging_0580/tillsynsmail/A 48298-2025 tillsynsbegäran mail.docx", "A 48298-2025")</f>
        <v/>
      </c>
    </row>
    <row r="403" ht="15" customHeight="1">
      <c r="A403" t="inlineStr">
        <is>
          <t>A 48353-2025</t>
        </is>
      </c>
      <c r="B403" s="1" t="n">
        <v>45932</v>
      </c>
      <c r="C403" s="1" t="n">
        <v>46093</v>
      </c>
      <c r="D403" t="inlineStr">
        <is>
          <t>ÖSTERGÖTLANDS LÄN</t>
        </is>
      </c>
      <c r="E403" t="inlineStr">
        <is>
          <t>LINKÖPING</t>
        </is>
      </c>
      <c r="F403" t="inlineStr">
        <is>
          <t>Övriga Aktiebolag</t>
        </is>
      </c>
      <c r="G403" t="n">
        <v>4.5</v>
      </c>
      <c r="H403" t="n">
        <v>1</v>
      </c>
      <c r="I403" t="n">
        <v>0</v>
      </c>
      <c r="J403" t="n">
        <v>1</v>
      </c>
      <c r="K403" t="n">
        <v>0</v>
      </c>
      <c r="L403" t="n">
        <v>0</v>
      </c>
      <c r="M403" t="n">
        <v>0</v>
      </c>
      <c r="N403" t="n">
        <v>0</v>
      </c>
      <c r="O403" t="n">
        <v>1</v>
      </c>
      <c r="P403" t="n">
        <v>0</v>
      </c>
      <c r="Q403" t="n">
        <v>1</v>
      </c>
      <c r="R403" s="2" t="inlineStr">
        <is>
          <t>Entita</t>
        </is>
      </c>
      <c r="S403">
        <f>HYPERLINK("https://klasma.github.io/Logging_0580/artfynd/A 48353-2025 artfynd.xlsx", "A 48353-2025")</f>
        <v/>
      </c>
      <c r="T403">
        <f>HYPERLINK("https://klasma.github.io/Logging_0580/kartor/A 48353-2025 karta.png", "A 48353-2025")</f>
        <v/>
      </c>
      <c r="V403">
        <f>HYPERLINK("https://klasma.github.io/Logging_0580/klagomål/A 48353-2025 FSC-klagomål.docx", "A 48353-2025")</f>
        <v/>
      </c>
      <c r="W403">
        <f>HYPERLINK("https://klasma.github.io/Logging_0580/klagomålsmail/A 48353-2025 FSC-klagomål mail.docx", "A 48353-2025")</f>
        <v/>
      </c>
      <c r="X403">
        <f>HYPERLINK("https://klasma.github.io/Logging_0580/tillsyn/A 48353-2025 tillsynsbegäran.docx", "A 48353-2025")</f>
        <v/>
      </c>
      <c r="Y403">
        <f>HYPERLINK("https://klasma.github.io/Logging_0580/tillsynsmail/A 48353-2025 tillsynsbegäran mail.docx", "A 48353-2025")</f>
        <v/>
      </c>
      <c r="Z403">
        <f>HYPERLINK("https://klasma.github.io/Logging_0580/fåglar/A 48353-2025 prioriterade fågelarter.docx", "A 48353-2025")</f>
        <v/>
      </c>
    </row>
    <row r="404" ht="15" customHeight="1">
      <c r="A404" t="inlineStr">
        <is>
          <t>A 39457-2023</t>
        </is>
      </c>
      <c r="B404" s="1" t="n">
        <v>45166</v>
      </c>
      <c r="C404" s="1" t="n">
        <v>46093</v>
      </c>
      <c r="D404" t="inlineStr">
        <is>
          <t>ÖSTERGÖTLANDS LÄN</t>
        </is>
      </c>
      <c r="E404" t="inlineStr">
        <is>
          <t>LINKÖPING</t>
        </is>
      </c>
      <c r="G404" t="n">
        <v>2.1</v>
      </c>
      <c r="H404" t="n">
        <v>1</v>
      </c>
      <c r="I404" t="n">
        <v>0</v>
      </c>
      <c r="J404" t="n">
        <v>0</v>
      </c>
      <c r="K404" t="n">
        <v>0</v>
      </c>
      <c r="L404" t="n">
        <v>0</v>
      </c>
      <c r="M404" t="n">
        <v>0</v>
      </c>
      <c r="N404" t="n">
        <v>0</v>
      </c>
      <c r="O404" t="n">
        <v>0</v>
      </c>
      <c r="P404" t="n">
        <v>0</v>
      </c>
      <c r="Q404" t="n">
        <v>1</v>
      </c>
      <c r="R404" s="2" t="inlineStr">
        <is>
          <t>Sparvuggla</t>
        </is>
      </c>
      <c r="S404">
        <f>HYPERLINK("https://klasma.github.io/Logging_0580/artfynd/A 39457-2023 artfynd.xlsx", "A 39457-2023")</f>
        <v/>
      </c>
      <c r="T404">
        <f>HYPERLINK("https://klasma.github.io/Logging_0580/kartor/A 39457-2023 karta.png", "A 39457-2023")</f>
        <v/>
      </c>
      <c r="V404">
        <f>HYPERLINK("https://klasma.github.io/Logging_0580/klagomål/A 39457-2023 FSC-klagomål.docx", "A 39457-2023")</f>
        <v/>
      </c>
      <c r="W404">
        <f>HYPERLINK("https://klasma.github.io/Logging_0580/klagomålsmail/A 39457-2023 FSC-klagomål mail.docx", "A 39457-2023")</f>
        <v/>
      </c>
      <c r="X404">
        <f>HYPERLINK("https://klasma.github.io/Logging_0580/tillsyn/A 39457-2023 tillsynsbegäran.docx", "A 39457-2023")</f>
        <v/>
      </c>
      <c r="Y404">
        <f>HYPERLINK("https://klasma.github.io/Logging_0580/tillsynsmail/A 39457-2023 tillsynsbegäran mail.docx", "A 39457-2023")</f>
        <v/>
      </c>
      <c r="Z404">
        <f>HYPERLINK("https://klasma.github.io/Logging_0580/fåglar/A 39457-2023 prioriterade fågelarter.docx", "A 39457-2023")</f>
        <v/>
      </c>
    </row>
    <row r="405" ht="15" customHeight="1">
      <c r="A405" t="inlineStr">
        <is>
          <t>A 50806-2023</t>
        </is>
      </c>
      <c r="B405" s="1" t="n">
        <v>45217</v>
      </c>
      <c r="C405" s="1" t="n">
        <v>46093</v>
      </c>
      <c r="D405" t="inlineStr">
        <is>
          <t>ÖSTERGÖTLANDS LÄN</t>
        </is>
      </c>
      <c r="E405" t="inlineStr">
        <is>
          <t>LINKÖPING</t>
        </is>
      </c>
      <c r="F405" t="inlineStr">
        <is>
          <t>Övriga Aktiebolag</t>
        </is>
      </c>
      <c r="G405" t="n">
        <v>0.7</v>
      </c>
      <c r="H405" t="n">
        <v>1</v>
      </c>
      <c r="I405" t="n">
        <v>0</v>
      </c>
      <c r="J405" t="n">
        <v>0</v>
      </c>
      <c r="K405" t="n">
        <v>0</v>
      </c>
      <c r="L405" t="n">
        <v>0</v>
      </c>
      <c r="M405" t="n">
        <v>0</v>
      </c>
      <c r="N405" t="n">
        <v>0</v>
      </c>
      <c r="O405" t="n">
        <v>0</v>
      </c>
      <c r="P405" t="n">
        <v>0</v>
      </c>
      <c r="Q405" t="n">
        <v>1</v>
      </c>
      <c r="R405" s="2" t="inlineStr">
        <is>
          <t>Gullviva</t>
        </is>
      </c>
      <c r="S405">
        <f>HYPERLINK("https://klasma.github.io/Logging_0580/artfynd/A 50806-2023 artfynd.xlsx", "A 50806-2023")</f>
        <v/>
      </c>
      <c r="T405">
        <f>HYPERLINK("https://klasma.github.io/Logging_0580/kartor/A 50806-2023 karta.png", "A 50806-2023")</f>
        <v/>
      </c>
      <c r="V405">
        <f>HYPERLINK("https://klasma.github.io/Logging_0580/klagomål/A 50806-2023 FSC-klagomål.docx", "A 50806-2023")</f>
        <v/>
      </c>
      <c r="W405">
        <f>HYPERLINK("https://klasma.github.io/Logging_0580/klagomålsmail/A 50806-2023 FSC-klagomål mail.docx", "A 50806-2023")</f>
        <v/>
      </c>
      <c r="X405">
        <f>HYPERLINK("https://klasma.github.io/Logging_0580/tillsyn/A 50806-2023 tillsynsbegäran.docx", "A 50806-2023")</f>
        <v/>
      </c>
      <c r="Y405">
        <f>HYPERLINK("https://klasma.github.io/Logging_0580/tillsynsmail/A 50806-2023 tillsynsbegäran mail.docx", "A 50806-2023")</f>
        <v/>
      </c>
    </row>
    <row r="406" ht="15" customHeight="1">
      <c r="A406" t="inlineStr">
        <is>
          <t>A 47992-2025</t>
        </is>
      </c>
      <c r="B406" s="1" t="n">
        <v>45932.62390046296</v>
      </c>
      <c r="C406" s="1" t="n">
        <v>46093</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58711-2023</t>
        </is>
      </c>
      <c r="B407" s="1" t="n">
        <v>45251</v>
      </c>
      <c r="C407" s="1" t="n">
        <v>46093</v>
      </c>
      <c r="D407" t="inlineStr">
        <is>
          <t>ÖSTERGÖTLANDS LÄN</t>
        </is>
      </c>
      <c r="E407" t="inlineStr">
        <is>
          <t>NORRKÖPING</t>
        </is>
      </c>
      <c r="G407" t="n">
        <v>4.3</v>
      </c>
      <c r="H407" t="n">
        <v>0</v>
      </c>
      <c r="I407" t="n">
        <v>0</v>
      </c>
      <c r="J407" t="n">
        <v>1</v>
      </c>
      <c r="K407" t="n">
        <v>0</v>
      </c>
      <c r="L407" t="n">
        <v>0</v>
      </c>
      <c r="M407" t="n">
        <v>0</v>
      </c>
      <c r="N407" t="n">
        <v>0</v>
      </c>
      <c r="O407" t="n">
        <v>1</v>
      </c>
      <c r="P407" t="n">
        <v>0</v>
      </c>
      <c r="Q407" t="n">
        <v>1</v>
      </c>
      <c r="R407" s="2" t="inlineStr">
        <is>
          <t>Ängsskära</t>
        </is>
      </c>
      <c r="S407">
        <f>HYPERLINK("https://klasma.github.io/Logging_0581/artfynd/A 58711-2023 artfynd.xlsx", "A 58711-2023")</f>
        <v/>
      </c>
      <c r="T407">
        <f>HYPERLINK("https://klasma.github.io/Logging_0581/kartor/A 58711-2023 karta.png", "A 58711-2023")</f>
        <v/>
      </c>
      <c r="V407">
        <f>HYPERLINK("https://klasma.github.io/Logging_0581/klagomål/A 58711-2023 FSC-klagomål.docx", "A 58711-2023")</f>
        <v/>
      </c>
      <c r="W407">
        <f>HYPERLINK("https://klasma.github.io/Logging_0581/klagomålsmail/A 58711-2023 FSC-klagomål mail.docx", "A 58711-2023")</f>
        <v/>
      </c>
      <c r="X407">
        <f>HYPERLINK("https://klasma.github.io/Logging_0581/tillsyn/A 58711-2023 tillsynsbegäran.docx", "A 58711-2023")</f>
        <v/>
      </c>
      <c r="Y407">
        <f>HYPERLINK("https://klasma.github.io/Logging_0581/tillsynsmail/A 58711-2023 tillsynsbegäran mail.docx", "A 58711-2023")</f>
        <v/>
      </c>
    </row>
    <row r="408" ht="15" customHeight="1">
      <c r="A408" t="inlineStr">
        <is>
          <t>A 47654-2025</t>
        </is>
      </c>
      <c r="B408" s="1" t="n">
        <v>45931.54203703703</v>
      </c>
      <c r="C408" s="1" t="n">
        <v>46093</v>
      </c>
      <c r="D408" t="inlineStr">
        <is>
          <t>ÖSTERGÖTLANDS LÄN</t>
        </is>
      </c>
      <c r="E408" t="inlineStr">
        <is>
          <t>MOTALA</t>
        </is>
      </c>
      <c r="G408" t="n">
        <v>1.1</v>
      </c>
      <c r="H408" t="n">
        <v>1</v>
      </c>
      <c r="I408" t="n">
        <v>0</v>
      </c>
      <c r="J408" t="n">
        <v>0</v>
      </c>
      <c r="K408" t="n">
        <v>0</v>
      </c>
      <c r="L408" t="n">
        <v>1</v>
      </c>
      <c r="M408" t="n">
        <v>0</v>
      </c>
      <c r="N408" t="n">
        <v>0</v>
      </c>
      <c r="O408" t="n">
        <v>1</v>
      </c>
      <c r="P408" t="n">
        <v>1</v>
      </c>
      <c r="Q408" t="n">
        <v>1</v>
      </c>
      <c r="R408" s="2" t="inlineStr">
        <is>
          <t>Mosippa</t>
        </is>
      </c>
      <c r="S408">
        <f>HYPERLINK("https://klasma.github.io/Logging_0583/artfynd/A 47654-2025 artfynd.xlsx", "A 47654-2025")</f>
        <v/>
      </c>
      <c r="T408">
        <f>HYPERLINK("https://klasma.github.io/Logging_0583/kartor/A 47654-2025 karta.png", "A 47654-2025")</f>
        <v/>
      </c>
      <c r="V408">
        <f>HYPERLINK("https://klasma.github.io/Logging_0583/klagomål/A 47654-2025 FSC-klagomål.docx", "A 47654-2025")</f>
        <v/>
      </c>
      <c r="W408">
        <f>HYPERLINK("https://klasma.github.io/Logging_0583/klagomålsmail/A 47654-2025 FSC-klagomål mail.docx", "A 47654-2025")</f>
        <v/>
      </c>
      <c r="X408">
        <f>HYPERLINK("https://klasma.github.io/Logging_0583/tillsyn/A 47654-2025 tillsynsbegäran.docx", "A 47654-2025")</f>
        <v/>
      </c>
      <c r="Y408">
        <f>HYPERLINK("https://klasma.github.io/Logging_0583/tillsynsmail/A 47654-2025 tillsynsbegäran mail.docx", "A 47654-2025")</f>
        <v/>
      </c>
    </row>
    <row r="409" ht="15" customHeight="1">
      <c r="A409" t="inlineStr">
        <is>
          <t>A 11749-2023</t>
        </is>
      </c>
      <c r="B409" s="1" t="n">
        <v>44994</v>
      </c>
      <c r="C409" s="1" t="n">
        <v>46093</v>
      </c>
      <c r="D409" t="inlineStr">
        <is>
          <t>ÖSTERGÖTLANDS LÄN</t>
        </is>
      </c>
      <c r="E409" t="inlineStr">
        <is>
          <t>VALDEMARSVIK</t>
        </is>
      </c>
      <c r="G409" t="n">
        <v>2.4</v>
      </c>
      <c r="H409" t="n">
        <v>1</v>
      </c>
      <c r="I409" t="n">
        <v>0</v>
      </c>
      <c r="J409" t="n">
        <v>0</v>
      </c>
      <c r="K409" t="n">
        <v>0</v>
      </c>
      <c r="L409" t="n">
        <v>0</v>
      </c>
      <c r="M409" t="n">
        <v>0</v>
      </c>
      <c r="N409" t="n">
        <v>0</v>
      </c>
      <c r="O409" t="n">
        <v>0</v>
      </c>
      <c r="P409" t="n">
        <v>0</v>
      </c>
      <c r="Q409" t="n">
        <v>1</v>
      </c>
      <c r="R409" s="2" t="inlineStr">
        <is>
          <t>Adam och eva</t>
        </is>
      </c>
      <c r="S409">
        <f>HYPERLINK("https://klasma.github.io/Logging_0563/artfynd/A 11749-2023 artfynd.xlsx", "A 11749-2023")</f>
        <v/>
      </c>
      <c r="T409">
        <f>HYPERLINK("https://klasma.github.io/Logging_0563/kartor/A 11749-2023 karta.png", "A 11749-2023")</f>
        <v/>
      </c>
      <c r="V409">
        <f>HYPERLINK("https://klasma.github.io/Logging_0563/klagomål/A 11749-2023 FSC-klagomål.docx", "A 11749-2023")</f>
        <v/>
      </c>
      <c r="W409">
        <f>HYPERLINK("https://klasma.github.io/Logging_0563/klagomålsmail/A 11749-2023 FSC-klagomål mail.docx", "A 11749-2023")</f>
        <v/>
      </c>
      <c r="X409">
        <f>HYPERLINK("https://klasma.github.io/Logging_0563/tillsyn/A 11749-2023 tillsynsbegäran.docx", "A 11749-2023")</f>
        <v/>
      </c>
      <c r="Y409">
        <f>HYPERLINK("https://klasma.github.io/Logging_0563/tillsynsmail/A 11749-2023 tillsynsbegäran mail.docx", "A 11749-2023")</f>
        <v/>
      </c>
    </row>
    <row r="410" ht="15" customHeight="1">
      <c r="A410" t="inlineStr">
        <is>
          <t>A 48347-2025</t>
        </is>
      </c>
      <c r="B410" s="1" t="n">
        <v>45932</v>
      </c>
      <c r="C410" s="1" t="n">
        <v>46093</v>
      </c>
      <c r="D410" t="inlineStr">
        <is>
          <t>ÖSTERGÖTLANDS LÄN</t>
        </is>
      </c>
      <c r="E410" t="inlineStr">
        <is>
          <t>LINKÖPING</t>
        </is>
      </c>
      <c r="F410" t="inlineStr">
        <is>
          <t>Övriga Aktiebolag</t>
        </is>
      </c>
      <c r="G410" t="n">
        <v>0.9</v>
      </c>
      <c r="H410" t="n">
        <v>0</v>
      </c>
      <c r="I410" t="n">
        <v>0</v>
      </c>
      <c r="J410" t="n">
        <v>1</v>
      </c>
      <c r="K410" t="n">
        <v>0</v>
      </c>
      <c r="L410" t="n">
        <v>0</v>
      </c>
      <c r="M410" t="n">
        <v>0</v>
      </c>
      <c r="N410" t="n">
        <v>0</v>
      </c>
      <c r="O410" t="n">
        <v>1</v>
      </c>
      <c r="P410" t="n">
        <v>0</v>
      </c>
      <c r="Q410" t="n">
        <v>1</v>
      </c>
      <c r="R410" s="2" t="inlineStr">
        <is>
          <t>Igelkott</t>
        </is>
      </c>
      <c r="S410">
        <f>HYPERLINK("https://klasma.github.io/Logging_0580/artfynd/A 48347-2025 artfynd.xlsx", "A 48347-2025")</f>
        <v/>
      </c>
      <c r="T410">
        <f>HYPERLINK("https://klasma.github.io/Logging_0580/kartor/A 48347-2025 karta.png", "A 48347-2025")</f>
        <v/>
      </c>
      <c r="V410">
        <f>HYPERLINK("https://klasma.github.io/Logging_0580/klagomål/A 48347-2025 FSC-klagomål.docx", "A 48347-2025")</f>
        <v/>
      </c>
      <c r="W410">
        <f>HYPERLINK("https://klasma.github.io/Logging_0580/klagomålsmail/A 48347-2025 FSC-klagomål mail.docx", "A 48347-2025")</f>
        <v/>
      </c>
      <c r="X410">
        <f>HYPERLINK("https://klasma.github.io/Logging_0580/tillsyn/A 48347-2025 tillsynsbegäran.docx", "A 48347-2025")</f>
        <v/>
      </c>
      <c r="Y410">
        <f>HYPERLINK("https://klasma.github.io/Logging_0580/tillsynsmail/A 48347-2025 tillsynsbegäran mail.docx", "A 48347-2025")</f>
        <v/>
      </c>
    </row>
    <row r="411" ht="15" customHeight="1">
      <c r="A411" t="inlineStr">
        <is>
          <t>A 50328-2024</t>
        </is>
      </c>
      <c r="B411" s="1" t="n">
        <v>45600.69313657407</v>
      </c>
      <c r="C411" s="1" t="n">
        <v>46093</v>
      </c>
      <c r="D411" t="inlineStr">
        <is>
          <t>ÖSTERGÖTLANDS LÄN</t>
        </is>
      </c>
      <c r="E411" t="inlineStr">
        <is>
          <t>YDRE</t>
        </is>
      </c>
      <c r="F411" t="inlineStr">
        <is>
          <t>Kyrkan</t>
        </is>
      </c>
      <c r="G411" t="n">
        <v>0.6</v>
      </c>
      <c r="H411" t="n">
        <v>1</v>
      </c>
      <c r="I411" t="n">
        <v>0</v>
      </c>
      <c r="J411" t="n">
        <v>0</v>
      </c>
      <c r="K411" t="n">
        <v>1</v>
      </c>
      <c r="L411" t="n">
        <v>0</v>
      </c>
      <c r="M411" t="n">
        <v>0</v>
      </c>
      <c r="N411" t="n">
        <v>0</v>
      </c>
      <c r="O411" t="n">
        <v>1</v>
      </c>
      <c r="P411" t="n">
        <v>1</v>
      </c>
      <c r="Q411" t="n">
        <v>1</v>
      </c>
      <c r="R411" s="2" t="inlineStr">
        <is>
          <t>Backsippa</t>
        </is>
      </c>
      <c r="S411">
        <f>HYPERLINK("https://klasma.github.io/Logging_0512/artfynd/A 50328-2024 artfynd.xlsx", "A 50328-2024")</f>
        <v/>
      </c>
      <c r="T411">
        <f>HYPERLINK("https://klasma.github.io/Logging_0512/kartor/A 50328-2024 karta.png", "A 50328-2024")</f>
        <v/>
      </c>
      <c r="V411">
        <f>HYPERLINK("https://klasma.github.io/Logging_0512/klagomål/A 50328-2024 FSC-klagomål.docx", "A 50328-2024")</f>
        <v/>
      </c>
      <c r="W411">
        <f>HYPERLINK("https://klasma.github.io/Logging_0512/klagomålsmail/A 50328-2024 FSC-klagomål mail.docx", "A 50328-2024")</f>
        <v/>
      </c>
      <c r="X411">
        <f>HYPERLINK("https://klasma.github.io/Logging_0512/tillsyn/A 50328-2024 tillsynsbegäran.docx", "A 50328-2024")</f>
        <v/>
      </c>
      <c r="Y411">
        <f>HYPERLINK("https://klasma.github.io/Logging_0512/tillsynsmail/A 50328-2024 tillsynsbegäran mail.docx", "A 50328-2024")</f>
        <v/>
      </c>
    </row>
    <row r="412" ht="15" customHeight="1">
      <c r="A412" t="inlineStr">
        <is>
          <t>A 1177-2024</t>
        </is>
      </c>
      <c r="B412" s="1" t="n">
        <v>45302</v>
      </c>
      <c r="C412" s="1" t="n">
        <v>46093</v>
      </c>
      <c r="D412" t="inlineStr">
        <is>
          <t>ÖSTERGÖTLANDS LÄN</t>
        </is>
      </c>
      <c r="E412" t="inlineStr">
        <is>
          <t>FINSPÅNG</t>
        </is>
      </c>
      <c r="G412" t="n">
        <v>6.7</v>
      </c>
      <c r="H412" t="n">
        <v>1</v>
      </c>
      <c r="I412" t="n">
        <v>0</v>
      </c>
      <c r="J412" t="n">
        <v>0</v>
      </c>
      <c r="K412" t="n">
        <v>1</v>
      </c>
      <c r="L412" t="n">
        <v>0</v>
      </c>
      <c r="M412" t="n">
        <v>0</v>
      </c>
      <c r="N412" t="n">
        <v>0</v>
      </c>
      <c r="O412" t="n">
        <v>1</v>
      </c>
      <c r="P412" t="n">
        <v>1</v>
      </c>
      <c r="Q412" t="n">
        <v>1</v>
      </c>
      <c r="R412" s="2" t="inlineStr">
        <is>
          <t>Knärot</t>
        </is>
      </c>
      <c r="S412">
        <f>HYPERLINK("https://klasma.github.io/Logging_0562/artfynd/A 1177-2024 artfynd.xlsx", "A 1177-2024")</f>
        <v/>
      </c>
      <c r="T412">
        <f>HYPERLINK("https://klasma.github.io/Logging_0562/kartor/A 1177-2024 karta.png", "A 1177-2024")</f>
        <v/>
      </c>
      <c r="U412">
        <f>HYPERLINK("https://klasma.github.io/Logging_0562/knärot/A 1177-2024 karta knärot.png", "A 1177-2024")</f>
        <v/>
      </c>
      <c r="V412">
        <f>HYPERLINK("https://klasma.github.io/Logging_0562/klagomål/A 1177-2024 FSC-klagomål.docx", "A 1177-2024")</f>
        <v/>
      </c>
      <c r="W412">
        <f>HYPERLINK("https://klasma.github.io/Logging_0562/klagomålsmail/A 1177-2024 FSC-klagomål mail.docx", "A 1177-2024")</f>
        <v/>
      </c>
      <c r="X412">
        <f>HYPERLINK("https://klasma.github.io/Logging_0562/tillsyn/A 1177-2024 tillsynsbegäran.docx", "A 1177-2024")</f>
        <v/>
      </c>
      <c r="Y412">
        <f>HYPERLINK("https://klasma.github.io/Logging_0562/tillsynsmail/A 1177-2024 tillsynsbegäran mail.docx", "A 1177-2024")</f>
        <v/>
      </c>
    </row>
    <row r="413" ht="15" customHeight="1">
      <c r="A413" t="inlineStr">
        <is>
          <t>A 62071-2023</t>
        </is>
      </c>
      <c r="B413" s="1" t="n">
        <v>45266.73542824074</v>
      </c>
      <c r="C413" s="1" t="n">
        <v>46093</v>
      </c>
      <c r="D413" t="inlineStr">
        <is>
          <t>ÖSTERGÖTLANDS LÄN</t>
        </is>
      </c>
      <c r="E413" t="inlineStr">
        <is>
          <t>LINKÖPING</t>
        </is>
      </c>
      <c r="G413" t="n">
        <v>6.5</v>
      </c>
      <c r="H413" t="n">
        <v>0</v>
      </c>
      <c r="I413" t="n">
        <v>0</v>
      </c>
      <c r="J413" t="n">
        <v>1</v>
      </c>
      <c r="K413" t="n">
        <v>0</v>
      </c>
      <c r="L413" t="n">
        <v>0</v>
      </c>
      <c r="M413" t="n">
        <v>0</v>
      </c>
      <c r="N413" t="n">
        <v>0</v>
      </c>
      <c r="O413" t="n">
        <v>1</v>
      </c>
      <c r="P413" t="n">
        <v>0</v>
      </c>
      <c r="Q413" t="n">
        <v>1</v>
      </c>
      <c r="R413" s="2" t="inlineStr">
        <is>
          <t>Svinrot</t>
        </is>
      </c>
      <c r="S413">
        <f>HYPERLINK("https://klasma.github.io/Logging_0580/artfynd/A 62071-2023 artfynd.xlsx", "A 62071-2023")</f>
        <v/>
      </c>
      <c r="T413">
        <f>HYPERLINK("https://klasma.github.io/Logging_0580/kartor/A 62071-2023 karta.png", "A 62071-2023")</f>
        <v/>
      </c>
      <c r="V413">
        <f>HYPERLINK("https://klasma.github.io/Logging_0580/klagomål/A 62071-2023 FSC-klagomål.docx", "A 62071-2023")</f>
        <v/>
      </c>
      <c r="W413">
        <f>HYPERLINK("https://klasma.github.io/Logging_0580/klagomålsmail/A 62071-2023 FSC-klagomål mail.docx", "A 62071-2023")</f>
        <v/>
      </c>
      <c r="X413">
        <f>HYPERLINK("https://klasma.github.io/Logging_0580/tillsyn/A 62071-2023 tillsynsbegäran.docx", "A 62071-2023")</f>
        <v/>
      </c>
      <c r="Y413">
        <f>HYPERLINK("https://klasma.github.io/Logging_0580/tillsynsmail/A 62071-2023 tillsynsbegäran mail.docx", "A 62071-2023")</f>
        <v/>
      </c>
    </row>
    <row r="414" ht="15" customHeight="1">
      <c r="A414" t="inlineStr">
        <is>
          <t>A 31897-2022</t>
        </is>
      </c>
      <c r="B414" s="1" t="n">
        <v>44777.49493055556</v>
      </c>
      <c r="C414" s="1" t="n">
        <v>46093</v>
      </c>
      <c r="D414" t="inlineStr">
        <is>
          <t>ÖSTERGÖTLANDS LÄN</t>
        </is>
      </c>
      <c r="E414" t="inlineStr">
        <is>
          <t>NORRKÖPING</t>
        </is>
      </c>
      <c r="F414" t="inlineStr">
        <is>
          <t>Kommuner</t>
        </is>
      </c>
      <c r="G414" t="n">
        <v>1.8</v>
      </c>
      <c r="H414" t="n">
        <v>0</v>
      </c>
      <c r="I414" t="n">
        <v>1</v>
      </c>
      <c r="J414" t="n">
        <v>0</v>
      </c>
      <c r="K414" t="n">
        <v>0</v>
      </c>
      <c r="L414" t="n">
        <v>0</v>
      </c>
      <c r="M414" t="n">
        <v>0</v>
      </c>
      <c r="N414" t="n">
        <v>0</v>
      </c>
      <c r="O414" t="n">
        <v>0</v>
      </c>
      <c r="P414" t="n">
        <v>0</v>
      </c>
      <c r="Q414" t="n">
        <v>1</v>
      </c>
      <c r="R414" s="2" t="inlineStr">
        <is>
          <t>Grönpyrola</t>
        </is>
      </c>
      <c r="S414">
        <f>HYPERLINK("https://klasma.github.io/Logging_0581/artfynd/A 31897-2022 artfynd.xlsx", "A 31897-2022")</f>
        <v/>
      </c>
      <c r="T414">
        <f>HYPERLINK("https://klasma.github.io/Logging_0581/kartor/A 31897-2022 karta.png", "A 31897-2022")</f>
        <v/>
      </c>
      <c r="V414">
        <f>HYPERLINK("https://klasma.github.io/Logging_0581/klagomål/A 31897-2022 FSC-klagomål.docx", "A 31897-2022")</f>
        <v/>
      </c>
      <c r="W414">
        <f>HYPERLINK("https://klasma.github.io/Logging_0581/klagomålsmail/A 31897-2022 FSC-klagomål mail.docx", "A 31897-2022")</f>
        <v/>
      </c>
      <c r="X414">
        <f>HYPERLINK("https://klasma.github.io/Logging_0581/tillsyn/A 31897-2022 tillsynsbegäran.docx", "A 31897-2022")</f>
        <v/>
      </c>
      <c r="Y414">
        <f>HYPERLINK("https://klasma.github.io/Logging_0581/tillsynsmail/A 31897-2022 tillsynsbegäran mail.docx", "A 31897-2022")</f>
        <v/>
      </c>
    </row>
    <row r="415" ht="15" customHeight="1">
      <c r="A415" t="inlineStr">
        <is>
          <t>A 90-2024</t>
        </is>
      </c>
      <c r="B415" s="1" t="n">
        <v>45293</v>
      </c>
      <c r="C415" s="1" t="n">
        <v>46093</v>
      </c>
      <c r="D415" t="inlineStr">
        <is>
          <t>ÖSTERGÖTLANDS LÄN</t>
        </is>
      </c>
      <c r="E415" t="inlineStr">
        <is>
          <t>LINKÖPING</t>
        </is>
      </c>
      <c r="G415" t="n">
        <v>1.8</v>
      </c>
      <c r="H415" t="n">
        <v>0</v>
      </c>
      <c r="I415" t="n">
        <v>1</v>
      </c>
      <c r="J415" t="n">
        <v>0</v>
      </c>
      <c r="K415" t="n">
        <v>0</v>
      </c>
      <c r="L415" t="n">
        <v>0</v>
      </c>
      <c r="M415" t="n">
        <v>0</v>
      </c>
      <c r="N415" t="n">
        <v>0</v>
      </c>
      <c r="O415" t="n">
        <v>0</v>
      </c>
      <c r="P415" t="n">
        <v>0</v>
      </c>
      <c r="Q415" t="n">
        <v>1</v>
      </c>
      <c r="R415" s="2" t="inlineStr">
        <is>
          <t>Grov fjädermossa</t>
        </is>
      </c>
      <c r="S415">
        <f>HYPERLINK("https://klasma.github.io/Logging_0580/artfynd/A 90-2024 artfynd.xlsx", "A 90-2024")</f>
        <v/>
      </c>
      <c r="T415">
        <f>HYPERLINK("https://klasma.github.io/Logging_0580/kartor/A 90-2024 karta.png", "A 90-2024")</f>
        <v/>
      </c>
      <c r="V415">
        <f>HYPERLINK("https://klasma.github.io/Logging_0580/klagomål/A 90-2024 FSC-klagomål.docx", "A 90-2024")</f>
        <v/>
      </c>
      <c r="W415">
        <f>HYPERLINK("https://klasma.github.io/Logging_0580/klagomålsmail/A 90-2024 FSC-klagomål mail.docx", "A 90-2024")</f>
        <v/>
      </c>
      <c r="X415">
        <f>HYPERLINK("https://klasma.github.io/Logging_0580/tillsyn/A 90-2024 tillsynsbegäran.docx", "A 90-2024")</f>
        <v/>
      </c>
      <c r="Y415">
        <f>HYPERLINK("https://klasma.github.io/Logging_0580/tillsynsmail/A 90-2024 tillsynsbegäran mail.docx", "A 90-2024")</f>
        <v/>
      </c>
    </row>
    <row r="416" ht="15" customHeight="1">
      <c r="A416" t="inlineStr">
        <is>
          <t>A 145-2024</t>
        </is>
      </c>
      <c r="B416" s="1" t="n">
        <v>45294</v>
      </c>
      <c r="C416" s="1" t="n">
        <v>46093</v>
      </c>
      <c r="D416" t="inlineStr">
        <is>
          <t>ÖSTERGÖTLANDS LÄN</t>
        </is>
      </c>
      <c r="E416" t="inlineStr">
        <is>
          <t>KINDA</t>
        </is>
      </c>
      <c r="G416" t="n">
        <v>4.9</v>
      </c>
      <c r="H416" t="n">
        <v>0</v>
      </c>
      <c r="I416" t="n">
        <v>0</v>
      </c>
      <c r="J416" t="n">
        <v>1</v>
      </c>
      <c r="K416" t="n">
        <v>0</v>
      </c>
      <c r="L416" t="n">
        <v>0</v>
      </c>
      <c r="M416" t="n">
        <v>0</v>
      </c>
      <c r="N416" t="n">
        <v>0</v>
      </c>
      <c r="O416" t="n">
        <v>1</v>
      </c>
      <c r="P416" t="n">
        <v>0</v>
      </c>
      <c r="Q416" t="n">
        <v>1</v>
      </c>
      <c r="R416" s="2" t="inlineStr">
        <is>
          <t>Ekgetingbock</t>
        </is>
      </c>
      <c r="S416">
        <f>HYPERLINK("https://klasma.github.io/Logging_0513/artfynd/A 145-2024 artfynd.xlsx", "A 145-2024")</f>
        <v/>
      </c>
      <c r="T416">
        <f>HYPERLINK("https://klasma.github.io/Logging_0513/kartor/A 145-2024 karta.png", "A 145-2024")</f>
        <v/>
      </c>
      <c r="V416">
        <f>HYPERLINK("https://klasma.github.io/Logging_0513/klagomål/A 145-2024 FSC-klagomål.docx", "A 145-2024")</f>
        <v/>
      </c>
      <c r="W416">
        <f>HYPERLINK("https://klasma.github.io/Logging_0513/klagomålsmail/A 145-2024 FSC-klagomål mail.docx", "A 145-2024")</f>
        <v/>
      </c>
      <c r="X416">
        <f>HYPERLINK("https://klasma.github.io/Logging_0513/tillsyn/A 145-2024 tillsynsbegäran.docx", "A 145-2024")</f>
        <v/>
      </c>
      <c r="Y416">
        <f>HYPERLINK("https://klasma.github.io/Logging_0513/tillsynsmail/A 145-2024 tillsynsbegäran mail.docx", "A 145-2024")</f>
        <v/>
      </c>
    </row>
    <row r="417" ht="15" customHeight="1">
      <c r="A417" t="inlineStr">
        <is>
          <t>A 49689-2025</t>
        </is>
      </c>
      <c r="B417" s="1" t="n">
        <v>45938</v>
      </c>
      <c r="C417" s="1" t="n">
        <v>46093</v>
      </c>
      <c r="D417" t="inlineStr">
        <is>
          <t>ÖSTERGÖTLANDS LÄN</t>
        </is>
      </c>
      <c r="E417" t="inlineStr">
        <is>
          <t>ÅTVIDABERG</t>
        </is>
      </c>
      <c r="G417" t="n">
        <v>1.3</v>
      </c>
      <c r="H417" t="n">
        <v>1</v>
      </c>
      <c r="I417" t="n">
        <v>0</v>
      </c>
      <c r="J417" t="n">
        <v>1</v>
      </c>
      <c r="K417" t="n">
        <v>0</v>
      </c>
      <c r="L417" t="n">
        <v>0</v>
      </c>
      <c r="M417" t="n">
        <v>0</v>
      </c>
      <c r="N417" t="n">
        <v>0</v>
      </c>
      <c r="O417" t="n">
        <v>1</v>
      </c>
      <c r="P417" t="n">
        <v>0</v>
      </c>
      <c r="Q417" t="n">
        <v>1</v>
      </c>
      <c r="R417" s="2" t="inlineStr">
        <is>
          <t>Spillkråka</t>
        </is>
      </c>
      <c r="S417">
        <f>HYPERLINK("https://klasma.github.io/Logging_0561/artfynd/A 49689-2025 artfynd.xlsx", "A 49689-2025")</f>
        <v/>
      </c>
      <c r="T417">
        <f>HYPERLINK("https://klasma.github.io/Logging_0561/kartor/A 49689-2025 karta.png", "A 49689-2025")</f>
        <v/>
      </c>
      <c r="V417">
        <f>HYPERLINK("https://klasma.github.io/Logging_0561/klagomål/A 49689-2025 FSC-klagomål.docx", "A 49689-2025")</f>
        <v/>
      </c>
      <c r="W417">
        <f>HYPERLINK("https://klasma.github.io/Logging_0561/klagomålsmail/A 49689-2025 FSC-klagomål mail.docx", "A 49689-2025")</f>
        <v/>
      </c>
      <c r="X417">
        <f>HYPERLINK("https://klasma.github.io/Logging_0561/tillsyn/A 49689-2025 tillsynsbegäran.docx", "A 49689-2025")</f>
        <v/>
      </c>
      <c r="Y417">
        <f>HYPERLINK("https://klasma.github.io/Logging_0561/tillsynsmail/A 49689-2025 tillsynsbegäran mail.docx", "A 49689-2025")</f>
        <v/>
      </c>
      <c r="Z417">
        <f>HYPERLINK("https://klasma.github.io/Logging_0561/fåglar/A 49689-2025 prioriterade fågelarter.docx", "A 49689-2025")</f>
        <v/>
      </c>
    </row>
    <row r="418" ht="15" customHeight="1">
      <c r="A418" t="inlineStr">
        <is>
          <t>A 4644-2024</t>
        </is>
      </c>
      <c r="B418" s="1" t="n">
        <v>45328</v>
      </c>
      <c r="C418" s="1" t="n">
        <v>46093</v>
      </c>
      <c r="D418" t="inlineStr">
        <is>
          <t>ÖSTERGÖTLANDS LÄN</t>
        </is>
      </c>
      <c r="E418" t="inlineStr">
        <is>
          <t>FINSPÅNG</t>
        </is>
      </c>
      <c r="G418" t="n">
        <v>5.3</v>
      </c>
      <c r="H418" t="n">
        <v>1</v>
      </c>
      <c r="I418" t="n">
        <v>0</v>
      </c>
      <c r="J418" t="n">
        <v>1</v>
      </c>
      <c r="K418" t="n">
        <v>0</v>
      </c>
      <c r="L418" t="n">
        <v>0</v>
      </c>
      <c r="M418" t="n">
        <v>0</v>
      </c>
      <c r="N418" t="n">
        <v>0</v>
      </c>
      <c r="O418" t="n">
        <v>1</v>
      </c>
      <c r="P418" t="n">
        <v>0</v>
      </c>
      <c r="Q418" t="n">
        <v>1</v>
      </c>
      <c r="R418" s="2" t="inlineStr">
        <is>
          <t>Kungsörn</t>
        </is>
      </c>
      <c r="S418">
        <f>HYPERLINK("https://klasma.github.io/Logging_0562/artfynd/A 4644-2024 artfynd.xlsx", "A 4644-2024")</f>
        <v/>
      </c>
      <c r="T418">
        <f>HYPERLINK("https://klasma.github.io/Logging_0562/kartor/A 4644-2024 karta.png", "A 4644-2024")</f>
        <v/>
      </c>
      <c r="V418">
        <f>HYPERLINK("https://klasma.github.io/Logging_0562/klagomål/A 4644-2024 FSC-klagomål.docx", "A 4644-2024")</f>
        <v/>
      </c>
      <c r="W418">
        <f>HYPERLINK("https://klasma.github.io/Logging_0562/klagomålsmail/A 4644-2024 FSC-klagomål mail.docx", "A 4644-2024")</f>
        <v/>
      </c>
      <c r="X418">
        <f>HYPERLINK("https://klasma.github.io/Logging_0562/tillsyn/A 4644-2024 tillsynsbegäran.docx", "A 4644-2024")</f>
        <v/>
      </c>
      <c r="Y418">
        <f>HYPERLINK("https://klasma.github.io/Logging_0562/tillsynsmail/A 4644-2024 tillsynsbegäran mail.docx", "A 4644-2024")</f>
        <v/>
      </c>
      <c r="Z418">
        <f>HYPERLINK("https://klasma.github.io/Logging_0562/fåglar/A 4644-2024 prioriterade fågelarter.docx", "A 4644-2024")</f>
        <v/>
      </c>
    </row>
    <row r="419" ht="15" customHeight="1">
      <c r="A419" t="inlineStr">
        <is>
          <t>A 45953-2024</t>
        </is>
      </c>
      <c r="B419" s="1" t="n">
        <v>45580</v>
      </c>
      <c r="C419" s="1" t="n">
        <v>46093</v>
      </c>
      <c r="D419" t="inlineStr">
        <is>
          <t>ÖSTERGÖTLANDS LÄN</t>
        </is>
      </c>
      <c r="E419" t="inlineStr">
        <is>
          <t>NORRKÖPING</t>
        </is>
      </c>
      <c r="G419" t="n">
        <v>1.9</v>
      </c>
      <c r="H419" t="n">
        <v>1</v>
      </c>
      <c r="I419" t="n">
        <v>1</v>
      </c>
      <c r="J419" t="n">
        <v>0</v>
      </c>
      <c r="K419" t="n">
        <v>0</v>
      </c>
      <c r="L419" t="n">
        <v>0</v>
      </c>
      <c r="M419" t="n">
        <v>0</v>
      </c>
      <c r="N419" t="n">
        <v>0</v>
      </c>
      <c r="O419" t="n">
        <v>0</v>
      </c>
      <c r="P419" t="n">
        <v>0</v>
      </c>
      <c r="Q419" t="n">
        <v>1</v>
      </c>
      <c r="R419" s="2" t="inlineStr">
        <is>
          <t>Ekoxe</t>
        </is>
      </c>
      <c r="S419">
        <f>HYPERLINK("https://klasma.github.io/Logging_0581/artfynd/A 45953-2024 artfynd.xlsx", "A 45953-2024")</f>
        <v/>
      </c>
      <c r="T419">
        <f>HYPERLINK("https://klasma.github.io/Logging_0581/kartor/A 45953-2024 karta.png", "A 45953-2024")</f>
        <v/>
      </c>
      <c r="V419">
        <f>HYPERLINK("https://klasma.github.io/Logging_0581/klagomål/A 45953-2024 FSC-klagomål.docx", "A 45953-2024")</f>
        <v/>
      </c>
      <c r="W419">
        <f>HYPERLINK("https://klasma.github.io/Logging_0581/klagomålsmail/A 45953-2024 FSC-klagomål mail.docx", "A 45953-2024")</f>
        <v/>
      </c>
      <c r="X419">
        <f>HYPERLINK("https://klasma.github.io/Logging_0581/tillsyn/A 45953-2024 tillsynsbegäran.docx", "A 45953-2024")</f>
        <v/>
      </c>
      <c r="Y419">
        <f>HYPERLINK("https://klasma.github.io/Logging_0581/tillsynsmail/A 45953-2024 tillsynsbegäran mail.docx", "A 45953-2024")</f>
        <v/>
      </c>
    </row>
    <row r="420" ht="15" customHeight="1">
      <c r="A420" t="inlineStr">
        <is>
          <t>A 56637-2023</t>
        </is>
      </c>
      <c r="B420" s="1" t="n">
        <v>45243</v>
      </c>
      <c r="C420" s="1" t="n">
        <v>46093</v>
      </c>
      <c r="D420" t="inlineStr">
        <is>
          <t>ÖSTERGÖTLANDS LÄN</t>
        </is>
      </c>
      <c r="E420" t="inlineStr">
        <is>
          <t>ÖDESHÖG</t>
        </is>
      </c>
      <c r="G420" t="n">
        <v>2.9</v>
      </c>
      <c r="H420" t="n">
        <v>0</v>
      </c>
      <c r="I420" t="n">
        <v>0</v>
      </c>
      <c r="J420" t="n">
        <v>0</v>
      </c>
      <c r="K420" t="n">
        <v>0</v>
      </c>
      <c r="L420" t="n">
        <v>0</v>
      </c>
      <c r="M420" t="n">
        <v>1</v>
      </c>
      <c r="N420" t="n">
        <v>0</v>
      </c>
      <c r="O420" t="n">
        <v>1</v>
      </c>
      <c r="P420" t="n">
        <v>1</v>
      </c>
      <c r="Q420" t="n">
        <v>1</v>
      </c>
      <c r="R420" s="2" t="inlineStr">
        <is>
          <t>Skogsalm</t>
        </is>
      </c>
      <c r="S420">
        <f>HYPERLINK("https://klasma.github.io/Logging_0509/artfynd/A 56637-2023 artfynd.xlsx", "A 56637-2023")</f>
        <v/>
      </c>
      <c r="T420">
        <f>HYPERLINK("https://klasma.github.io/Logging_0509/kartor/A 56637-2023 karta.png", "A 56637-2023")</f>
        <v/>
      </c>
      <c r="V420">
        <f>HYPERLINK("https://klasma.github.io/Logging_0509/klagomål/A 56637-2023 FSC-klagomål.docx", "A 56637-2023")</f>
        <v/>
      </c>
      <c r="W420">
        <f>HYPERLINK("https://klasma.github.io/Logging_0509/klagomålsmail/A 56637-2023 FSC-klagomål mail.docx", "A 56637-2023")</f>
        <v/>
      </c>
      <c r="X420">
        <f>HYPERLINK("https://klasma.github.io/Logging_0509/tillsyn/A 56637-2023 tillsynsbegäran.docx", "A 56637-2023")</f>
        <v/>
      </c>
      <c r="Y420">
        <f>HYPERLINK("https://klasma.github.io/Logging_0509/tillsynsmail/A 56637-2023 tillsynsbegäran mail.docx", "A 56637-2023")</f>
        <v/>
      </c>
    </row>
    <row r="421" ht="15" customHeight="1">
      <c r="A421" t="inlineStr">
        <is>
          <t>A 3474-2023</t>
        </is>
      </c>
      <c r="B421" s="1" t="n">
        <v>44949</v>
      </c>
      <c r="C421" s="1" t="n">
        <v>46093</v>
      </c>
      <c r="D421" t="inlineStr">
        <is>
          <t>ÖSTERGÖTLANDS LÄN</t>
        </is>
      </c>
      <c r="E421" t="inlineStr">
        <is>
          <t>KINDA</t>
        </is>
      </c>
      <c r="G421" t="n">
        <v>2.5</v>
      </c>
      <c r="H421" t="n">
        <v>0</v>
      </c>
      <c r="I421" t="n">
        <v>1</v>
      </c>
      <c r="J421" t="n">
        <v>0</v>
      </c>
      <c r="K421" t="n">
        <v>0</v>
      </c>
      <c r="L421" t="n">
        <v>0</v>
      </c>
      <c r="M421" t="n">
        <v>0</v>
      </c>
      <c r="N421" t="n">
        <v>0</v>
      </c>
      <c r="O421" t="n">
        <v>0</v>
      </c>
      <c r="P421" t="n">
        <v>0</v>
      </c>
      <c r="Q421" t="n">
        <v>1</v>
      </c>
      <c r="R421" s="2" t="inlineStr">
        <is>
          <t>Blåmossa</t>
        </is>
      </c>
      <c r="S421">
        <f>HYPERLINK("https://klasma.github.io/Logging_0513/artfynd/A 3474-2023 artfynd.xlsx", "A 3474-2023")</f>
        <v/>
      </c>
      <c r="T421">
        <f>HYPERLINK("https://klasma.github.io/Logging_0513/kartor/A 3474-2023 karta.png", "A 3474-2023")</f>
        <v/>
      </c>
      <c r="V421">
        <f>HYPERLINK("https://klasma.github.io/Logging_0513/klagomål/A 3474-2023 FSC-klagomål.docx", "A 3474-2023")</f>
        <v/>
      </c>
      <c r="W421">
        <f>HYPERLINK("https://klasma.github.io/Logging_0513/klagomålsmail/A 3474-2023 FSC-klagomål mail.docx", "A 3474-2023")</f>
        <v/>
      </c>
      <c r="X421">
        <f>HYPERLINK("https://klasma.github.io/Logging_0513/tillsyn/A 3474-2023 tillsynsbegäran.docx", "A 3474-2023")</f>
        <v/>
      </c>
      <c r="Y421">
        <f>HYPERLINK("https://klasma.github.io/Logging_0513/tillsynsmail/A 3474-2023 tillsynsbegäran mail.docx", "A 3474-2023")</f>
        <v/>
      </c>
    </row>
    <row r="422" ht="15" customHeight="1">
      <c r="A422" t="inlineStr">
        <is>
          <t>A 50034-2025</t>
        </is>
      </c>
      <c r="B422" s="1" t="n">
        <v>45941</v>
      </c>
      <c r="C422" s="1" t="n">
        <v>46093</v>
      </c>
      <c r="D422" t="inlineStr">
        <is>
          <t>ÖSTERGÖTLANDS LÄN</t>
        </is>
      </c>
      <c r="E422" t="inlineStr">
        <is>
          <t>LINKÖPING</t>
        </is>
      </c>
      <c r="G422" t="n">
        <v>6.2</v>
      </c>
      <c r="H422" t="n">
        <v>0</v>
      </c>
      <c r="I422" t="n">
        <v>0</v>
      </c>
      <c r="J422" t="n">
        <v>0</v>
      </c>
      <c r="K422" t="n">
        <v>0</v>
      </c>
      <c r="L422" t="n">
        <v>0</v>
      </c>
      <c r="M422" t="n">
        <v>1</v>
      </c>
      <c r="N422" t="n">
        <v>0</v>
      </c>
      <c r="O422" t="n">
        <v>1</v>
      </c>
      <c r="P422" t="n">
        <v>1</v>
      </c>
      <c r="Q422" t="n">
        <v>1</v>
      </c>
      <c r="R422" s="2" t="inlineStr">
        <is>
          <t>Skogsalm</t>
        </is>
      </c>
      <c r="S422">
        <f>HYPERLINK("https://klasma.github.io/Logging_0580/artfynd/A 50034-2025 artfynd.xlsx", "A 50034-2025")</f>
        <v/>
      </c>
      <c r="T422">
        <f>HYPERLINK("https://klasma.github.io/Logging_0580/kartor/A 50034-2025 karta.png", "A 50034-2025")</f>
        <v/>
      </c>
      <c r="V422">
        <f>HYPERLINK("https://klasma.github.io/Logging_0580/klagomål/A 50034-2025 FSC-klagomål.docx", "A 50034-2025")</f>
        <v/>
      </c>
      <c r="W422">
        <f>HYPERLINK("https://klasma.github.io/Logging_0580/klagomålsmail/A 50034-2025 FSC-klagomål mail.docx", "A 50034-2025")</f>
        <v/>
      </c>
      <c r="X422">
        <f>HYPERLINK("https://klasma.github.io/Logging_0580/tillsyn/A 50034-2025 tillsynsbegäran.docx", "A 50034-2025")</f>
        <v/>
      </c>
      <c r="Y422">
        <f>HYPERLINK("https://klasma.github.io/Logging_0580/tillsynsmail/A 50034-2025 tillsynsbegäran mail.docx", "A 50034-2025")</f>
        <v/>
      </c>
    </row>
    <row r="423" ht="15" customHeight="1">
      <c r="A423" t="inlineStr">
        <is>
          <t>A 3417-2025</t>
        </is>
      </c>
      <c r="B423" s="1" t="n">
        <v>45680.41096064815</v>
      </c>
      <c r="C423" s="1" t="n">
        <v>46093</v>
      </c>
      <c r="D423" t="inlineStr">
        <is>
          <t>ÖSTERGÖTLANDS LÄN</t>
        </is>
      </c>
      <c r="E423" t="inlineStr">
        <is>
          <t>KINDA</t>
        </is>
      </c>
      <c r="G423" t="n">
        <v>1.1</v>
      </c>
      <c r="H423" t="n">
        <v>0</v>
      </c>
      <c r="I423" t="n">
        <v>1</v>
      </c>
      <c r="J423" t="n">
        <v>0</v>
      </c>
      <c r="K423" t="n">
        <v>0</v>
      </c>
      <c r="L423" t="n">
        <v>0</v>
      </c>
      <c r="M423" t="n">
        <v>0</v>
      </c>
      <c r="N423" t="n">
        <v>0</v>
      </c>
      <c r="O423" t="n">
        <v>0</v>
      </c>
      <c r="P423" t="n">
        <v>0</v>
      </c>
      <c r="Q423" t="n">
        <v>1</v>
      </c>
      <c r="R423" s="2" t="inlineStr">
        <is>
          <t>Svart trolldruva</t>
        </is>
      </c>
      <c r="S423">
        <f>HYPERLINK("https://klasma.github.io/Logging_0513/artfynd/A 3417-2025 artfynd.xlsx", "A 3417-2025")</f>
        <v/>
      </c>
      <c r="T423">
        <f>HYPERLINK("https://klasma.github.io/Logging_0513/kartor/A 3417-2025 karta.png", "A 3417-2025")</f>
        <v/>
      </c>
      <c r="V423">
        <f>HYPERLINK("https://klasma.github.io/Logging_0513/klagomål/A 3417-2025 FSC-klagomål.docx", "A 3417-2025")</f>
        <v/>
      </c>
      <c r="W423">
        <f>HYPERLINK("https://klasma.github.io/Logging_0513/klagomålsmail/A 3417-2025 FSC-klagomål mail.docx", "A 3417-2025")</f>
        <v/>
      </c>
      <c r="X423">
        <f>HYPERLINK("https://klasma.github.io/Logging_0513/tillsyn/A 3417-2025 tillsynsbegäran.docx", "A 3417-2025")</f>
        <v/>
      </c>
      <c r="Y423">
        <f>HYPERLINK("https://klasma.github.io/Logging_0513/tillsynsmail/A 3417-2025 tillsynsbegäran mail.docx", "A 3417-2025")</f>
        <v/>
      </c>
    </row>
    <row r="424" ht="15" customHeight="1">
      <c r="A424" t="inlineStr">
        <is>
          <t>A 60573-2021</t>
        </is>
      </c>
      <c r="B424" s="1" t="n">
        <v>44496</v>
      </c>
      <c r="C424" s="1" t="n">
        <v>46093</v>
      </c>
      <c r="D424" t="inlineStr">
        <is>
          <t>ÖSTERGÖTLANDS LÄN</t>
        </is>
      </c>
      <c r="E424" t="inlineStr">
        <is>
          <t>LINKÖPING</t>
        </is>
      </c>
      <c r="F424" t="inlineStr">
        <is>
          <t>Övriga Aktiebolag</t>
        </is>
      </c>
      <c r="G424" t="n">
        <v>5.6</v>
      </c>
      <c r="H424" t="n">
        <v>0</v>
      </c>
      <c r="I424" t="n">
        <v>0</v>
      </c>
      <c r="J424" t="n">
        <v>1</v>
      </c>
      <c r="K424" t="n">
        <v>0</v>
      </c>
      <c r="L424" t="n">
        <v>0</v>
      </c>
      <c r="M424" t="n">
        <v>0</v>
      </c>
      <c r="N424" t="n">
        <v>0</v>
      </c>
      <c r="O424" t="n">
        <v>1</v>
      </c>
      <c r="P424" t="n">
        <v>0</v>
      </c>
      <c r="Q424" t="n">
        <v>1</v>
      </c>
      <c r="R424" s="2" t="inlineStr">
        <is>
          <t>Sommarfibbla</t>
        </is>
      </c>
      <c r="S424">
        <f>HYPERLINK("https://klasma.github.io/Logging_0580/artfynd/A 60573-2021 artfynd.xlsx", "A 60573-2021")</f>
        <v/>
      </c>
      <c r="T424">
        <f>HYPERLINK("https://klasma.github.io/Logging_0580/kartor/A 60573-2021 karta.png", "A 60573-2021")</f>
        <v/>
      </c>
      <c r="V424">
        <f>HYPERLINK("https://klasma.github.io/Logging_0580/klagomål/A 60573-2021 FSC-klagomål.docx", "A 60573-2021")</f>
        <v/>
      </c>
      <c r="W424">
        <f>HYPERLINK("https://klasma.github.io/Logging_0580/klagomålsmail/A 60573-2021 FSC-klagomål mail.docx", "A 60573-2021")</f>
        <v/>
      </c>
      <c r="X424">
        <f>HYPERLINK("https://klasma.github.io/Logging_0580/tillsyn/A 60573-2021 tillsynsbegäran.docx", "A 60573-2021")</f>
        <v/>
      </c>
      <c r="Y424">
        <f>HYPERLINK("https://klasma.github.io/Logging_0580/tillsynsmail/A 60573-2021 tillsynsbegäran mail.docx", "A 60573-2021")</f>
        <v/>
      </c>
    </row>
    <row r="425" ht="15" customHeight="1">
      <c r="A425" t="inlineStr">
        <is>
          <t>A 40385-2024</t>
        </is>
      </c>
      <c r="B425" s="1" t="n">
        <v>45555.42803240741</v>
      </c>
      <c r="C425" s="1" t="n">
        <v>46093</v>
      </c>
      <c r="D425" t="inlineStr">
        <is>
          <t>ÖSTERGÖTLANDS LÄN</t>
        </is>
      </c>
      <c r="E425" t="inlineStr">
        <is>
          <t>FINSPÅNG</t>
        </is>
      </c>
      <c r="F425" t="inlineStr">
        <is>
          <t>Holmen skog AB</t>
        </is>
      </c>
      <c r="G425" t="n">
        <v>1.7</v>
      </c>
      <c r="H425" t="n">
        <v>1</v>
      </c>
      <c r="I425" t="n">
        <v>0</v>
      </c>
      <c r="J425" t="n">
        <v>1</v>
      </c>
      <c r="K425" t="n">
        <v>0</v>
      </c>
      <c r="L425" t="n">
        <v>0</v>
      </c>
      <c r="M425" t="n">
        <v>0</v>
      </c>
      <c r="N425" t="n">
        <v>0</v>
      </c>
      <c r="O425" t="n">
        <v>1</v>
      </c>
      <c r="P425" t="n">
        <v>0</v>
      </c>
      <c r="Q425" t="n">
        <v>1</v>
      </c>
      <c r="R425" s="2" t="inlineStr">
        <is>
          <t>Talltita</t>
        </is>
      </c>
      <c r="S425">
        <f>HYPERLINK("https://klasma.github.io/Logging_0562/artfynd/A 40385-2024 artfynd.xlsx", "A 40385-2024")</f>
        <v/>
      </c>
      <c r="T425">
        <f>HYPERLINK("https://klasma.github.io/Logging_0562/kartor/A 40385-2024 karta.png", "A 40385-2024")</f>
        <v/>
      </c>
      <c r="V425">
        <f>HYPERLINK("https://klasma.github.io/Logging_0562/klagomål/A 40385-2024 FSC-klagomål.docx", "A 40385-2024")</f>
        <v/>
      </c>
      <c r="W425">
        <f>HYPERLINK("https://klasma.github.io/Logging_0562/klagomålsmail/A 40385-2024 FSC-klagomål mail.docx", "A 40385-2024")</f>
        <v/>
      </c>
      <c r="X425">
        <f>HYPERLINK("https://klasma.github.io/Logging_0562/tillsyn/A 40385-2024 tillsynsbegäran.docx", "A 40385-2024")</f>
        <v/>
      </c>
      <c r="Y425">
        <f>HYPERLINK("https://klasma.github.io/Logging_0562/tillsynsmail/A 40385-2024 tillsynsbegäran mail.docx", "A 40385-2024")</f>
        <v/>
      </c>
      <c r="Z425">
        <f>HYPERLINK("https://klasma.github.io/Logging_0562/fåglar/A 40385-2024 prioriterade fågelarter.docx", "A 40385-2024")</f>
        <v/>
      </c>
    </row>
    <row r="426" ht="15" customHeight="1">
      <c r="A426" t="inlineStr">
        <is>
          <t>A 63433-2023</t>
        </is>
      </c>
      <c r="B426" s="1" t="n">
        <v>45274</v>
      </c>
      <c r="C426" s="1" t="n">
        <v>46093</v>
      </c>
      <c r="D426" t="inlineStr">
        <is>
          <t>ÖSTERGÖTLANDS LÄN</t>
        </is>
      </c>
      <c r="E426" t="inlineStr">
        <is>
          <t>ÅTVIDABERG</t>
        </is>
      </c>
      <c r="F426" t="inlineStr">
        <is>
          <t>Övriga Aktiebolag</t>
        </is>
      </c>
      <c r="G426" t="n">
        <v>5.7</v>
      </c>
      <c r="H426" t="n">
        <v>1</v>
      </c>
      <c r="I426" t="n">
        <v>0</v>
      </c>
      <c r="J426" t="n">
        <v>0</v>
      </c>
      <c r="K426" t="n">
        <v>0</v>
      </c>
      <c r="L426" t="n">
        <v>0</v>
      </c>
      <c r="M426" t="n">
        <v>0</v>
      </c>
      <c r="N426" t="n">
        <v>0</v>
      </c>
      <c r="O426" t="n">
        <v>0</v>
      </c>
      <c r="P426" t="n">
        <v>0</v>
      </c>
      <c r="Q426" t="n">
        <v>1</v>
      </c>
      <c r="R426" s="2" t="inlineStr">
        <is>
          <t>Grönvit nattviol</t>
        </is>
      </c>
      <c r="S426">
        <f>HYPERLINK("https://klasma.github.io/Logging_0561/artfynd/A 63433-2023 artfynd.xlsx", "A 63433-2023")</f>
        <v/>
      </c>
      <c r="T426">
        <f>HYPERLINK("https://klasma.github.io/Logging_0561/kartor/A 63433-2023 karta.png", "A 63433-2023")</f>
        <v/>
      </c>
      <c r="V426">
        <f>HYPERLINK("https://klasma.github.io/Logging_0561/klagomål/A 63433-2023 FSC-klagomål.docx", "A 63433-2023")</f>
        <v/>
      </c>
      <c r="W426">
        <f>HYPERLINK("https://klasma.github.io/Logging_0561/klagomålsmail/A 63433-2023 FSC-klagomål mail.docx", "A 63433-2023")</f>
        <v/>
      </c>
      <c r="X426">
        <f>HYPERLINK("https://klasma.github.io/Logging_0561/tillsyn/A 63433-2023 tillsynsbegäran.docx", "A 63433-2023")</f>
        <v/>
      </c>
      <c r="Y426">
        <f>HYPERLINK("https://klasma.github.io/Logging_0561/tillsynsmail/A 63433-2023 tillsynsbegäran mail.docx", "A 63433-2023")</f>
        <v/>
      </c>
    </row>
    <row r="427" ht="15" customHeight="1">
      <c r="A427" t="inlineStr">
        <is>
          <t>A 29509-2024</t>
        </is>
      </c>
      <c r="B427" s="1" t="n">
        <v>45484</v>
      </c>
      <c r="C427" s="1" t="n">
        <v>46093</v>
      </c>
      <c r="D427" t="inlineStr">
        <is>
          <t>ÖSTERGÖTLANDS LÄN</t>
        </is>
      </c>
      <c r="E427" t="inlineStr">
        <is>
          <t>KINDA</t>
        </is>
      </c>
      <c r="G427" t="n">
        <v>10.4</v>
      </c>
      <c r="H427" t="n">
        <v>0</v>
      </c>
      <c r="I427" t="n">
        <v>0</v>
      </c>
      <c r="J427" t="n">
        <v>1</v>
      </c>
      <c r="K427" t="n">
        <v>0</v>
      </c>
      <c r="L427" t="n">
        <v>0</v>
      </c>
      <c r="M427" t="n">
        <v>0</v>
      </c>
      <c r="N427" t="n">
        <v>0</v>
      </c>
      <c r="O427" t="n">
        <v>1</v>
      </c>
      <c r="P427" t="n">
        <v>0</v>
      </c>
      <c r="Q427" t="n">
        <v>1</v>
      </c>
      <c r="R427" s="2" t="inlineStr">
        <is>
          <t>Månlåsbräken</t>
        </is>
      </c>
      <c r="S427">
        <f>HYPERLINK("https://klasma.github.io/Logging_0513/artfynd/A 29509-2024 artfynd.xlsx", "A 29509-2024")</f>
        <v/>
      </c>
      <c r="T427">
        <f>HYPERLINK("https://klasma.github.io/Logging_0513/kartor/A 29509-2024 karta.png", "A 29509-2024")</f>
        <v/>
      </c>
      <c r="V427">
        <f>HYPERLINK("https://klasma.github.io/Logging_0513/klagomål/A 29509-2024 FSC-klagomål.docx", "A 29509-2024")</f>
        <v/>
      </c>
      <c r="W427">
        <f>HYPERLINK("https://klasma.github.io/Logging_0513/klagomålsmail/A 29509-2024 FSC-klagomål mail.docx", "A 29509-2024")</f>
        <v/>
      </c>
      <c r="X427">
        <f>HYPERLINK("https://klasma.github.io/Logging_0513/tillsyn/A 29509-2024 tillsynsbegäran.docx", "A 29509-2024")</f>
        <v/>
      </c>
      <c r="Y427">
        <f>HYPERLINK("https://klasma.github.io/Logging_0513/tillsynsmail/A 29509-2024 tillsynsbegäran mail.docx", "A 29509-2024")</f>
        <v/>
      </c>
    </row>
    <row r="428" ht="15" customHeight="1">
      <c r="A428" t="inlineStr">
        <is>
          <t>A 11490-2023</t>
        </is>
      </c>
      <c r="B428" s="1" t="n">
        <v>44993</v>
      </c>
      <c r="C428" s="1" t="n">
        <v>46093</v>
      </c>
      <c r="D428" t="inlineStr">
        <is>
          <t>ÖSTERGÖTLANDS LÄN</t>
        </is>
      </c>
      <c r="E428" t="inlineStr">
        <is>
          <t>NORRKÖPING</t>
        </is>
      </c>
      <c r="F428" t="inlineStr">
        <is>
          <t>Holmen skog AB</t>
        </is>
      </c>
      <c r="G428" t="n">
        <v>1.9</v>
      </c>
      <c r="H428" t="n">
        <v>1</v>
      </c>
      <c r="I428" t="n">
        <v>0</v>
      </c>
      <c r="J428" t="n">
        <v>0</v>
      </c>
      <c r="K428" t="n">
        <v>0</v>
      </c>
      <c r="L428" t="n">
        <v>0</v>
      </c>
      <c r="M428" t="n">
        <v>0</v>
      </c>
      <c r="N428" t="n">
        <v>0</v>
      </c>
      <c r="O428" t="n">
        <v>0</v>
      </c>
      <c r="P428" t="n">
        <v>0</v>
      </c>
      <c r="Q428" t="n">
        <v>1</v>
      </c>
      <c r="R428" s="2" t="inlineStr">
        <is>
          <t>Trädlärka</t>
        </is>
      </c>
      <c r="S428">
        <f>HYPERLINK("https://klasma.github.io/Logging_0581/artfynd/A 11490-2023 artfynd.xlsx", "A 11490-2023")</f>
        <v/>
      </c>
      <c r="T428">
        <f>HYPERLINK("https://klasma.github.io/Logging_0581/kartor/A 11490-2023 karta.png", "A 11490-2023")</f>
        <v/>
      </c>
      <c r="V428">
        <f>HYPERLINK("https://klasma.github.io/Logging_0581/klagomål/A 11490-2023 FSC-klagomål.docx", "A 11490-2023")</f>
        <v/>
      </c>
      <c r="W428">
        <f>HYPERLINK("https://klasma.github.io/Logging_0581/klagomålsmail/A 11490-2023 FSC-klagomål mail.docx", "A 11490-2023")</f>
        <v/>
      </c>
      <c r="X428">
        <f>HYPERLINK("https://klasma.github.io/Logging_0581/tillsyn/A 11490-2023 tillsynsbegäran.docx", "A 11490-2023")</f>
        <v/>
      </c>
      <c r="Y428">
        <f>HYPERLINK("https://klasma.github.io/Logging_0581/tillsynsmail/A 11490-2023 tillsynsbegäran mail.docx", "A 11490-2023")</f>
        <v/>
      </c>
      <c r="Z428">
        <f>HYPERLINK("https://klasma.github.io/Logging_0581/fåglar/A 11490-2023 prioriterade fågelarter.docx", "A 11490-2023")</f>
        <v/>
      </c>
    </row>
    <row r="429" ht="15" customHeight="1">
      <c r="A429" t="inlineStr">
        <is>
          <t>A 37058-2025</t>
        </is>
      </c>
      <c r="B429" s="1" t="n">
        <v>45875</v>
      </c>
      <c r="C429" s="1" t="n">
        <v>46093</v>
      </c>
      <c r="D429" t="inlineStr">
        <is>
          <t>ÖSTERGÖTLANDS LÄN</t>
        </is>
      </c>
      <c r="E429" t="inlineStr">
        <is>
          <t>KINDA</t>
        </is>
      </c>
      <c r="G429" t="n">
        <v>1.9</v>
      </c>
      <c r="H429" t="n">
        <v>0</v>
      </c>
      <c r="I429" t="n">
        <v>0</v>
      </c>
      <c r="J429" t="n">
        <v>1</v>
      </c>
      <c r="K429" t="n">
        <v>0</v>
      </c>
      <c r="L429" t="n">
        <v>0</v>
      </c>
      <c r="M429" t="n">
        <v>0</v>
      </c>
      <c r="N429" t="n">
        <v>0</v>
      </c>
      <c r="O429" t="n">
        <v>1</v>
      </c>
      <c r="P429" t="n">
        <v>0</v>
      </c>
      <c r="Q429" t="n">
        <v>1</v>
      </c>
      <c r="R429" s="2" t="inlineStr">
        <is>
          <t>Storgröe</t>
        </is>
      </c>
      <c r="S429">
        <f>HYPERLINK("https://klasma.github.io/Logging_0513/artfynd/A 37058-2025 artfynd.xlsx", "A 37058-2025")</f>
        <v/>
      </c>
      <c r="T429">
        <f>HYPERLINK("https://klasma.github.io/Logging_0513/kartor/A 37058-2025 karta.png", "A 37058-2025")</f>
        <v/>
      </c>
      <c r="V429">
        <f>HYPERLINK("https://klasma.github.io/Logging_0513/klagomål/A 37058-2025 FSC-klagomål.docx", "A 37058-2025")</f>
        <v/>
      </c>
      <c r="W429">
        <f>HYPERLINK("https://klasma.github.io/Logging_0513/klagomålsmail/A 37058-2025 FSC-klagomål mail.docx", "A 37058-2025")</f>
        <v/>
      </c>
      <c r="X429">
        <f>HYPERLINK("https://klasma.github.io/Logging_0513/tillsyn/A 37058-2025 tillsynsbegäran.docx", "A 37058-2025")</f>
        <v/>
      </c>
      <c r="Y429">
        <f>HYPERLINK("https://klasma.github.io/Logging_0513/tillsynsmail/A 37058-2025 tillsynsbegäran mail.docx", "A 37058-2025")</f>
        <v/>
      </c>
    </row>
    <row r="430" ht="15" customHeight="1">
      <c r="A430" t="inlineStr">
        <is>
          <t>A 54419-2024</t>
        </is>
      </c>
      <c r="B430" s="1" t="n">
        <v>45617.48454861111</v>
      </c>
      <c r="C430" s="1" t="n">
        <v>46093</v>
      </c>
      <c r="D430" t="inlineStr">
        <is>
          <t>ÖSTERGÖTLANDS LÄN</t>
        </is>
      </c>
      <c r="E430" t="inlineStr">
        <is>
          <t>ÖDESHÖG</t>
        </is>
      </c>
      <c r="F430" t="inlineStr">
        <is>
          <t>Allmännings- och besparingsskogar</t>
        </is>
      </c>
      <c r="G430" t="n">
        <v>22.7</v>
      </c>
      <c r="H430" t="n">
        <v>0</v>
      </c>
      <c r="I430" t="n">
        <v>0</v>
      </c>
      <c r="J430" t="n">
        <v>1</v>
      </c>
      <c r="K430" t="n">
        <v>0</v>
      </c>
      <c r="L430" t="n">
        <v>0</v>
      </c>
      <c r="M430" t="n">
        <v>0</v>
      </c>
      <c r="N430" t="n">
        <v>0</v>
      </c>
      <c r="O430" t="n">
        <v>1</v>
      </c>
      <c r="P430" t="n">
        <v>0</v>
      </c>
      <c r="Q430" t="n">
        <v>1</v>
      </c>
      <c r="R430" s="2" t="inlineStr">
        <is>
          <t>Svart taggsvamp agg.</t>
        </is>
      </c>
      <c r="S430">
        <f>HYPERLINK("https://klasma.github.io/Logging_0509/artfynd/A 54419-2024 artfynd.xlsx", "A 54419-2024")</f>
        <v/>
      </c>
      <c r="T430">
        <f>HYPERLINK("https://klasma.github.io/Logging_0509/kartor/A 54419-2024 karta.png", "A 54419-2024")</f>
        <v/>
      </c>
      <c r="V430">
        <f>HYPERLINK("https://klasma.github.io/Logging_0509/klagomål/A 54419-2024 FSC-klagomål.docx", "A 54419-2024")</f>
        <v/>
      </c>
      <c r="W430">
        <f>HYPERLINK("https://klasma.github.io/Logging_0509/klagomålsmail/A 54419-2024 FSC-klagomål mail.docx", "A 54419-2024")</f>
        <v/>
      </c>
      <c r="X430">
        <f>HYPERLINK("https://klasma.github.io/Logging_0509/tillsyn/A 54419-2024 tillsynsbegäran.docx", "A 54419-2024")</f>
        <v/>
      </c>
      <c r="Y430">
        <f>HYPERLINK("https://klasma.github.io/Logging_0509/tillsynsmail/A 54419-2024 tillsynsbegäran mail.docx", "A 54419-2024")</f>
        <v/>
      </c>
    </row>
    <row r="431" ht="15" customHeight="1">
      <c r="A431" t="inlineStr">
        <is>
          <t>A 17444-2025</t>
        </is>
      </c>
      <c r="B431" s="1" t="n">
        <v>45757.43452546297</v>
      </c>
      <c r="C431" s="1" t="n">
        <v>46093</v>
      </c>
      <c r="D431" t="inlineStr">
        <is>
          <t>ÖSTERGÖTLANDS LÄN</t>
        </is>
      </c>
      <c r="E431" t="inlineStr">
        <is>
          <t>LINKÖPING</t>
        </is>
      </c>
      <c r="G431" t="n">
        <v>1.3</v>
      </c>
      <c r="H431" t="n">
        <v>1</v>
      </c>
      <c r="I431" t="n">
        <v>0</v>
      </c>
      <c r="J431" t="n">
        <v>1</v>
      </c>
      <c r="K431" t="n">
        <v>0</v>
      </c>
      <c r="L431" t="n">
        <v>0</v>
      </c>
      <c r="M431" t="n">
        <v>0</v>
      </c>
      <c r="N431" t="n">
        <v>0</v>
      </c>
      <c r="O431" t="n">
        <v>1</v>
      </c>
      <c r="P431" t="n">
        <v>0</v>
      </c>
      <c r="Q431" t="n">
        <v>1</v>
      </c>
      <c r="R431" s="2" t="inlineStr">
        <is>
          <t>Dårgräsfjäril</t>
        </is>
      </c>
      <c r="S431">
        <f>HYPERLINK("https://klasma.github.io/Logging_0580/artfynd/A 17444-2025 artfynd.xlsx", "A 17444-2025")</f>
        <v/>
      </c>
      <c r="T431">
        <f>HYPERLINK("https://klasma.github.io/Logging_0580/kartor/A 17444-2025 karta.png", "A 17444-2025")</f>
        <v/>
      </c>
      <c r="V431">
        <f>HYPERLINK("https://klasma.github.io/Logging_0580/klagomål/A 17444-2025 FSC-klagomål.docx", "A 17444-2025")</f>
        <v/>
      </c>
      <c r="W431">
        <f>HYPERLINK("https://klasma.github.io/Logging_0580/klagomålsmail/A 17444-2025 FSC-klagomål mail.docx", "A 17444-2025")</f>
        <v/>
      </c>
      <c r="X431">
        <f>HYPERLINK("https://klasma.github.io/Logging_0580/tillsyn/A 17444-2025 tillsynsbegäran.docx", "A 17444-2025")</f>
        <v/>
      </c>
      <c r="Y431">
        <f>HYPERLINK("https://klasma.github.io/Logging_0580/tillsynsmail/A 17444-2025 tillsynsbegäran mail.docx", "A 17444-2025")</f>
        <v/>
      </c>
    </row>
    <row r="432" ht="15" customHeight="1">
      <c r="A432" t="inlineStr">
        <is>
          <t>A 53673-2024</t>
        </is>
      </c>
      <c r="B432" s="1" t="n">
        <v>45615</v>
      </c>
      <c r="C432" s="1" t="n">
        <v>46093</v>
      </c>
      <c r="D432" t="inlineStr">
        <is>
          <t>ÖSTERGÖTLANDS LÄN</t>
        </is>
      </c>
      <c r="E432" t="inlineStr">
        <is>
          <t>FINSPÅNG</t>
        </is>
      </c>
      <c r="F432" t="inlineStr">
        <is>
          <t>Holmen skog AB</t>
        </is>
      </c>
      <c r="G432" t="n">
        <v>2</v>
      </c>
      <c r="H432" t="n">
        <v>1</v>
      </c>
      <c r="I432" t="n">
        <v>0</v>
      </c>
      <c r="J432" t="n">
        <v>0</v>
      </c>
      <c r="K432" t="n">
        <v>1</v>
      </c>
      <c r="L432" t="n">
        <v>0</v>
      </c>
      <c r="M432" t="n">
        <v>0</v>
      </c>
      <c r="N432" t="n">
        <v>0</v>
      </c>
      <c r="O432" t="n">
        <v>1</v>
      </c>
      <c r="P432" t="n">
        <v>1</v>
      </c>
      <c r="Q432" t="n">
        <v>1</v>
      </c>
      <c r="R432" s="2" t="inlineStr">
        <is>
          <t>Knärot</t>
        </is>
      </c>
      <c r="S432">
        <f>HYPERLINK("https://klasma.github.io/Logging_0562/artfynd/A 53673-2024 artfynd.xlsx", "A 53673-2024")</f>
        <v/>
      </c>
      <c r="T432">
        <f>HYPERLINK("https://klasma.github.io/Logging_0562/kartor/A 53673-2024 karta.png", "A 53673-2024")</f>
        <v/>
      </c>
      <c r="U432">
        <f>HYPERLINK("https://klasma.github.io/Logging_0562/knärot/A 53673-2024 karta knärot.png", "A 53673-2024")</f>
        <v/>
      </c>
      <c r="V432">
        <f>HYPERLINK("https://klasma.github.io/Logging_0562/klagomål/A 53673-2024 FSC-klagomål.docx", "A 53673-2024")</f>
        <v/>
      </c>
      <c r="W432">
        <f>HYPERLINK("https://klasma.github.io/Logging_0562/klagomålsmail/A 53673-2024 FSC-klagomål mail.docx", "A 53673-2024")</f>
        <v/>
      </c>
      <c r="X432">
        <f>HYPERLINK("https://klasma.github.io/Logging_0562/tillsyn/A 53673-2024 tillsynsbegäran.docx", "A 53673-2024")</f>
        <v/>
      </c>
      <c r="Y432">
        <f>HYPERLINK("https://klasma.github.io/Logging_0562/tillsynsmail/A 53673-2024 tillsynsbegäran mail.docx", "A 53673-2024")</f>
        <v/>
      </c>
    </row>
    <row r="433" ht="15" customHeight="1">
      <c r="A433" t="inlineStr">
        <is>
          <t>A 52405-2025</t>
        </is>
      </c>
      <c r="B433" s="1" t="n">
        <v>45954.35556712963</v>
      </c>
      <c r="C433" s="1" t="n">
        <v>46093</v>
      </c>
      <c r="D433" t="inlineStr">
        <is>
          <t>ÖSTERGÖTLANDS LÄN</t>
        </is>
      </c>
      <c r="E433" t="inlineStr">
        <is>
          <t>YDRE</t>
        </is>
      </c>
      <c r="F433" t="inlineStr">
        <is>
          <t>Sveaskog</t>
        </is>
      </c>
      <c r="G433" t="n">
        <v>11.4</v>
      </c>
      <c r="H433" t="n">
        <v>0</v>
      </c>
      <c r="I433" t="n">
        <v>1</v>
      </c>
      <c r="J433" t="n">
        <v>0</v>
      </c>
      <c r="K433" t="n">
        <v>0</v>
      </c>
      <c r="L433" t="n">
        <v>0</v>
      </c>
      <c r="M433" t="n">
        <v>0</v>
      </c>
      <c r="N433" t="n">
        <v>0</v>
      </c>
      <c r="O433" t="n">
        <v>0</v>
      </c>
      <c r="P433" t="n">
        <v>0</v>
      </c>
      <c r="Q433" t="n">
        <v>1</v>
      </c>
      <c r="R433" s="2" t="inlineStr">
        <is>
          <t>Underviol</t>
        </is>
      </c>
      <c r="S433">
        <f>HYPERLINK("https://klasma.github.io/Logging_0512/artfynd/A 52405-2025 artfynd.xlsx", "A 52405-2025")</f>
        <v/>
      </c>
      <c r="T433">
        <f>HYPERLINK("https://klasma.github.io/Logging_0512/kartor/A 52405-2025 karta.png", "A 52405-2025")</f>
        <v/>
      </c>
      <c r="U433">
        <f>HYPERLINK("https://klasma.github.io/Logging_0512/knärot/A 52405-2025 karta knärot.png", "A 52405-2025")</f>
        <v/>
      </c>
      <c r="V433">
        <f>HYPERLINK("https://klasma.github.io/Logging_0512/klagomål/A 52405-2025 FSC-klagomål.docx", "A 52405-2025")</f>
        <v/>
      </c>
      <c r="W433">
        <f>HYPERLINK("https://klasma.github.io/Logging_0512/klagomålsmail/A 52405-2025 FSC-klagomål mail.docx", "A 52405-2025")</f>
        <v/>
      </c>
      <c r="X433">
        <f>HYPERLINK("https://klasma.github.io/Logging_0512/tillsyn/A 52405-2025 tillsynsbegäran.docx", "A 52405-2025")</f>
        <v/>
      </c>
      <c r="Y433">
        <f>HYPERLINK("https://klasma.github.io/Logging_0512/tillsynsmail/A 52405-2025 tillsynsbegäran mail.docx", "A 52405-2025")</f>
        <v/>
      </c>
    </row>
    <row r="434" ht="15" customHeight="1">
      <c r="A434" t="inlineStr">
        <is>
          <t>A 37748-2025</t>
        </is>
      </c>
      <c r="B434" s="1" t="n">
        <v>45880.66829861111</v>
      </c>
      <c r="C434" s="1" t="n">
        <v>46093</v>
      </c>
      <c r="D434" t="inlineStr">
        <is>
          <t>ÖSTERGÖTLANDS LÄN</t>
        </is>
      </c>
      <c r="E434" t="inlineStr">
        <is>
          <t>FINSPÅNG</t>
        </is>
      </c>
      <c r="F434" t="inlineStr">
        <is>
          <t>Holmen skog AB</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HYPERLINK("https://klasma.github.io/Logging_0562/artfynd/A 37748-2025 artfynd.xlsx", "A 37748-2025")</f>
        <v/>
      </c>
      <c r="T434">
        <f>HYPERLINK("https://klasma.github.io/Logging_0562/kartor/A 37748-2025 karta.png", "A 37748-2025")</f>
        <v/>
      </c>
      <c r="V434">
        <f>HYPERLINK("https://klasma.github.io/Logging_0562/klagomål/A 37748-2025 FSC-klagomål.docx", "A 37748-2025")</f>
        <v/>
      </c>
      <c r="W434">
        <f>HYPERLINK("https://klasma.github.io/Logging_0562/klagomålsmail/A 37748-2025 FSC-klagomål mail.docx", "A 37748-2025")</f>
        <v/>
      </c>
      <c r="X434">
        <f>HYPERLINK("https://klasma.github.io/Logging_0562/tillsyn/A 37748-2025 tillsynsbegäran.docx", "A 37748-2025")</f>
        <v/>
      </c>
      <c r="Y434">
        <f>HYPERLINK("https://klasma.github.io/Logging_0562/tillsynsmail/A 37748-2025 tillsynsbegäran mail.docx", "A 37748-2025")</f>
        <v/>
      </c>
    </row>
    <row r="435" ht="15" customHeight="1">
      <c r="A435" t="inlineStr">
        <is>
          <t>A 31659-2023</t>
        </is>
      </c>
      <c r="B435" s="1" t="n">
        <v>45117</v>
      </c>
      <c r="C435" s="1" t="n">
        <v>46093</v>
      </c>
      <c r="D435" t="inlineStr">
        <is>
          <t>ÖSTERGÖTLANDS LÄN</t>
        </is>
      </c>
      <c r="E435" t="inlineStr">
        <is>
          <t>NORRKÖPING</t>
        </is>
      </c>
      <c r="F435" t="inlineStr">
        <is>
          <t>Holmen skog AB</t>
        </is>
      </c>
      <c r="G435" t="n">
        <v>1.4</v>
      </c>
      <c r="H435" t="n">
        <v>1</v>
      </c>
      <c r="I435" t="n">
        <v>0</v>
      </c>
      <c r="J435" t="n">
        <v>0</v>
      </c>
      <c r="K435" t="n">
        <v>0</v>
      </c>
      <c r="L435" t="n">
        <v>0</v>
      </c>
      <c r="M435" t="n">
        <v>0</v>
      </c>
      <c r="N435" t="n">
        <v>0</v>
      </c>
      <c r="O435" t="n">
        <v>0</v>
      </c>
      <c r="P435" t="n">
        <v>0</v>
      </c>
      <c r="Q435" t="n">
        <v>1</v>
      </c>
      <c r="R435" s="2" t="inlineStr">
        <is>
          <t>Tjäder</t>
        </is>
      </c>
      <c r="S435">
        <f>HYPERLINK("https://klasma.github.io/Logging_0581/artfynd/A 31659-2023 artfynd.xlsx", "A 31659-2023")</f>
        <v/>
      </c>
      <c r="T435">
        <f>HYPERLINK("https://klasma.github.io/Logging_0581/kartor/A 31659-2023 karta.png", "A 31659-2023")</f>
        <v/>
      </c>
      <c r="V435">
        <f>HYPERLINK("https://klasma.github.io/Logging_0581/klagomål/A 31659-2023 FSC-klagomål.docx", "A 31659-2023")</f>
        <v/>
      </c>
      <c r="W435">
        <f>HYPERLINK("https://klasma.github.io/Logging_0581/klagomålsmail/A 31659-2023 FSC-klagomål mail.docx", "A 31659-2023")</f>
        <v/>
      </c>
      <c r="X435">
        <f>HYPERLINK("https://klasma.github.io/Logging_0581/tillsyn/A 31659-2023 tillsynsbegäran.docx", "A 31659-2023")</f>
        <v/>
      </c>
      <c r="Y435">
        <f>HYPERLINK("https://klasma.github.io/Logging_0581/tillsynsmail/A 31659-2023 tillsynsbegäran mail.docx", "A 31659-2023")</f>
        <v/>
      </c>
      <c r="Z435">
        <f>HYPERLINK("https://klasma.github.io/Logging_0581/fåglar/A 31659-2023 prioriterade fågelarter.docx", "A 31659-2023")</f>
        <v/>
      </c>
    </row>
    <row r="436" ht="15" customHeight="1">
      <c r="A436" t="inlineStr">
        <is>
          <t>A 52899-2025</t>
        </is>
      </c>
      <c r="B436" s="1" t="n">
        <v>45957.58908564815</v>
      </c>
      <c r="C436" s="1" t="n">
        <v>46093</v>
      </c>
      <c r="D436" t="inlineStr">
        <is>
          <t>ÖSTERGÖTLANDS LÄN</t>
        </is>
      </c>
      <c r="E436" t="inlineStr">
        <is>
          <t>KINDA</t>
        </is>
      </c>
      <c r="G436" t="n">
        <v>1.1</v>
      </c>
      <c r="H436" t="n">
        <v>0</v>
      </c>
      <c r="I436" t="n">
        <v>0</v>
      </c>
      <c r="J436" t="n">
        <v>0</v>
      </c>
      <c r="K436" t="n">
        <v>0</v>
      </c>
      <c r="L436" t="n">
        <v>1</v>
      </c>
      <c r="M436" t="n">
        <v>0</v>
      </c>
      <c r="N436" t="n">
        <v>0</v>
      </c>
      <c r="O436" t="n">
        <v>1</v>
      </c>
      <c r="P436" t="n">
        <v>1</v>
      </c>
      <c r="Q436" t="n">
        <v>1</v>
      </c>
      <c r="R436" s="2" t="inlineStr">
        <is>
          <t>Ask</t>
        </is>
      </c>
      <c r="S436">
        <f>HYPERLINK("https://klasma.github.io/Logging_0513/artfynd/A 52899-2025 artfynd.xlsx", "A 52899-2025")</f>
        <v/>
      </c>
      <c r="T436">
        <f>HYPERLINK("https://klasma.github.io/Logging_0513/kartor/A 52899-2025 karta.png", "A 52899-2025")</f>
        <v/>
      </c>
      <c r="V436">
        <f>HYPERLINK("https://klasma.github.io/Logging_0513/klagomål/A 52899-2025 FSC-klagomål.docx", "A 52899-2025")</f>
        <v/>
      </c>
      <c r="W436">
        <f>HYPERLINK("https://klasma.github.io/Logging_0513/klagomålsmail/A 52899-2025 FSC-klagomål mail.docx", "A 52899-2025")</f>
        <v/>
      </c>
      <c r="X436">
        <f>HYPERLINK("https://klasma.github.io/Logging_0513/tillsyn/A 52899-2025 tillsynsbegäran.docx", "A 52899-2025")</f>
        <v/>
      </c>
      <c r="Y436">
        <f>HYPERLINK("https://klasma.github.io/Logging_0513/tillsynsmail/A 52899-2025 tillsynsbegäran mail.docx", "A 52899-2025")</f>
        <v/>
      </c>
    </row>
    <row r="437" ht="15" customHeight="1">
      <c r="A437" t="inlineStr">
        <is>
          <t>A 4399-2025</t>
        </is>
      </c>
      <c r="B437" s="1" t="n">
        <v>45686</v>
      </c>
      <c r="C437" s="1" t="n">
        <v>46093</v>
      </c>
      <c r="D437" t="inlineStr">
        <is>
          <t>ÖSTERGÖTLANDS LÄN</t>
        </is>
      </c>
      <c r="E437" t="inlineStr">
        <is>
          <t>ÖDESHÖG</t>
        </is>
      </c>
      <c r="G437" t="n">
        <v>6.6</v>
      </c>
      <c r="H437" t="n">
        <v>0</v>
      </c>
      <c r="I437" t="n">
        <v>0</v>
      </c>
      <c r="J437" t="n">
        <v>1</v>
      </c>
      <c r="K437" t="n">
        <v>0</v>
      </c>
      <c r="L437" t="n">
        <v>0</v>
      </c>
      <c r="M437" t="n">
        <v>0</v>
      </c>
      <c r="N437" t="n">
        <v>0</v>
      </c>
      <c r="O437" t="n">
        <v>1</v>
      </c>
      <c r="P437" t="n">
        <v>0</v>
      </c>
      <c r="Q437" t="n">
        <v>1</v>
      </c>
      <c r="R437" s="2" t="inlineStr">
        <is>
          <t>Scharlakansvaxing</t>
        </is>
      </c>
      <c r="S437">
        <f>HYPERLINK("https://klasma.github.io/Logging_0509/artfynd/A 4399-2025 artfynd.xlsx", "A 4399-2025")</f>
        <v/>
      </c>
      <c r="T437">
        <f>HYPERLINK("https://klasma.github.io/Logging_0509/kartor/A 4399-2025 karta.png", "A 4399-2025")</f>
        <v/>
      </c>
      <c r="V437">
        <f>HYPERLINK("https://klasma.github.io/Logging_0509/klagomål/A 4399-2025 FSC-klagomål.docx", "A 4399-2025")</f>
        <v/>
      </c>
      <c r="W437">
        <f>HYPERLINK("https://klasma.github.io/Logging_0509/klagomålsmail/A 4399-2025 FSC-klagomål mail.docx", "A 4399-2025")</f>
        <v/>
      </c>
      <c r="X437">
        <f>HYPERLINK("https://klasma.github.io/Logging_0509/tillsyn/A 4399-2025 tillsynsbegäran.docx", "A 4399-2025")</f>
        <v/>
      </c>
      <c r="Y437">
        <f>HYPERLINK("https://klasma.github.io/Logging_0509/tillsynsmail/A 4399-2025 tillsynsbegäran mail.docx", "A 4399-2025")</f>
        <v/>
      </c>
    </row>
    <row r="438" ht="15" customHeight="1">
      <c r="A438" t="inlineStr">
        <is>
          <t>A 27863-2021</t>
        </is>
      </c>
      <c r="B438" s="1" t="n">
        <v>44354</v>
      </c>
      <c r="C438" s="1" t="n">
        <v>46093</v>
      </c>
      <c r="D438" t="inlineStr">
        <is>
          <t>ÖSTERGÖTLANDS LÄN</t>
        </is>
      </c>
      <c r="E438" t="inlineStr">
        <is>
          <t>NORRKÖPING</t>
        </is>
      </c>
      <c r="G438" t="n">
        <v>1</v>
      </c>
      <c r="H438" t="n">
        <v>0</v>
      </c>
      <c r="I438" t="n">
        <v>0</v>
      </c>
      <c r="J438" t="n">
        <v>0</v>
      </c>
      <c r="K438" t="n">
        <v>0</v>
      </c>
      <c r="L438" t="n">
        <v>1</v>
      </c>
      <c r="M438" t="n">
        <v>0</v>
      </c>
      <c r="N438" t="n">
        <v>0</v>
      </c>
      <c r="O438" t="n">
        <v>1</v>
      </c>
      <c r="P438" t="n">
        <v>1</v>
      </c>
      <c r="Q438" t="n">
        <v>1</v>
      </c>
      <c r="R438" s="2" t="inlineStr">
        <is>
          <t>Ask</t>
        </is>
      </c>
      <c r="S438">
        <f>HYPERLINK("https://klasma.github.io/Logging_0581/artfynd/A 27863-2021 artfynd.xlsx", "A 27863-2021")</f>
        <v/>
      </c>
      <c r="T438">
        <f>HYPERLINK("https://klasma.github.io/Logging_0581/kartor/A 27863-2021 karta.png", "A 27863-2021")</f>
        <v/>
      </c>
      <c r="V438">
        <f>HYPERLINK("https://klasma.github.io/Logging_0581/klagomål/A 27863-2021 FSC-klagomål.docx", "A 27863-2021")</f>
        <v/>
      </c>
      <c r="W438">
        <f>HYPERLINK("https://klasma.github.io/Logging_0581/klagomålsmail/A 27863-2021 FSC-klagomål mail.docx", "A 27863-2021")</f>
        <v/>
      </c>
      <c r="X438">
        <f>HYPERLINK("https://klasma.github.io/Logging_0581/tillsyn/A 27863-2021 tillsynsbegäran.docx", "A 27863-2021")</f>
        <v/>
      </c>
      <c r="Y438">
        <f>HYPERLINK("https://klasma.github.io/Logging_0581/tillsynsmail/A 27863-2021 tillsynsbegäran mail.docx", "A 27863-2021")</f>
        <v/>
      </c>
    </row>
    <row r="439" ht="15" customHeight="1">
      <c r="A439" t="inlineStr">
        <is>
          <t>A 54222-2025</t>
        </is>
      </c>
      <c r="B439" s="1" t="n">
        <v>45964.60429398148</v>
      </c>
      <c r="C439" s="1" t="n">
        <v>46093</v>
      </c>
      <c r="D439" t="inlineStr">
        <is>
          <t>ÖSTERGÖTLANDS LÄN</t>
        </is>
      </c>
      <c r="E439" t="inlineStr">
        <is>
          <t>NORRKÖPING</t>
        </is>
      </c>
      <c r="F439" t="inlineStr">
        <is>
          <t>Holmen skog AB</t>
        </is>
      </c>
      <c r="G439" t="n">
        <v>3.5</v>
      </c>
      <c r="H439" t="n">
        <v>0</v>
      </c>
      <c r="I439" t="n">
        <v>1</v>
      </c>
      <c r="J439" t="n">
        <v>0</v>
      </c>
      <c r="K439" t="n">
        <v>0</v>
      </c>
      <c r="L439" t="n">
        <v>0</v>
      </c>
      <c r="M439" t="n">
        <v>0</v>
      </c>
      <c r="N439" t="n">
        <v>0</v>
      </c>
      <c r="O439" t="n">
        <v>0</v>
      </c>
      <c r="P439" t="n">
        <v>0</v>
      </c>
      <c r="Q439" t="n">
        <v>1</v>
      </c>
      <c r="R439" s="2" t="inlineStr">
        <is>
          <t>Skinnlav</t>
        </is>
      </c>
      <c r="S439">
        <f>HYPERLINK("https://klasma.github.io/Logging_0581/artfynd/A 54222-2025 artfynd.xlsx", "A 54222-2025")</f>
        <v/>
      </c>
      <c r="T439">
        <f>HYPERLINK("https://klasma.github.io/Logging_0581/kartor/A 54222-2025 karta.png", "A 54222-2025")</f>
        <v/>
      </c>
      <c r="V439">
        <f>HYPERLINK("https://klasma.github.io/Logging_0581/klagomål/A 54222-2025 FSC-klagomål.docx", "A 54222-2025")</f>
        <v/>
      </c>
      <c r="W439">
        <f>HYPERLINK("https://klasma.github.io/Logging_0581/klagomålsmail/A 54222-2025 FSC-klagomål mail.docx", "A 54222-2025")</f>
        <v/>
      </c>
      <c r="X439">
        <f>HYPERLINK("https://klasma.github.io/Logging_0581/tillsyn/A 54222-2025 tillsynsbegäran.docx", "A 54222-2025")</f>
        <v/>
      </c>
      <c r="Y439">
        <f>HYPERLINK("https://klasma.github.io/Logging_0581/tillsynsmail/A 54222-2025 tillsynsbegäran mail.docx", "A 54222-2025")</f>
        <v/>
      </c>
    </row>
    <row r="440" ht="15" customHeight="1">
      <c r="A440" t="inlineStr">
        <is>
          <t>A 11544-2025</t>
        </is>
      </c>
      <c r="B440" s="1" t="n">
        <v>45727.34368055555</v>
      </c>
      <c r="C440" s="1" t="n">
        <v>46093</v>
      </c>
      <c r="D440" t="inlineStr">
        <is>
          <t>ÖSTERGÖTLANDS LÄN</t>
        </is>
      </c>
      <c r="E440" t="inlineStr">
        <is>
          <t>ÅTVIDABERG</t>
        </is>
      </c>
      <c r="G440" t="n">
        <v>4.8</v>
      </c>
      <c r="H440" t="n">
        <v>1</v>
      </c>
      <c r="I440" t="n">
        <v>0</v>
      </c>
      <c r="J440" t="n">
        <v>0</v>
      </c>
      <c r="K440" t="n">
        <v>0</v>
      </c>
      <c r="L440" t="n">
        <v>0</v>
      </c>
      <c r="M440" t="n">
        <v>0</v>
      </c>
      <c r="N440" t="n">
        <v>0</v>
      </c>
      <c r="O440" t="n">
        <v>0</v>
      </c>
      <c r="P440" t="n">
        <v>0</v>
      </c>
      <c r="Q440" t="n">
        <v>1</v>
      </c>
      <c r="R440" s="2" t="inlineStr">
        <is>
          <t>Revlummer</t>
        </is>
      </c>
      <c r="S440">
        <f>HYPERLINK("https://klasma.github.io/Logging_0561/artfynd/A 11544-2025 artfynd.xlsx", "A 11544-2025")</f>
        <v/>
      </c>
      <c r="T440">
        <f>HYPERLINK("https://klasma.github.io/Logging_0561/kartor/A 11544-2025 karta.png", "A 11544-2025")</f>
        <v/>
      </c>
      <c r="V440">
        <f>HYPERLINK("https://klasma.github.io/Logging_0561/klagomål/A 11544-2025 FSC-klagomål.docx", "A 11544-2025")</f>
        <v/>
      </c>
      <c r="W440">
        <f>HYPERLINK("https://klasma.github.io/Logging_0561/klagomålsmail/A 11544-2025 FSC-klagomål mail.docx", "A 11544-2025")</f>
        <v/>
      </c>
      <c r="X440">
        <f>HYPERLINK("https://klasma.github.io/Logging_0561/tillsyn/A 11544-2025 tillsynsbegäran.docx", "A 11544-2025")</f>
        <v/>
      </c>
      <c r="Y440">
        <f>HYPERLINK("https://klasma.github.io/Logging_0561/tillsynsmail/A 11544-2025 tillsynsbegäran mail.docx", "A 11544-2025")</f>
        <v/>
      </c>
    </row>
    <row r="441" ht="15" customHeight="1">
      <c r="A441" t="inlineStr">
        <is>
          <t>A 67789-2021</t>
        </is>
      </c>
      <c r="B441" s="1" t="n">
        <v>44525</v>
      </c>
      <c r="C441" s="1" t="n">
        <v>46093</v>
      </c>
      <c r="D441" t="inlineStr">
        <is>
          <t>ÖSTERGÖTLANDS LÄN</t>
        </is>
      </c>
      <c r="E441" t="inlineStr">
        <is>
          <t>KINDA</t>
        </is>
      </c>
      <c r="G441" t="n">
        <v>19.4</v>
      </c>
      <c r="H441" t="n">
        <v>1</v>
      </c>
      <c r="I441" t="n">
        <v>0</v>
      </c>
      <c r="J441" t="n">
        <v>1</v>
      </c>
      <c r="K441" t="n">
        <v>0</v>
      </c>
      <c r="L441" t="n">
        <v>0</v>
      </c>
      <c r="M441" t="n">
        <v>0</v>
      </c>
      <c r="N441" t="n">
        <v>0</v>
      </c>
      <c r="O441" t="n">
        <v>1</v>
      </c>
      <c r="P441" t="n">
        <v>0</v>
      </c>
      <c r="Q441" t="n">
        <v>1</v>
      </c>
      <c r="R441" s="2" t="inlineStr">
        <is>
          <t>Havsörn</t>
        </is>
      </c>
      <c r="S441">
        <f>HYPERLINK("https://klasma.github.io/Logging_0513/artfynd/A 67789-2021 artfynd.xlsx", "A 67789-2021")</f>
        <v/>
      </c>
      <c r="T441">
        <f>HYPERLINK("https://klasma.github.io/Logging_0513/kartor/A 67789-2021 karta.png", "A 67789-2021")</f>
        <v/>
      </c>
      <c r="V441">
        <f>HYPERLINK("https://klasma.github.io/Logging_0513/klagomål/A 67789-2021 FSC-klagomål.docx", "A 67789-2021")</f>
        <v/>
      </c>
      <c r="W441">
        <f>HYPERLINK("https://klasma.github.io/Logging_0513/klagomålsmail/A 67789-2021 FSC-klagomål mail.docx", "A 67789-2021")</f>
        <v/>
      </c>
      <c r="X441">
        <f>HYPERLINK("https://klasma.github.io/Logging_0513/tillsyn/A 67789-2021 tillsynsbegäran.docx", "A 67789-2021")</f>
        <v/>
      </c>
      <c r="Y441">
        <f>HYPERLINK("https://klasma.github.io/Logging_0513/tillsynsmail/A 67789-2021 tillsynsbegäran mail.docx", "A 67789-2021")</f>
        <v/>
      </c>
      <c r="Z441">
        <f>HYPERLINK("https://klasma.github.io/Logging_0513/fåglar/A 67789-2021 prioriterade fågelarter.docx", "A 67789-2021")</f>
        <v/>
      </c>
    </row>
    <row r="442" ht="15" customHeight="1">
      <c r="A442" t="inlineStr">
        <is>
          <t>A 52631-2025</t>
        </is>
      </c>
      <c r="B442" s="1" t="n">
        <v>45954.71739583334</v>
      </c>
      <c r="C442" s="1" t="n">
        <v>46093</v>
      </c>
      <c r="D442" t="inlineStr">
        <is>
          <t>ÖSTERGÖTLANDS LÄN</t>
        </is>
      </c>
      <c r="E442" t="inlineStr">
        <is>
          <t>KINDA</t>
        </is>
      </c>
      <c r="G442" t="n">
        <v>3.8</v>
      </c>
      <c r="H442" t="n">
        <v>0</v>
      </c>
      <c r="I442" t="n">
        <v>1</v>
      </c>
      <c r="J442" t="n">
        <v>0</v>
      </c>
      <c r="K442" t="n">
        <v>0</v>
      </c>
      <c r="L442" t="n">
        <v>0</v>
      </c>
      <c r="M442" t="n">
        <v>0</v>
      </c>
      <c r="N442" t="n">
        <v>0</v>
      </c>
      <c r="O442" t="n">
        <v>0</v>
      </c>
      <c r="P442" t="n">
        <v>0</v>
      </c>
      <c r="Q442" t="n">
        <v>1</v>
      </c>
      <c r="R442" s="2" t="inlineStr">
        <is>
          <t>Platt fjädermossa</t>
        </is>
      </c>
      <c r="S442">
        <f>HYPERLINK("https://klasma.github.io/Logging_0513/artfynd/A 52631-2025 artfynd.xlsx", "A 52631-2025")</f>
        <v/>
      </c>
      <c r="T442">
        <f>HYPERLINK("https://klasma.github.io/Logging_0513/kartor/A 52631-2025 karta.png", "A 52631-2025")</f>
        <v/>
      </c>
      <c r="V442">
        <f>HYPERLINK("https://klasma.github.io/Logging_0513/klagomål/A 52631-2025 FSC-klagomål.docx", "A 52631-2025")</f>
        <v/>
      </c>
      <c r="W442">
        <f>HYPERLINK("https://klasma.github.io/Logging_0513/klagomålsmail/A 52631-2025 FSC-klagomål mail.docx", "A 52631-2025")</f>
        <v/>
      </c>
      <c r="X442">
        <f>HYPERLINK("https://klasma.github.io/Logging_0513/tillsyn/A 52631-2025 tillsynsbegäran.docx", "A 52631-2025")</f>
        <v/>
      </c>
      <c r="Y442">
        <f>HYPERLINK("https://klasma.github.io/Logging_0513/tillsynsmail/A 52631-2025 tillsynsbegäran mail.docx", "A 52631-2025")</f>
        <v/>
      </c>
    </row>
    <row r="443" ht="15" customHeight="1">
      <c r="A443" t="inlineStr">
        <is>
          <t>A 54475-2025</t>
        </is>
      </c>
      <c r="B443" s="1" t="n">
        <v>45965.57670138889</v>
      </c>
      <c r="C443" s="1" t="n">
        <v>46093</v>
      </c>
      <c r="D443" t="inlineStr">
        <is>
          <t>ÖSTERGÖTLANDS LÄN</t>
        </is>
      </c>
      <c r="E443" t="inlineStr">
        <is>
          <t>KINDA</t>
        </is>
      </c>
      <c r="G443" t="n">
        <v>1.2</v>
      </c>
      <c r="H443" t="n">
        <v>0</v>
      </c>
      <c r="I443" t="n">
        <v>1</v>
      </c>
      <c r="J443" t="n">
        <v>0</v>
      </c>
      <c r="K443" t="n">
        <v>0</v>
      </c>
      <c r="L443" t="n">
        <v>0</v>
      </c>
      <c r="M443" t="n">
        <v>0</v>
      </c>
      <c r="N443" t="n">
        <v>0</v>
      </c>
      <c r="O443" t="n">
        <v>0</v>
      </c>
      <c r="P443" t="n">
        <v>0</v>
      </c>
      <c r="Q443" t="n">
        <v>1</v>
      </c>
      <c r="R443" s="2" t="inlineStr">
        <is>
          <t>Tibast</t>
        </is>
      </c>
      <c r="S443">
        <f>HYPERLINK("https://klasma.github.io/Logging_0513/artfynd/A 54475-2025 artfynd.xlsx", "A 54475-2025")</f>
        <v/>
      </c>
      <c r="T443">
        <f>HYPERLINK("https://klasma.github.io/Logging_0513/kartor/A 54475-2025 karta.png", "A 54475-2025")</f>
        <v/>
      </c>
      <c r="V443">
        <f>HYPERLINK("https://klasma.github.io/Logging_0513/klagomål/A 54475-2025 FSC-klagomål.docx", "A 54475-2025")</f>
        <v/>
      </c>
      <c r="W443">
        <f>HYPERLINK("https://klasma.github.io/Logging_0513/klagomålsmail/A 54475-2025 FSC-klagomål mail.docx", "A 54475-2025")</f>
        <v/>
      </c>
      <c r="X443">
        <f>HYPERLINK("https://klasma.github.io/Logging_0513/tillsyn/A 54475-2025 tillsynsbegäran.docx", "A 54475-2025")</f>
        <v/>
      </c>
      <c r="Y443">
        <f>HYPERLINK("https://klasma.github.io/Logging_0513/tillsynsmail/A 54475-2025 tillsynsbegäran mail.docx", "A 54475-2025")</f>
        <v/>
      </c>
    </row>
    <row r="444" ht="15" customHeight="1">
      <c r="A444" t="inlineStr">
        <is>
          <t>A 54409-2025</t>
        </is>
      </c>
      <c r="B444" s="1" t="n">
        <v>45965.45900462963</v>
      </c>
      <c r="C444" s="1" t="n">
        <v>46093</v>
      </c>
      <c r="D444" t="inlineStr">
        <is>
          <t>ÖSTERGÖTLANDS LÄN</t>
        </is>
      </c>
      <c r="E444" t="inlineStr">
        <is>
          <t>MJÖLBY</t>
        </is>
      </c>
      <c r="G444" t="n">
        <v>0.9</v>
      </c>
      <c r="H444" t="n">
        <v>1</v>
      </c>
      <c r="I444" t="n">
        <v>0</v>
      </c>
      <c r="J444" t="n">
        <v>0</v>
      </c>
      <c r="K444" t="n">
        <v>0</v>
      </c>
      <c r="L444" t="n">
        <v>0</v>
      </c>
      <c r="M444" t="n">
        <v>0</v>
      </c>
      <c r="N444" t="n">
        <v>0</v>
      </c>
      <c r="O444" t="n">
        <v>0</v>
      </c>
      <c r="P444" t="n">
        <v>0</v>
      </c>
      <c r="Q444" t="n">
        <v>1</v>
      </c>
      <c r="R444" s="2" t="inlineStr">
        <is>
          <t>Nattviol</t>
        </is>
      </c>
      <c r="S444">
        <f>HYPERLINK("https://klasma.github.io/Logging_0586/artfynd/A 54409-2025 artfynd.xlsx", "A 54409-2025")</f>
        <v/>
      </c>
      <c r="T444">
        <f>HYPERLINK("https://klasma.github.io/Logging_0586/kartor/A 54409-2025 karta.png", "A 54409-2025")</f>
        <v/>
      </c>
      <c r="V444">
        <f>HYPERLINK("https://klasma.github.io/Logging_0586/klagomål/A 54409-2025 FSC-klagomål.docx", "A 54409-2025")</f>
        <v/>
      </c>
      <c r="W444">
        <f>HYPERLINK("https://klasma.github.io/Logging_0586/klagomålsmail/A 54409-2025 FSC-klagomål mail.docx", "A 54409-2025")</f>
        <v/>
      </c>
      <c r="X444">
        <f>HYPERLINK("https://klasma.github.io/Logging_0586/tillsyn/A 54409-2025 tillsynsbegäran.docx", "A 54409-2025")</f>
        <v/>
      </c>
      <c r="Y444">
        <f>HYPERLINK("https://klasma.github.io/Logging_0586/tillsynsmail/A 54409-2025 tillsynsbegäran mail.docx", "A 54409-2025")</f>
        <v/>
      </c>
    </row>
    <row r="445" ht="15" customHeight="1">
      <c r="A445" t="inlineStr">
        <is>
          <t>A 7316-2025</t>
        </is>
      </c>
      <c r="B445" s="1" t="n">
        <v>45702.76395833334</v>
      </c>
      <c r="C445" s="1" t="n">
        <v>46093</v>
      </c>
      <c r="D445" t="inlineStr">
        <is>
          <t>ÖSTERGÖTLANDS LÄN</t>
        </is>
      </c>
      <c r="E445" t="inlineStr">
        <is>
          <t>NORRKÖPING</t>
        </is>
      </c>
      <c r="G445" t="n">
        <v>1.6</v>
      </c>
      <c r="H445" t="n">
        <v>1</v>
      </c>
      <c r="I445" t="n">
        <v>0</v>
      </c>
      <c r="J445" t="n">
        <v>0</v>
      </c>
      <c r="K445" t="n">
        <v>1</v>
      </c>
      <c r="L445" t="n">
        <v>0</v>
      </c>
      <c r="M445" t="n">
        <v>0</v>
      </c>
      <c r="N445" t="n">
        <v>0</v>
      </c>
      <c r="O445" t="n">
        <v>1</v>
      </c>
      <c r="P445" t="n">
        <v>1</v>
      </c>
      <c r="Q445" t="n">
        <v>1</v>
      </c>
      <c r="R445" s="2" t="inlineStr">
        <is>
          <t>Vinterhämpling</t>
        </is>
      </c>
      <c r="S445">
        <f>HYPERLINK("https://klasma.github.io/Logging_0581/artfynd/A 7316-2025 artfynd.xlsx", "A 7316-2025")</f>
        <v/>
      </c>
      <c r="T445">
        <f>HYPERLINK("https://klasma.github.io/Logging_0581/kartor/A 7316-2025 karta.png", "A 7316-2025")</f>
        <v/>
      </c>
      <c r="V445">
        <f>HYPERLINK("https://klasma.github.io/Logging_0581/klagomål/A 7316-2025 FSC-klagomål.docx", "A 7316-2025")</f>
        <v/>
      </c>
      <c r="W445">
        <f>HYPERLINK("https://klasma.github.io/Logging_0581/klagomålsmail/A 7316-2025 FSC-klagomål mail.docx", "A 7316-2025")</f>
        <v/>
      </c>
      <c r="X445">
        <f>HYPERLINK("https://klasma.github.io/Logging_0581/tillsyn/A 7316-2025 tillsynsbegäran.docx", "A 7316-2025")</f>
        <v/>
      </c>
      <c r="Y445">
        <f>HYPERLINK("https://klasma.github.io/Logging_0581/tillsynsmail/A 7316-2025 tillsynsbegäran mail.docx", "A 7316-2025")</f>
        <v/>
      </c>
    </row>
    <row r="446" ht="15" customHeight="1">
      <c r="A446" t="inlineStr">
        <is>
          <t>A 55209-2025</t>
        </is>
      </c>
      <c r="B446" s="1" t="n">
        <v>45968.57920138889</v>
      </c>
      <c r="C446" s="1" t="n">
        <v>46093</v>
      </c>
      <c r="D446" t="inlineStr">
        <is>
          <t>ÖSTERGÖTLANDS LÄN</t>
        </is>
      </c>
      <c r="E446" t="inlineStr">
        <is>
          <t>NORRKÖPING</t>
        </is>
      </c>
      <c r="F446" t="inlineStr">
        <is>
          <t>Holmen skog AB</t>
        </is>
      </c>
      <c r="G446" t="n">
        <v>0.8</v>
      </c>
      <c r="H446" t="n">
        <v>0</v>
      </c>
      <c r="I446" t="n">
        <v>1</v>
      </c>
      <c r="J446" t="n">
        <v>0</v>
      </c>
      <c r="K446" t="n">
        <v>0</v>
      </c>
      <c r="L446" t="n">
        <v>0</v>
      </c>
      <c r="M446" t="n">
        <v>0</v>
      </c>
      <c r="N446" t="n">
        <v>0</v>
      </c>
      <c r="O446" t="n">
        <v>0</v>
      </c>
      <c r="P446" t="n">
        <v>0</v>
      </c>
      <c r="Q446" t="n">
        <v>1</v>
      </c>
      <c r="R446" s="2" t="inlineStr">
        <is>
          <t>Dropptaggsvamp</t>
        </is>
      </c>
      <c r="S446">
        <f>HYPERLINK("https://klasma.github.io/Logging_0581/artfynd/A 55209-2025 artfynd.xlsx", "A 55209-2025")</f>
        <v/>
      </c>
      <c r="T446">
        <f>HYPERLINK("https://klasma.github.io/Logging_0581/kartor/A 55209-2025 karta.png", "A 55209-2025")</f>
        <v/>
      </c>
      <c r="V446">
        <f>HYPERLINK("https://klasma.github.io/Logging_0581/klagomål/A 55209-2025 FSC-klagomål.docx", "A 55209-2025")</f>
        <v/>
      </c>
      <c r="W446">
        <f>HYPERLINK("https://klasma.github.io/Logging_0581/klagomålsmail/A 55209-2025 FSC-klagomål mail.docx", "A 55209-2025")</f>
        <v/>
      </c>
      <c r="X446">
        <f>HYPERLINK("https://klasma.github.io/Logging_0581/tillsyn/A 55209-2025 tillsynsbegäran.docx", "A 55209-2025")</f>
        <v/>
      </c>
      <c r="Y446">
        <f>HYPERLINK("https://klasma.github.io/Logging_0581/tillsynsmail/A 55209-2025 tillsynsbegäran mail.docx", "A 55209-2025")</f>
        <v/>
      </c>
    </row>
    <row r="447" ht="15" customHeight="1">
      <c r="A447" t="inlineStr">
        <is>
          <t>A 30955-2023</t>
        </is>
      </c>
      <c r="B447" s="1" t="n">
        <v>45103</v>
      </c>
      <c r="C447" s="1" t="n">
        <v>46093</v>
      </c>
      <c r="D447" t="inlineStr">
        <is>
          <t>ÖSTERGÖTLANDS LÄN</t>
        </is>
      </c>
      <c r="E447" t="inlineStr">
        <is>
          <t>MOTALA</t>
        </is>
      </c>
      <c r="F447" t="inlineStr">
        <is>
          <t>Övriga statliga verk och myndigheter</t>
        </is>
      </c>
      <c r="G447" t="n">
        <v>7.5</v>
      </c>
      <c r="H447" t="n">
        <v>1</v>
      </c>
      <c r="I447" t="n">
        <v>0</v>
      </c>
      <c r="J447" t="n">
        <v>0</v>
      </c>
      <c r="K447" t="n">
        <v>0</v>
      </c>
      <c r="L447" t="n">
        <v>0</v>
      </c>
      <c r="M447" t="n">
        <v>0</v>
      </c>
      <c r="N447" t="n">
        <v>0</v>
      </c>
      <c r="O447" t="n">
        <v>0</v>
      </c>
      <c r="P447" t="n">
        <v>0</v>
      </c>
      <c r="Q447" t="n">
        <v>1</v>
      </c>
      <c r="R447" s="2" t="inlineStr">
        <is>
          <t>Tjäder</t>
        </is>
      </c>
      <c r="S447">
        <f>HYPERLINK("https://klasma.github.io/Logging_0583/artfynd/A 30955-2023 artfynd.xlsx", "A 30955-2023")</f>
        <v/>
      </c>
      <c r="T447">
        <f>HYPERLINK("https://klasma.github.io/Logging_0583/kartor/A 30955-2023 karta.png", "A 30955-2023")</f>
        <v/>
      </c>
      <c r="V447">
        <f>HYPERLINK("https://klasma.github.io/Logging_0583/klagomål/A 30955-2023 FSC-klagomål.docx", "A 30955-2023")</f>
        <v/>
      </c>
      <c r="W447">
        <f>HYPERLINK("https://klasma.github.io/Logging_0583/klagomålsmail/A 30955-2023 FSC-klagomål mail.docx", "A 30955-2023")</f>
        <v/>
      </c>
      <c r="X447">
        <f>HYPERLINK("https://klasma.github.io/Logging_0583/tillsyn/A 30955-2023 tillsynsbegäran.docx", "A 30955-2023")</f>
        <v/>
      </c>
      <c r="Y447">
        <f>HYPERLINK("https://klasma.github.io/Logging_0583/tillsynsmail/A 30955-2023 tillsynsbegäran mail.docx", "A 30955-2023")</f>
        <v/>
      </c>
      <c r="Z447">
        <f>HYPERLINK("https://klasma.github.io/Logging_0583/fåglar/A 30955-2023 prioriterade fågelarter.docx", "A 30955-2023")</f>
        <v/>
      </c>
    </row>
    <row r="448" ht="15" customHeight="1">
      <c r="A448" t="inlineStr">
        <is>
          <t>A 41369-2023</t>
        </is>
      </c>
      <c r="B448" s="1" t="n">
        <v>45174</v>
      </c>
      <c r="C448" s="1" t="n">
        <v>46093</v>
      </c>
      <c r="D448" t="inlineStr">
        <is>
          <t>ÖSTERGÖTLANDS LÄN</t>
        </is>
      </c>
      <c r="E448" t="inlineStr">
        <is>
          <t>NORRKÖPING</t>
        </is>
      </c>
      <c r="G448" t="n">
        <v>2</v>
      </c>
      <c r="H448" t="n">
        <v>0</v>
      </c>
      <c r="I448" t="n">
        <v>0</v>
      </c>
      <c r="J448" t="n">
        <v>1</v>
      </c>
      <c r="K448" t="n">
        <v>0</v>
      </c>
      <c r="L448" t="n">
        <v>0</v>
      </c>
      <c r="M448" t="n">
        <v>0</v>
      </c>
      <c r="N448" t="n">
        <v>0</v>
      </c>
      <c r="O448" t="n">
        <v>1</v>
      </c>
      <c r="P448" t="n">
        <v>0</v>
      </c>
      <c r="Q448" t="n">
        <v>1</v>
      </c>
      <c r="R448" s="2" t="inlineStr">
        <is>
          <t>Tallticka</t>
        </is>
      </c>
      <c r="S448">
        <f>HYPERLINK("https://klasma.github.io/Logging_0581/artfynd/A 41369-2023 artfynd.xlsx", "A 41369-2023")</f>
        <v/>
      </c>
      <c r="T448">
        <f>HYPERLINK("https://klasma.github.io/Logging_0581/kartor/A 41369-2023 karta.png", "A 41369-2023")</f>
        <v/>
      </c>
      <c r="V448">
        <f>HYPERLINK("https://klasma.github.io/Logging_0581/klagomål/A 41369-2023 FSC-klagomål.docx", "A 41369-2023")</f>
        <v/>
      </c>
      <c r="W448">
        <f>HYPERLINK("https://klasma.github.io/Logging_0581/klagomålsmail/A 41369-2023 FSC-klagomål mail.docx", "A 41369-2023")</f>
        <v/>
      </c>
      <c r="X448">
        <f>HYPERLINK("https://klasma.github.io/Logging_0581/tillsyn/A 41369-2023 tillsynsbegäran.docx", "A 41369-2023")</f>
        <v/>
      </c>
      <c r="Y448">
        <f>HYPERLINK("https://klasma.github.io/Logging_0581/tillsynsmail/A 41369-2023 tillsynsbegäran mail.docx", "A 41369-2023")</f>
        <v/>
      </c>
    </row>
    <row r="449" ht="15" customHeight="1">
      <c r="A449" t="inlineStr">
        <is>
          <t>A 39488-2021</t>
        </is>
      </c>
      <c r="B449" s="1" t="n">
        <v>44414</v>
      </c>
      <c r="C449" s="1" t="n">
        <v>46093</v>
      </c>
      <c r="D449" t="inlineStr">
        <is>
          <t>ÖSTERGÖTLANDS LÄN</t>
        </is>
      </c>
      <c r="E449" t="inlineStr">
        <is>
          <t>ÅTVIDABERG</t>
        </is>
      </c>
      <c r="G449" t="n">
        <v>0.8</v>
      </c>
      <c r="H449" t="n">
        <v>0</v>
      </c>
      <c r="I449" t="n">
        <v>0</v>
      </c>
      <c r="J449" t="n">
        <v>1</v>
      </c>
      <c r="K449" t="n">
        <v>0</v>
      </c>
      <c r="L449" t="n">
        <v>0</v>
      </c>
      <c r="M449" t="n">
        <v>0</v>
      </c>
      <c r="N449" t="n">
        <v>0</v>
      </c>
      <c r="O449" t="n">
        <v>1</v>
      </c>
      <c r="P449" t="n">
        <v>0</v>
      </c>
      <c r="Q449" t="n">
        <v>1</v>
      </c>
      <c r="R449" s="2" t="inlineStr">
        <is>
          <t>Ekticka</t>
        </is>
      </c>
      <c r="S449">
        <f>HYPERLINK("https://klasma.github.io/Logging_0561/artfynd/A 39488-2021 artfynd.xlsx", "A 39488-2021")</f>
        <v/>
      </c>
      <c r="T449">
        <f>HYPERLINK("https://klasma.github.io/Logging_0561/kartor/A 39488-2021 karta.png", "A 39488-2021")</f>
        <v/>
      </c>
      <c r="V449">
        <f>HYPERLINK("https://klasma.github.io/Logging_0561/klagomål/A 39488-2021 FSC-klagomål.docx", "A 39488-2021")</f>
        <v/>
      </c>
      <c r="W449">
        <f>HYPERLINK("https://klasma.github.io/Logging_0561/klagomålsmail/A 39488-2021 FSC-klagomål mail.docx", "A 39488-2021")</f>
        <v/>
      </c>
      <c r="X449">
        <f>HYPERLINK("https://klasma.github.io/Logging_0561/tillsyn/A 39488-2021 tillsynsbegäran.docx", "A 39488-2021")</f>
        <v/>
      </c>
      <c r="Y449">
        <f>HYPERLINK("https://klasma.github.io/Logging_0561/tillsynsmail/A 39488-2021 tillsynsbegäran mail.docx", "A 39488-2021")</f>
        <v/>
      </c>
    </row>
    <row r="450" ht="15" customHeight="1">
      <c r="A450" t="inlineStr">
        <is>
          <t>A 20377-2023</t>
        </is>
      </c>
      <c r="B450" s="1" t="n">
        <v>45056</v>
      </c>
      <c r="C450" s="1" t="n">
        <v>46093</v>
      </c>
      <c r="D450" t="inlineStr">
        <is>
          <t>ÖSTERGÖTLANDS LÄN</t>
        </is>
      </c>
      <c r="E450" t="inlineStr">
        <is>
          <t>NORRKÖPING</t>
        </is>
      </c>
      <c r="G450" t="n">
        <v>0.5</v>
      </c>
      <c r="H450" t="n">
        <v>0</v>
      </c>
      <c r="I450" t="n">
        <v>0</v>
      </c>
      <c r="J450" t="n">
        <v>1</v>
      </c>
      <c r="K450" t="n">
        <v>0</v>
      </c>
      <c r="L450" t="n">
        <v>0</v>
      </c>
      <c r="M450" t="n">
        <v>0</v>
      </c>
      <c r="N450" t="n">
        <v>0</v>
      </c>
      <c r="O450" t="n">
        <v>1</v>
      </c>
      <c r="P450" t="n">
        <v>0</v>
      </c>
      <c r="Q450" t="n">
        <v>1</v>
      </c>
      <c r="R450" s="2" t="inlineStr">
        <is>
          <t>Tallticka</t>
        </is>
      </c>
      <c r="S450">
        <f>HYPERLINK("https://klasma.github.io/Logging_0581/artfynd/A 20377-2023 artfynd.xlsx", "A 20377-2023")</f>
        <v/>
      </c>
      <c r="T450">
        <f>HYPERLINK("https://klasma.github.io/Logging_0581/kartor/A 20377-2023 karta.png", "A 20377-2023")</f>
        <v/>
      </c>
      <c r="V450">
        <f>HYPERLINK("https://klasma.github.io/Logging_0581/klagomål/A 20377-2023 FSC-klagomål.docx", "A 20377-2023")</f>
        <v/>
      </c>
      <c r="W450">
        <f>HYPERLINK("https://klasma.github.io/Logging_0581/klagomålsmail/A 20377-2023 FSC-klagomål mail.docx", "A 20377-2023")</f>
        <v/>
      </c>
      <c r="X450">
        <f>HYPERLINK("https://klasma.github.io/Logging_0581/tillsyn/A 20377-2023 tillsynsbegäran.docx", "A 20377-2023")</f>
        <v/>
      </c>
      <c r="Y450">
        <f>HYPERLINK("https://klasma.github.io/Logging_0581/tillsynsmail/A 20377-2023 tillsynsbegäran mail.docx", "A 20377-2023")</f>
        <v/>
      </c>
    </row>
    <row r="451" ht="15" customHeight="1">
      <c r="A451" t="inlineStr">
        <is>
          <t>A 40309-2024</t>
        </is>
      </c>
      <c r="B451" s="1" t="n">
        <v>45554.724375</v>
      </c>
      <c r="C451" s="1" t="n">
        <v>46093</v>
      </c>
      <c r="D451" t="inlineStr">
        <is>
          <t>ÖSTERGÖTLANDS LÄN</t>
        </is>
      </c>
      <c r="E451" t="inlineStr">
        <is>
          <t>LINKÖPING</t>
        </is>
      </c>
      <c r="F451" t="inlineStr">
        <is>
          <t>Allmännings- och besparingsskogar</t>
        </is>
      </c>
      <c r="G451" t="n">
        <v>6</v>
      </c>
      <c r="H451" t="n">
        <v>0</v>
      </c>
      <c r="I451" t="n">
        <v>0</v>
      </c>
      <c r="J451" t="n">
        <v>1</v>
      </c>
      <c r="K451" t="n">
        <v>0</v>
      </c>
      <c r="L451" t="n">
        <v>0</v>
      </c>
      <c r="M451" t="n">
        <v>0</v>
      </c>
      <c r="N451" t="n">
        <v>0</v>
      </c>
      <c r="O451" t="n">
        <v>1</v>
      </c>
      <c r="P451" t="n">
        <v>0</v>
      </c>
      <c r="Q451" t="n">
        <v>1</v>
      </c>
      <c r="R451" s="2" t="inlineStr">
        <is>
          <t>Garnlav</t>
        </is>
      </c>
      <c r="S451">
        <f>HYPERLINK("https://klasma.github.io/Logging_0580/artfynd/A 40309-2024 artfynd.xlsx", "A 40309-2024")</f>
        <v/>
      </c>
      <c r="T451">
        <f>HYPERLINK("https://klasma.github.io/Logging_0580/kartor/A 40309-2024 karta.png", "A 40309-2024")</f>
        <v/>
      </c>
      <c r="V451">
        <f>HYPERLINK("https://klasma.github.io/Logging_0580/klagomål/A 40309-2024 FSC-klagomål.docx", "A 40309-2024")</f>
        <v/>
      </c>
      <c r="W451">
        <f>HYPERLINK("https://klasma.github.io/Logging_0580/klagomålsmail/A 40309-2024 FSC-klagomål mail.docx", "A 40309-2024")</f>
        <v/>
      </c>
      <c r="X451">
        <f>HYPERLINK("https://klasma.github.io/Logging_0580/tillsyn/A 40309-2024 tillsynsbegäran.docx", "A 40309-2024")</f>
        <v/>
      </c>
      <c r="Y451">
        <f>HYPERLINK("https://klasma.github.io/Logging_0580/tillsynsmail/A 40309-2024 tillsynsbegäran mail.docx", "A 40309-2024")</f>
        <v/>
      </c>
    </row>
    <row r="452" ht="15" customHeight="1">
      <c r="A452" t="inlineStr">
        <is>
          <t>A 10020-2025</t>
        </is>
      </c>
      <c r="B452" s="1" t="n">
        <v>45719.48104166667</v>
      </c>
      <c r="C452" s="1" t="n">
        <v>46093</v>
      </c>
      <c r="D452" t="inlineStr">
        <is>
          <t>ÖSTERGÖTLANDS LÄN</t>
        </is>
      </c>
      <c r="E452" t="inlineStr">
        <is>
          <t>KINDA</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HYPERLINK("https://klasma.github.io/Logging_0513/artfynd/A 10020-2025 artfynd.xlsx", "A 10020-2025")</f>
        <v/>
      </c>
      <c r="T452">
        <f>HYPERLINK("https://klasma.github.io/Logging_0513/kartor/A 10020-2025 karta.png", "A 10020-2025")</f>
        <v/>
      </c>
      <c r="V452">
        <f>HYPERLINK("https://klasma.github.io/Logging_0513/klagomål/A 10020-2025 FSC-klagomål.docx", "A 10020-2025")</f>
        <v/>
      </c>
      <c r="W452">
        <f>HYPERLINK("https://klasma.github.io/Logging_0513/klagomålsmail/A 10020-2025 FSC-klagomål mail.docx", "A 10020-2025")</f>
        <v/>
      </c>
      <c r="X452">
        <f>HYPERLINK("https://klasma.github.io/Logging_0513/tillsyn/A 10020-2025 tillsynsbegäran.docx", "A 10020-2025")</f>
        <v/>
      </c>
      <c r="Y452">
        <f>HYPERLINK("https://klasma.github.io/Logging_0513/tillsynsmail/A 10020-2025 tillsynsbegäran mail.docx", "A 10020-2025")</f>
        <v/>
      </c>
    </row>
    <row r="453" ht="15" customHeight="1">
      <c r="A453" t="inlineStr">
        <is>
          <t>A 56112-2025</t>
        </is>
      </c>
      <c r="B453" s="1" t="n">
        <v>45973.73625</v>
      </c>
      <c r="C453" s="1" t="n">
        <v>46093</v>
      </c>
      <c r="D453" t="inlineStr">
        <is>
          <t>ÖSTERGÖTLANDS LÄN</t>
        </is>
      </c>
      <c r="E453" t="inlineStr">
        <is>
          <t>LINKÖPING</t>
        </is>
      </c>
      <c r="G453" t="n">
        <v>0.6</v>
      </c>
      <c r="H453" t="n">
        <v>0</v>
      </c>
      <c r="I453" t="n">
        <v>0</v>
      </c>
      <c r="J453" t="n">
        <v>1</v>
      </c>
      <c r="K453" t="n">
        <v>0</v>
      </c>
      <c r="L453" t="n">
        <v>0</v>
      </c>
      <c r="M453" t="n">
        <v>0</v>
      </c>
      <c r="N453" t="n">
        <v>0</v>
      </c>
      <c r="O453" t="n">
        <v>1</v>
      </c>
      <c r="P453" t="n">
        <v>0</v>
      </c>
      <c r="Q453" t="n">
        <v>1</v>
      </c>
      <c r="R453" s="2" t="inlineStr">
        <is>
          <t>Solvända</t>
        </is>
      </c>
      <c r="S453">
        <f>HYPERLINK("https://klasma.github.io/Logging_0580/artfynd/A 56112-2025 artfynd.xlsx", "A 56112-2025")</f>
        <v/>
      </c>
      <c r="T453">
        <f>HYPERLINK("https://klasma.github.io/Logging_0580/kartor/A 56112-2025 karta.png", "A 56112-2025")</f>
        <v/>
      </c>
      <c r="V453">
        <f>HYPERLINK("https://klasma.github.io/Logging_0580/klagomål/A 56112-2025 FSC-klagomål.docx", "A 56112-2025")</f>
        <v/>
      </c>
      <c r="W453">
        <f>HYPERLINK("https://klasma.github.io/Logging_0580/klagomålsmail/A 56112-2025 FSC-klagomål mail.docx", "A 56112-2025")</f>
        <v/>
      </c>
      <c r="X453">
        <f>HYPERLINK("https://klasma.github.io/Logging_0580/tillsyn/A 56112-2025 tillsynsbegäran.docx", "A 56112-2025")</f>
        <v/>
      </c>
      <c r="Y453">
        <f>HYPERLINK("https://klasma.github.io/Logging_0580/tillsynsmail/A 56112-2025 tillsynsbegäran mail.docx", "A 56112-2025")</f>
        <v/>
      </c>
    </row>
    <row r="454" ht="15" customHeight="1">
      <c r="A454" t="inlineStr">
        <is>
          <t>A 18500-2023</t>
        </is>
      </c>
      <c r="B454" s="1" t="n">
        <v>45042</v>
      </c>
      <c r="C454" s="1" t="n">
        <v>46093</v>
      </c>
      <c r="D454" t="inlineStr">
        <is>
          <t>ÖSTERGÖTLANDS LÄN</t>
        </is>
      </c>
      <c r="E454" t="inlineStr">
        <is>
          <t>NORRKÖPING</t>
        </is>
      </c>
      <c r="F454" t="inlineStr">
        <is>
          <t>Holmen skog AB</t>
        </is>
      </c>
      <c r="G454" t="n">
        <v>2.1</v>
      </c>
      <c r="H454" t="n">
        <v>0</v>
      </c>
      <c r="I454" t="n">
        <v>0</v>
      </c>
      <c r="J454" t="n">
        <v>1</v>
      </c>
      <c r="K454" t="n">
        <v>0</v>
      </c>
      <c r="L454" t="n">
        <v>0</v>
      </c>
      <c r="M454" t="n">
        <v>0</v>
      </c>
      <c r="N454" t="n">
        <v>0</v>
      </c>
      <c r="O454" t="n">
        <v>1</v>
      </c>
      <c r="P454" t="n">
        <v>0</v>
      </c>
      <c r="Q454" t="n">
        <v>1</v>
      </c>
      <c r="R454" s="2" t="inlineStr">
        <is>
          <t>Garnlav</t>
        </is>
      </c>
      <c r="S454">
        <f>HYPERLINK("https://klasma.github.io/Logging_0581/artfynd/A 18500-2023 artfynd.xlsx", "A 18500-2023")</f>
        <v/>
      </c>
      <c r="T454">
        <f>HYPERLINK("https://klasma.github.io/Logging_0581/kartor/A 18500-2023 karta.png", "A 18500-2023")</f>
        <v/>
      </c>
      <c r="V454">
        <f>HYPERLINK("https://klasma.github.io/Logging_0581/klagomål/A 18500-2023 FSC-klagomål.docx", "A 18500-2023")</f>
        <v/>
      </c>
      <c r="W454">
        <f>HYPERLINK("https://klasma.github.io/Logging_0581/klagomålsmail/A 18500-2023 FSC-klagomål mail.docx", "A 18500-2023")</f>
        <v/>
      </c>
      <c r="X454">
        <f>HYPERLINK("https://klasma.github.io/Logging_0581/tillsyn/A 18500-2023 tillsynsbegäran.docx", "A 18500-2023")</f>
        <v/>
      </c>
      <c r="Y454">
        <f>HYPERLINK("https://klasma.github.io/Logging_0581/tillsynsmail/A 18500-2023 tillsynsbegäran mail.docx", "A 18500-2023")</f>
        <v/>
      </c>
    </row>
    <row r="455" ht="15" customHeight="1">
      <c r="A455" t="inlineStr">
        <is>
          <t>A 14636-2025</t>
        </is>
      </c>
      <c r="B455" s="1" t="n">
        <v>45742.43848379629</v>
      </c>
      <c r="C455" s="1" t="n">
        <v>46093</v>
      </c>
      <c r="D455" t="inlineStr">
        <is>
          <t>ÖSTERGÖTLANDS LÄN</t>
        </is>
      </c>
      <c r="E455" t="inlineStr">
        <is>
          <t>NORRKÖPING</t>
        </is>
      </c>
      <c r="F455" t="inlineStr">
        <is>
          <t>Holmen skog AB</t>
        </is>
      </c>
      <c r="G455" t="n">
        <v>17</v>
      </c>
      <c r="H455" t="n">
        <v>1</v>
      </c>
      <c r="I455" t="n">
        <v>0</v>
      </c>
      <c r="J455" t="n">
        <v>1</v>
      </c>
      <c r="K455" t="n">
        <v>0</v>
      </c>
      <c r="L455" t="n">
        <v>0</v>
      </c>
      <c r="M455" t="n">
        <v>0</v>
      </c>
      <c r="N455" t="n">
        <v>0</v>
      </c>
      <c r="O455" t="n">
        <v>1</v>
      </c>
      <c r="P455" t="n">
        <v>0</v>
      </c>
      <c r="Q455" t="n">
        <v>1</v>
      </c>
      <c r="R455" s="2" t="inlineStr">
        <is>
          <t>Talltita</t>
        </is>
      </c>
      <c r="S455">
        <f>HYPERLINK("https://klasma.github.io/Logging_0581/artfynd/A 14636-2025 artfynd.xlsx", "A 14636-2025")</f>
        <v/>
      </c>
      <c r="T455">
        <f>HYPERLINK("https://klasma.github.io/Logging_0581/kartor/A 14636-2025 karta.png", "A 14636-2025")</f>
        <v/>
      </c>
      <c r="V455">
        <f>HYPERLINK("https://klasma.github.io/Logging_0581/klagomål/A 14636-2025 FSC-klagomål.docx", "A 14636-2025")</f>
        <v/>
      </c>
      <c r="W455">
        <f>HYPERLINK("https://klasma.github.io/Logging_0581/klagomålsmail/A 14636-2025 FSC-klagomål mail.docx", "A 14636-2025")</f>
        <v/>
      </c>
      <c r="X455">
        <f>HYPERLINK("https://klasma.github.io/Logging_0581/tillsyn/A 14636-2025 tillsynsbegäran.docx", "A 14636-2025")</f>
        <v/>
      </c>
      <c r="Y455">
        <f>HYPERLINK("https://klasma.github.io/Logging_0581/tillsynsmail/A 14636-2025 tillsynsbegäran mail.docx", "A 14636-2025")</f>
        <v/>
      </c>
      <c r="Z455">
        <f>HYPERLINK("https://klasma.github.io/Logging_0581/fåglar/A 14636-2025 prioriterade fågelarter.docx", "A 14636-2025")</f>
        <v/>
      </c>
    </row>
    <row r="456" ht="15" customHeight="1">
      <c r="A456" t="inlineStr">
        <is>
          <t>A 663-2023</t>
        </is>
      </c>
      <c r="B456" s="1" t="n">
        <v>44930</v>
      </c>
      <c r="C456" s="1" t="n">
        <v>46093</v>
      </c>
      <c r="D456" t="inlineStr">
        <is>
          <t>ÖSTERGÖTLANDS LÄN</t>
        </is>
      </c>
      <c r="E456" t="inlineStr">
        <is>
          <t>FINSPÅNG</t>
        </is>
      </c>
      <c r="F456" t="inlineStr">
        <is>
          <t>Holmen skog AB</t>
        </is>
      </c>
      <c r="G456" t="n">
        <v>1.2</v>
      </c>
      <c r="H456" t="n">
        <v>1</v>
      </c>
      <c r="I456" t="n">
        <v>0</v>
      </c>
      <c r="J456" t="n">
        <v>0</v>
      </c>
      <c r="K456" t="n">
        <v>0</v>
      </c>
      <c r="L456" t="n">
        <v>0</v>
      </c>
      <c r="M456" t="n">
        <v>0</v>
      </c>
      <c r="N456" t="n">
        <v>0</v>
      </c>
      <c r="O456" t="n">
        <v>0</v>
      </c>
      <c r="P456" t="n">
        <v>0</v>
      </c>
      <c r="Q456" t="n">
        <v>1</v>
      </c>
      <c r="R456" s="2" t="inlineStr">
        <is>
          <t>Blåsippa</t>
        </is>
      </c>
      <c r="S456">
        <f>HYPERLINK("https://klasma.github.io/Logging_0562/artfynd/A 663-2023 artfynd.xlsx", "A 663-2023")</f>
        <v/>
      </c>
      <c r="T456">
        <f>HYPERLINK("https://klasma.github.io/Logging_0562/kartor/A 663-2023 karta.png", "A 663-2023")</f>
        <v/>
      </c>
      <c r="V456">
        <f>HYPERLINK("https://klasma.github.io/Logging_0562/klagomål/A 663-2023 FSC-klagomål.docx", "A 663-2023")</f>
        <v/>
      </c>
      <c r="W456">
        <f>HYPERLINK("https://klasma.github.io/Logging_0562/klagomålsmail/A 663-2023 FSC-klagomål mail.docx", "A 663-2023")</f>
        <v/>
      </c>
      <c r="X456">
        <f>HYPERLINK("https://klasma.github.io/Logging_0562/tillsyn/A 663-2023 tillsynsbegäran.docx", "A 663-2023")</f>
        <v/>
      </c>
      <c r="Y456">
        <f>HYPERLINK("https://klasma.github.io/Logging_0562/tillsynsmail/A 663-2023 tillsynsbegäran mail.docx", "A 663-2023")</f>
        <v/>
      </c>
    </row>
    <row r="457" ht="15" customHeight="1">
      <c r="A457" t="inlineStr">
        <is>
          <t>A 19162-2025</t>
        </is>
      </c>
      <c r="B457" s="1" t="n">
        <v>45769.37408564815</v>
      </c>
      <c r="C457" s="1" t="n">
        <v>46093</v>
      </c>
      <c r="D457" t="inlineStr">
        <is>
          <t>ÖSTERGÖTLANDS LÄN</t>
        </is>
      </c>
      <c r="E457" t="inlineStr">
        <is>
          <t>KINDA</t>
        </is>
      </c>
      <c r="F457" t="inlineStr">
        <is>
          <t>Övriga Aktiebolag</t>
        </is>
      </c>
      <c r="G457" t="n">
        <v>1.1</v>
      </c>
      <c r="H457" t="n">
        <v>0</v>
      </c>
      <c r="I457" t="n">
        <v>0</v>
      </c>
      <c r="J457" t="n">
        <v>1</v>
      </c>
      <c r="K457" t="n">
        <v>0</v>
      </c>
      <c r="L457" t="n">
        <v>0</v>
      </c>
      <c r="M457" t="n">
        <v>0</v>
      </c>
      <c r="N457" t="n">
        <v>0</v>
      </c>
      <c r="O457" t="n">
        <v>1</v>
      </c>
      <c r="P457" t="n">
        <v>0</v>
      </c>
      <c r="Q457" t="n">
        <v>1</v>
      </c>
      <c r="R457" s="2" t="inlineStr">
        <is>
          <t>Gullklöver</t>
        </is>
      </c>
      <c r="S457">
        <f>HYPERLINK("https://klasma.github.io/Logging_0513/artfynd/A 19162-2025 artfynd.xlsx", "A 19162-2025")</f>
        <v/>
      </c>
      <c r="T457">
        <f>HYPERLINK("https://klasma.github.io/Logging_0513/kartor/A 19162-2025 karta.png", "A 19162-2025")</f>
        <v/>
      </c>
      <c r="V457">
        <f>HYPERLINK("https://klasma.github.io/Logging_0513/klagomål/A 19162-2025 FSC-klagomål.docx", "A 19162-2025")</f>
        <v/>
      </c>
      <c r="W457">
        <f>HYPERLINK("https://klasma.github.io/Logging_0513/klagomålsmail/A 19162-2025 FSC-klagomål mail.docx", "A 19162-2025")</f>
        <v/>
      </c>
      <c r="X457">
        <f>HYPERLINK("https://klasma.github.io/Logging_0513/tillsyn/A 19162-2025 tillsynsbegäran.docx", "A 19162-2025")</f>
        <v/>
      </c>
      <c r="Y457">
        <f>HYPERLINK("https://klasma.github.io/Logging_0513/tillsynsmail/A 19162-2025 tillsynsbegäran mail.docx", "A 19162-2025")</f>
        <v/>
      </c>
    </row>
    <row r="458" ht="15" customHeight="1">
      <c r="A458" t="inlineStr">
        <is>
          <t>A 57110-2025</t>
        </is>
      </c>
      <c r="B458" s="1" t="n">
        <v>45979.45349537037</v>
      </c>
      <c r="C458" s="1" t="n">
        <v>46093</v>
      </c>
      <c r="D458" t="inlineStr">
        <is>
          <t>ÖSTERGÖTLANDS LÄN</t>
        </is>
      </c>
      <c r="E458" t="inlineStr">
        <is>
          <t>ÅTVIDABERG</t>
        </is>
      </c>
      <c r="F458" t="inlineStr">
        <is>
          <t>Övriga statliga verk och myndigheter</t>
        </is>
      </c>
      <c r="G458" t="n">
        <v>3.3</v>
      </c>
      <c r="H458" t="n">
        <v>0</v>
      </c>
      <c r="I458" t="n">
        <v>0</v>
      </c>
      <c r="J458" t="n">
        <v>1</v>
      </c>
      <c r="K458" t="n">
        <v>0</v>
      </c>
      <c r="L458" t="n">
        <v>0</v>
      </c>
      <c r="M458" t="n">
        <v>0</v>
      </c>
      <c r="N458" t="n">
        <v>0</v>
      </c>
      <c r="O458" t="n">
        <v>1</v>
      </c>
      <c r="P458" t="n">
        <v>0</v>
      </c>
      <c r="Q458" t="n">
        <v>1</v>
      </c>
      <c r="R458" s="2" t="inlineStr">
        <is>
          <t>Vedskivlav</t>
        </is>
      </c>
      <c r="S458">
        <f>HYPERLINK("https://klasma.github.io/Logging_0561/artfynd/A 57110-2025 artfynd.xlsx", "A 57110-2025")</f>
        <v/>
      </c>
      <c r="T458">
        <f>HYPERLINK("https://klasma.github.io/Logging_0561/kartor/A 57110-2025 karta.png", "A 57110-2025")</f>
        <v/>
      </c>
      <c r="V458">
        <f>HYPERLINK("https://klasma.github.io/Logging_0561/klagomål/A 57110-2025 FSC-klagomål.docx", "A 57110-2025")</f>
        <v/>
      </c>
      <c r="W458">
        <f>HYPERLINK("https://klasma.github.io/Logging_0561/klagomålsmail/A 57110-2025 FSC-klagomål mail.docx", "A 57110-2025")</f>
        <v/>
      </c>
      <c r="X458">
        <f>HYPERLINK("https://klasma.github.io/Logging_0561/tillsyn/A 57110-2025 tillsynsbegäran.docx", "A 57110-2025")</f>
        <v/>
      </c>
      <c r="Y458">
        <f>HYPERLINK("https://klasma.github.io/Logging_0561/tillsynsmail/A 57110-2025 tillsynsbegäran mail.docx", "A 57110-2025")</f>
        <v/>
      </c>
    </row>
    <row r="459" ht="15" customHeight="1">
      <c r="A459" t="inlineStr">
        <is>
          <t>A 58018-2025</t>
        </is>
      </c>
      <c r="B459" s="1" t="n">
        <v>45982</v>
      </c>
      <c r="C459" s="1" t="n">
        <v>46093</v>
      </c>
      <c r="D459" t="inlineStr">
        <is>
          <t>ÖSTERGÖTLANDS LÄN</t>
        </is>
      </c>
      <c r="E459" t="inlineStr">
        <is>
          <t>ÅTVIDABERG</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HYPERLINK("https://klasma.github.io/Logging_0561/artfynd/A 58018-2025 artfynd.xlsx", "A 58018-2025")</f>
        <v/>
      </c>
      <c r="T459">
        <f>HYPERLINK("https://klasma.github.io/Logging_0561/kartor/A 58018-2025 karta.png", "A 58018-2025")</f>
        <v/>
      </c>
      <c r="U459">
        <f>HYPERLINK("https://klasma.github.io/Logging_0561/knärot/A 58018-2025 karta knärot.png", "A 58018-2025")</f>
        <v/>
      </c>
      <c r="V459">
        <f>HYPERLINK("https://klasma.github.io/Logging_0561/klagomål/A 58018-2025 FSC-klagomål.docx", "A 58018-2025")</f>
        <v/>
      </c>
      <c r="W459">
        <f>HYPERLINK("https://klasma.github.io/Logging_0561/klagomålsmail/A 58018-2025 FSC-klagomål mail.docx", "A 58018-2025")</f>
        <v/>
      </c>
      <c r="X459">
        <f>HYPERLINK("https://klasma.github.io/Logging_0561/tillsyn/A 58018-2025 tillsynsbegäran.docx", "A 58018-2025")</f>
        <v/>
      </c>
      <c r="Y459">
        <f>HYPERLINK("https://klasma.github.io/Logging_0561/tillsynsmail/A 58018-2025 tillsynsbegäran mail.docx", "A 58018-2025")</f>
        <v/>
      </c>
    </row>
    <row r="460" ht="15" customHeight="1">
      <c r="A460" t="inlineStr">
        <is>
          <t>A 11923-2025</t>
        </is>
      </c>
      <c r="B460" s="1" t="n">
        <v>45728.50200231482</v>
      </c>
      <c r="C460" s="1" t="n">
        <v>46093</v>
      </c>
      <c r="D460" t="inlineStr">
        <is>
          <t>ÖSTERGÖTLANDS LÄN</t>
        </is>
      </c>
      <c r="E460" t="inlineStr">
        <is>
          <t>MJÖLBY</t>
        </is>
      </c>
      <c r="F460" t="inlineStr">
        <is>
          <t>Sveaskog</t>
        </is>
      </c>
      <c r="G460" t="n">
        <v>30.5</v>
      </c>
      <c r="H460" t="n">
        <v>1</v>
      </c>
      <c r="I460" t="n">
        <v>0</v>
      </c>
      <c r="J460" t="n">
        <v>0</v>
      </c>
      <c r="K460" t="n">
        <v>0</v>
      </c>
      <c r="L460" t="n">
        <v>0</v>
      </c>
      <c r="M460" t="n">
        <v>0</v>
      </c>
      <c r="N460" t="n">
        <v>0</v>
      </c>
      <c r="O460" t="n">
        <v>0</v>
      </c>
      <c r="P460" t="n">
        <v>0</v>
      </c>
      <c r="Q460" t="n">
        <v>1</v>
      </c>
      <c r="R460" s="2" t="inlineStr">
        <is>
          <t>Tjäder</t>
        </is>
      </c>
      <c r="S460">
        <f>HYPERLINK("https://klasma.github.io/Logging_0586/artfynd/A 11923-2025 artfynd.xlsx", "A 11923-2025")</f>
        <v/>
      </c>
      <c r="T460">
        <f>HYPERLINK("https://klasma.github.io/Logging_0586/kartor/A 11923-2025 karta.png", "A 11923-2025")</f>
        <v/>
      </c>
      <c r="V460">
        <f>HYPERLINK("https://klasma.github.io/Logging_0586/klagomål/A 11923-2025 FSC-klagomål.docx", "A 11923-2025")</f>
        <v/>
      </c>
      <c r="W460">
        <f>HYPERLINK("https://klasma.github.io/Logging_0586/klagomålsmail/A 11923-2025 FSC-klagomål mail.docx", "A 11923-2025")</f>
        <v/>
      </c>
      <c r="X460">
        <f>HYPERLINK("https://klasma.github.io/Logging_0586/tillsyn/A 11923-2025 tillsynsbegäran.docx", "A 11923-2025")</f>
        <v/>
      </c>
      <c r="Y460">
        <f>HYPERLINK("https://klasma.github.io/Logging_0586/tillsynsmail/A 11923-2025 tillsynsbegäran mail.docx", "A 11923-2025")</f>
        <v/>
      </c>
      <c r="Z460">
        <f>HYPERLINK("https://klasma.github.io/Logging_0586/fåglar/A 11923-2025 prioriterade fågelarter.docx", "A 11923-2025")</f>
        <v/>
      </c>
    </row>
    <row r="461" ht="15" customHeight="1">
      <c r="A461" t="inlineStr">
        <is>
          <t>A 43167-2021</t>
        </is>
      </c>
      <c r="B461" s="1" t="n">
        <v>44431</v>
      </c>
      <c r="C461" s="1" t="n">
        <v>46093</v>
      </c>
      <c r="D461" t="inlineStr">
        <is>
          <t>ÖSTERGÖTLANDS LÄN</t>
        </is>
      </c>
      <c r="E461" t="inlineStr">
        <is>
          <t>FINSPÅNG</t>
        </is>
      </c>
      <c r="G461" t="n">
        <v>6.9</v>
      </c>
      <c r="H461" t="n">
        <v>1</v>
      </c>
      <c r="I461" t="n">
        <v>0</v>
      </c>
      <c r="J461" t="n">
        <v>0</v>
      </c>
      <c r="K461" t="n">
        <v>0</v>
      </c>
      <c r="L461" t="n">
        <v>0</v>
      </c>
      <c r="M461" t="n">
        <v>0</v>
      </c>
      <c r="N461" t="n">
        <v>0</v>
      </c>
      <c r="O461" t="n">
        <v>0</v>
      </c>
      <c r="P461" t="n">
        <v>0</v>
      </c>
      <c r="Q461" t="n">
        <v>1</v>
      </c>
      <c r="R461" s="2" t="inlineStr">
        <is>
          <t>Lopplummer (aggregat)</t>
        </is>
      </c>
      <c r="S461">
        <f>HYPERLINK("https://klasma.github.io/Logging_0562/artfynd/A 43167-2021 artfynd.xlsx", "A 43167-2021")</f>
        <v/>
      </c>
      <c r="T461">
        <f>HYPERLINK("https://klasma.github.io/Logging_0562/kartor/A 43167-2021 karta.png", "A 43167-2021")</f>
        <v/>
      </c>
      <c r="V461">
        <f>HYPERLINK("https://klasma.github.io/Logging_0562/klagomål/A 43167-2021 FSC-klagomål.docx", "A 43167-2021")</f>
        <v/>
      </c>
      <c r="W461">
        <f>HYPERLINK("https://klasma.github.io/Logging_0562/klagomålsmail/A 43167-2021 FSC-klagomål mail.docx", "A 43167-2021")</f>
        <v/>
      </c>
      <c r="X461">
        <f>HYPERLINK("https://klasma.github.io/Logging_0562/tillsyn/A 43167-2021 tillsynsbegäran.docx", "A 43167-2021")</f>
        <v/>
      </c>
      <c r="Y461">
        <f>HYPERLINK("https://klasma.github.io/Logging_0562/tillsynsmail/A 43167-2021 tillsynsbegäran mail.docx", "A 43167-2021")</f>
        <v/>
      </c>
    </row>
    <row r="462" ht="15" customHeight="1">
      <c r="A462" t="inlineStr">
        <is>
          <t>A 58113-2025</t>
        </is>
      </c>
      <c r="B462" s="1" t="n">
        <v>45982.6</v>
      </c>
      <c r="C462" s="1" t="n">
        <v>46093</v>
      </c>
      <c r="D462" t="inlineStr">
        <is>
          <t>ÖSTERGÖTLANDS LÄN</t>
        </is>
      </c>
      <c r="E462" t="inlineStr">
        <is>
          <t>KINDA</t>
        </is>
      </c>
      <c r="F462" t="inlineStr">
        <is>
          <t>Övriga Aktiebolag</t>
        </is>
      </c>
      <c r="G462" t="n">
        <v>5.2</v>
      </c>
      <c r="H462" t="n">
        <v>0</v>
      </c>
      <c r="I462" t="n">
        <v>0</v>
      </c>
      <c r="J462" t="n">
        <v>0</v>
      </c>
      <c r="K462" t="n">
        <v>0</v>
      </c>
      <c r="L462" t="n">
        <v>1</v>
      </c>
      <c r="M462" t="n">
        <v>0</v>
      </c>
      <c r="N462" t="n">
        <v>0</v>
      </c>
      <c r="O462" t="n">
        <v>1</v>
      </c>
      <c r="P462" t="n">
        <v>1</v>
      </c>
      <c r="Q462" t="n">
        <v>1</v>
      </c>
      <c r="R462" s="2" t="inlineStr">
        <is>
          <t>Ask</t>
        </is>
      </c>
      <c r="S462">
        <f>HYPERLINK("https://klasma.github.io/Logging_0513/artfynd/A 58113-2025 artfynd.xlsx", "A 58113-2025")</f>
        <v/>
      </c>
      <c r="T462">
        <f>HYPERLINK("https://klasma.github.io/Logging_0513/kartor/A 58113-2025 karta.png", "A 58113-2025")</f>
        <v/>
      </c>
      <c r="V462">
        <f>HYPERLINK("https://klasma.github.io/Logging_0513/klagomål/A 58113-2025 FSC-klagomål.docx", "A 58113-2025")</f>
        <v/>
      </c>
      <c r="W462">
        <f>HYPERLINK("https://klasma.github.io/Logging_0513/klagomålsmail/A 58113-2025 FSC-klagomål mail.docx", "A 58113-2025")</f>
        <v/>
      </c>
      <c r="X462">
        <f>HYPERLINK("https://klasma.github.io/Logging_0513/tillsyn/A 58113-2025 tillsynsbegäran.docx", "A 58113-2025")</f>
        <v/>
      </c>
      <c r="Y462">
        <f>HYPERLINK("https://klasma.github.io/Logging_0513/tillsynsmail/A 58113-2025 tillsynsbegäran mail.docx", "A 58113-2025")</f>
        <v/>
      </c>
    </row>
    <row r="463" ht="15" customHeight="1">
      <c r="A463" t="inlineStr">
        <is>
          <t>A 25288-2021</t>
        </is>
      </c>
      <c r="B463" s="1" t="n">
        <v>44342</v>
      </c>
      <c r="C463" s="1" t="n">
        <v>46093</v>
      </c>
      <c r="D463" t="inlineStr">
        <is>
          <t>ÖSTERGÖTLANDS LÄN</t>
        </is>
      </c>
      <c r="E463" t="inlineStr">
        <is>
          <t>KINDA</t>
        </is>
      </c>
      <c r="G463" t="n">
        <v>3.3</v>
      </c>
      <c r="H463" t="n">
        <v>0</v>
      </c>
      <c r="I463" t="n">
        <v>0</v>
      </c>
      <c r="J463" t="n">
        <v>1</v>
      </c>
      <c r="K463" t="n">
        <v>0</v>
      </c>
      <c r="L463" t="n">
        <v>0</v>
      </c>
      <c r="M463" t="n">
        <v>0</v>
      </c>
      <c r="N463" t="n">
        <v>0</v>
      </c>
      <c r="O463" t="n">
        <v>1</v>
      </c>
      <c r="P463" t="n">
        <v>0</v>
      </c>
      <c r="Q463" t="n">
        <v>1</v>
      </c>
      <c r="R463" s="2" t="inlineStr">
        <is>
          <t>Smalsprötad bastardsvärmare</t>
        </is>
      </c>
      <c r="S463">
        <f>HYPERLINK("https://klasma.github.io/Logging_0513/artfynd/A 25288-2021 artfynd.xlsx", "A 25288-2021")</f>
        <v/>
      </c>
      <c r="T463">
        <f>HYPERLINK("https://klasma.github.io/Logging_0513/kartor/A 25288-2021 karta.png", "A 25288-2021")</f>
        <v/>
      </c>
      <c r="V463">
        <f>HYPERLINK("https://klasma.github.io/Logging_0513/klagomål/A 25288-2021 FSC-klagomål.docx", "A 25288-2021")</f>
        <v/>
      </c>
      <c r="W463">
        <f>HYPERLINK("https://klasma.github.io/Logging_0513/klagomålsmail/A 25288-2021 FSC-klagomål mail.docx", "A 25288-2021")</f>
        <v/>
      </c>
      <c r="X463">
        <f>HYPERLINK("https://klasma.github.io/Logging_0513/tillsyn/A 25288-2021 tillsynsbegäran.docx", "A 25288-2021")</f>
        <v/>
      </c>
      <c r="Y463">
        <f>HYPERLINK("https://klasma.github.io/Logging_0513/tillsynsmail/A 25288-2021 tillsynsbegäran mail.docx", "A 25288-2021")</f>
        <v/>
      </c>
    </row>
    <row r="464" ht="15" customHeight="1">
      <c r="A464" t="inlineStr">
        <is>
          <t>A 58023-2025</t>
        </is>
      </c>
      <c r="B464" s="1" t="n">
        <v>45982</v>
      </c>
      <c r="C464" s="1" t="n">
        <v>46093</v>
      </c>
      <c r="D464" t="inlineStr">
        <is>
          <t>ÖSTERGÖTLANDS LÄN</t>
        </is>
      </c>
      <c r="E464" t="inlineStr">
        <is>
          <t>ÅTVIDABERG</t>
        </is>
      </c>
      <c r="G464" t="n">
        <v>0.8</v>
      </c>
      <c r="H464" t="n">
        <v>1</v>
      </c>
      <c r="I464" t="n">
        <v>0</v>
      </c>
      <c r="J464" t="n">
        <v>1</v>
      </c>
      <c r="K464" t="n">
        <v>0</v>
      </c>
      <c r="L464" t="n">
        <v>0</v>
      </c>
      <c r="M464" t="n">
        <v>0</v>
      </c>
      <c r="N464" t="n">
        <v>0</v>
      </c>
      <c r="O464" t="n">
        <v>1</v>
      </c>
      <c r="P464" t="n">
        <v>0</v>
      </c>
      <c r="Q464" t="n">
        <v>1</v>
      </c>
      <c r="R464" s="2" t="inlineStr">
        <is>
          <t>Havsörn</t>
        </is>
      </c>
      <c r="S464">
        <f>HYPERLINK("https://klasma.github.io/Logging_0561/artfynd/A 58023-2025 artfynd.xlsx", "A 58023-2025")</f>
        <v/>
      </c>
      <c r="T464">
        <f>HYPERLINK("https://klasma.github.io/Logging_0561/kartor/A 58023-2025 karta.png", "A 58023-2025")</f>
        <v/>
      </c>
      <c r="V464">
        <f>HYPERLINK("https://klasma.github.io/Logging_0561/klagomål/A 58023-2025 FSC-klagomål.docx", "A 58023-2025")</f>
        <v/>
      </c>
      <c r="W464">
        <f>HYPERLINK("https://klasma.github.io/Logging_0561/klagomålsmail/A 58023-2025 FSC-klagomål mail.docx", "A 58023-2025")</f>
        <v/>
      </c>
      <c r="X464">
        <f>HYPERLINK("https://klasma.github.io/Logging_0561/tillsyn/A 58023-2025 tillsynsbegäran.docx", "A 58023-2025")</f>
        <v/>
      </c>
      <c r="Y464">
        <f>HYPERLINK("https://klasma.github.io/Logging_0561/tillsynsmail/A 58023-2025 tillsynsbegäran mail.docx", "A 58023-2025")</f>
        <v/>
      </c>
      <c r="Z464">
        <f>HYPERLINK("https://klasma.github.io/Logging_0561/fåglar/A 58023-2025 prioriterade fågelarter.docx", "A 58023-2025")</f>
        <v/>
      </c>
    </row>
    <row r="465" ht="15" customHeight="1">
      <c r="A465" t="inlineStr">
        <is>
          <t>A 16704-2025</t>
        </is>
      </c>
      <c r="B465" s="1" t="n">
        <v>45754.47054398148</v>
      </c>
      <c r="C465" s="1" t="n">
        <v>46093</v>
      </c>
      <c r="D465" t="inlineStr">
        <is>
          <t>ÖSTERGÖTLANDS LÄN</t>
        </is>
      </c>
      <c r="E465" t="inlineStr">
        <is>
          <t>YDRE</t>
        </is>
      </c>
      <c r="G465" t="n">
        <v>0.5</v>
      </c>
      <c r="H465" t="n">
        <v>1</v>
      </c>
      <c r="I465" t="n">
        <v>1</v>
      </c>
      <c r="J465" t="n">
        <v>0</v>
      </c>
      <c r="K465" t="n">
        <v>0</v>
      </c>
      <c r="L465" t="n">
        <v>0</v>
      </c>
      <c r="M465" t="n">
        <v>0</v>
      </c>
      <c r="N465" t="n">
        <v>0</v>
      </c>
      <c r="O465" t="n">
        <v>0</v>
      </c>
      <c r="P465" t="n">
        <v>0</v>
      </c>
      <c r="Q465" t="n">
        <v>1</v>
      </c>
      <c r="R465" s="2" t="inlineStr">
        <is>
          <t>Grön sköldmossa</t>
        </is>
      </c>
      <c r="S465">
        <f>HYPERLINK("https://klasma.github.io/Logging_0512/artfynd/A 16704-2025 artfynd.xlsx", "A 16704-2025")</f>
        <v/>
      </c>
      <c r="T465">
        <f>HYPERLINK("https://klasma.github.io/Logging_0512/kartor/A 16704-2025 karta.png", "A 16704-2025")</f>
        <v/>
      </c>
      <c r="V465">
        <f>HYPERLINK("https://klasma.github.io/Logging_0512/klagomål/A 16704-2025 FSC-klagomål.docx", "A 16704-2025")</f>
        <v/>
      </c>
      <c r="W465">
        <f>HYPERLINK("https://klasma.github.io/Logging_0512/klagomålsmail/A 16704-2025 FSC-klagomål mail.docx", "A 16704-2025")</f>
        <v/>
      </c>
      <c r="X465">
        <f>HYPERLINK("https://klasma.github.io/Logging_0512/tillsyn/A 16704-2025 tillsynsbegäran.docx", "A 16704-2025")</f>
        <v/>
      </c>
      <c r="Y465">
        <f>HYPERLINK("https://klasma.github.io/Logging_0512/tillsynsmail/A 16704-2025 tillsynsbegäran mail.docx", "A 16704-2025")</f>
        <v/>
      </c>
    </row>
    <row r="466" ht="15" customHeight="1">
      <c r="A466" t="inlineStr">
        <is>
          <t>A 5911-2022</t>
        </is>
      </c>
      <c r="B466" s="1" t="n">
        <v>44597</v>
      </c>
      <c r="C466" s="1" t="n">
        <v>46093</v>
      </c>
      <c r="D466" t="inlineStr">
        <is>
          <t>ÖSTERGÖTLANDS LÄN</t>
        </is>
      </c>
      <c r="E466" t="inlineStr">
        <is>
          <t>LINKÖPING</t>
        </is>
      </c>
      <c r="G466" t="n">
        <v>3.5</v>
      </c>
      <c r="H466" t="n">
        <v>0</v>
      </c>
      <c r="I466" t="n">
        <v>0</v>
      </c>
      <c r="J466" t="n">
        <v>1</v>
      </c>
      <c r="K466" t="n">
        <v>0</v>
      </c>
      <c r="L466" t="n">
        <v>0</v>
      </c>
      <c r="M466" t="n">
        <v>0</v>
      </c>
      <c r="N466" t="n">
        <v>0</v>
      </c>
      <c r="O466" t="n">
        <v>1</v>
      </c>
      <c r="P466" t="n">
        <v>0</v>
      </c>
      <c r="Q466" t="n">
        <v>1</v>
      </c>
      <c r="R466" s="2" t="inlineStr">
        <is>
          <t>Spindelört</t>
        </is>
      </c>
      <c r="S466">
        <f>HYPERLINK("https://klasma.github.io/Logging_0580/artfynd/A 5911-2022 artfynd.xlsx", "A 5911-2022")</f>
        <v/>
      </c>
      <c r="T466">
        <f>HYPERLINK("https://klasma.github.io/Logging_0580/kartor/A 5911-2022 karta.png", "A 5911-2022")</f>
        <v/>
      </c>
      <c r="V466">
        <f>HYPERLINK("https://klasma.github.io/Logging_0580/klagomål/A 5911-2022 FSC-klagomål.docx", "A 5911-2022")</f>
        <v/>
      </c>
      <c r="W466">
        <f>HYPERLINK("https://klasma.github.io/Logging_0580/klagomålsmail/A 5911-2022 FSC-klagomål mail.docx", "A 5911-2022")</f>
        <v/>
      </c>
      <c r="X466">
        <f>HYPERLINK("https://klasma.github.io/Logging_0580/tillsyn/A 5911-2022 tillsynsbegäran.docx", "A 5911-2022")</f>
        <v/>
      </c>
      <c r="Y466">
        <f>HYPERLINK("https://klasma.github.io/Logging_0580/tillsynsmail/A 5911-2022 tillsynsbegäran mail.docx", "A 5911-2022")</f>
        <v/>
      </c>
    </row>
    <row r="467" ht="15" customHeight="1">
      <c r="A467" t="inlineStr">
        <is>
          <t>A 18758-2023</t>
        </is>
      </c>
      <c r="B467" s="1" t="n">
        <v>45043</v>
      </c>
      <c r="C467" s="1" t="n">
        <v>46093</v>
      </c>
      <c r="D467" t="inlineStr">
        <is>
          <t>ÖSTERGÖTLANDS LÄN</t>
        </is>
      </c>
      <c r="E467" t="inlineStr">
        <is>
          <t>VALDEMARSVIK</t>
        </is>
      </c>
      <c r="G467" t="n">
        <v>2.9</v>
      </c>
      <c r="H467" t="n">
        <v>1</v>
      </c>
      <c r="I467" t="n">
        <v>0</v>
      </c>
      <c r="J467" t="n">
        <v>0</v>
      </c>
      <c r="K467" t="n">
        <v>1</v>
      </c>
      <c r="L467" t="n">
        <v>0</v>
      </c>
      <c r="M467" t="n">
        <v>0</v>
      </c>
      <c r="N467" t="n">
        <v>0</v>
      </c>
      <c r="O467" t="n">
        <v>1</v>
      </c>
      <c r="P467" t="n">
        <v>1</v>
      </c>
      <c r="Q467" t="n">
        <v>1</v>
      </c>
      <c r="R467" s="2" t="inlineStr">
        <is>
          <t>Knärot</t>
        </is>
      </c>
      <c r="S467">
        <f>HYPERLINK("https://klasma.github.io/Logging_0563/artfynd/A 18758-2023 artfynd.xlsx", "A 18758-2023")</f>
        <v/>
      </c>
      <c r="T467">
        <f>HYPERLINK("https://klasma.github.io/Logging_0563/kartor/A 18758-2023 karta.png", "A 18758-2023")</f>
        <v/>
      </c>
      <c r="U467">
        <f>HYPERLINK("https://klasma.github.io/Logging_0563/knärot/A 18758-2023 karta knärot.png", "A 18758-2023")</f>
        <v/>
      </c>
      <c r="V467">
        <f>HYPERLINK("https://klasma.github.io/Logging_0563/klagomål/A 18758-2023 FSC-klagomål.docx", "A 18758-2023")</f>
        <v/>
      </c>
      <c r="W467">
        <f>HYPERLINK("https://klasma.github.io/Logging_0563/klagomålsmail/A 18758-2023 FSC-klagomål mail.docx", "A 18758-2023")</f>
        <v/>
      </c>
      <c r="X467">
        <f>HYPERLINK("https://klasma.github.io/Logging_0563/tillsyn/A 18758-2023 tillsynsbegäran.docx", "A 18758-2023")</f>
        <v/>
      </c>
      <c r="Y467">
        <f>HYPERLINK("https://klasma.github.io/Logging_0563/tillsynsmail/A 18758-2023 tillsynsbegäran mail.docx", "A 18758-2023")</f>
        <v/>
      </c>
    </row>
    <row r="468" ht="15" customHeight="1">
      <c r="A468" t="inlineStr">
        <is>
          <t>A 40463-2021</t>
        </is>
      </c>
      <c r="B468" s="1" t="n">
        <v>44419</v>
      </c>
      <c r="C468" s="1" t="n">
        <v>46093</v>
      </c>
      <c r="D468" t="inlineStr">
        <is>
          <t>ÖSTERGÖTLANDS LÄN</t>
        </is>
      </c>
      <c r="E468" t="inlineStr">
        <is>
          <t>KINDA</t>
        </is>
      </c>
      <c r="G468" t="n">
        <v>11.5</v>
      </c>
      <c r="H468" t="n">
        <v>0</v>
      </c>
      <c r="I468" t="n">
        <v>1</v>
      </c>
      <c r="J468" t="n">
        <v>0</v>
      </c>
      <c r="K468" t="n">
        <v>0</v>
      </c>
      <c r="L468" t="n">
        <v>0</v>
      </c>
      <c r="M468" t="n">
        <v>0</v>
      </c>
      <c r="N468" t="n">
        <v>0</v>
      </c>
      <c r="O468" t="n">
        <v>0</v>
      </c>
      <c r="P468" t="n">
        <v>0</v>
      </c>
      <c r="Q468" t="n">
        <v>1</v>
      </c>
      <c r="R468" s="2" t="inlineStr">
        <is>
          <t>Fjällig taggsvamp s.str.</t>
        </is>
      </c>
      <c r="S468">
        <f>HYPERLINK("https://klasma.github.io/Logging_0513/artfynd/A 40463-2021 artfynd.xlsx", "A 40463-2021")</f>
        <v/>
      </c>
      <c r="T468">
        <f>HYPERLINK("https://klasma.github.io/Logging_0513/kartor/A 40463-2021 karta.png", "A 40463-2021")</f>
        <v/>
      </c>
      <c r="V468">
        <f>HYPERLINK("https://klasma.github.io/Logging_0513/klagomål/A 40463-2021 FSC-klagomål.docx", "A 40463-2021")</f>
        <v/>
      </c>
      <c r="W468">
        <f>HYPERLINK("https://klasma.github.io/Logging_0513/klagomålsmail/A 40463-2021 FSC-klagomål mail.docx", "A 40463-2021")</f>
        <v/>
      </c>
      <c r="X468">
        <f>HYPERLINK("https://klasma.github.io/Logging_0513/tillsyn/A 40463-2021 tillsynsbegäran.docx", "A 40463-2021")</f>
        <v/>
      </c>
      <c r="Y468">
        <f>HYPERLINK("https://klasma.github.io/Logging_0513/tillsynsmail/A 40463-2021 tillsynsbegäran mail.docx", "A 40463-2021")</f>
        <v/>
      </c>
    </row>
    <row r="469" ht="15" customHeight="1">
      <c r="A469" t="inlineStr">
        <is>
          <t>A 15290-2025</t>
        </is>
      </c>
      <c r="B469" s="1" t="n">
        <v>45745.45288194445</v>
      </c>
      <c r="C469" s="1" t="n">
        <v>46093</v>
      </c>
      <c r="D469" t="inlineStr">
        <is>
          <t>ÖSTERGÖTLANDS LÄN</t>
        </is>
      </c>
      <c r="E469" t="inlineStr">
        <is>
          <t>LINKÖPING</t>
        </is>
      </c>
      <c r="G469" t="n">
        <v>18.4</v>
      </c>
      <c r="H469" t="n">
        <v>1</v>
      </c>
      <c r="I469" t="n">
        <v>0</v>
      </c>
      <c r="J469" t="n">
        <v>1</v>
      </c>
      <c r="K469" t="n">
        <v>0</v>
      </c>
      <c r="L469" t="n">
        <v>0</v>
      </c>
      <c r="M469" t="n">
        <v>0</v>
      </c>
      <c r="N469" t="n">
        <v>0</v>
      </c>
      <c r="O469" t="n">
        <v>1</v>
      </c>
      <c r="P469" t="n">
        <v>0</v>
      </c>
      <c r="Q469" t="n">
        <v>1</v>
      </c>
      <c r="R469" s="2" t="inlineStr">
        <is>
          <t>Havsörn</t>
        </is>
      </c>
      <c r="S469">
        <f>HYPERLINK("https://klasma.github.io/Logging_0580/artfynd/A 15290-2025 artfynd.xlsx", "A 15290-2025")</f>
        <v/>
      </c>
      <c r="T469">
        <f>HYPERLINK("https://klasma.github.io/Logging_0580/kartor/A 15290-2025 karta.png", "A 15290-2025")</f>
        <v/>
      </c>
      <c r="V469">
        <f>HYPERLINK("https://klasma.github.io/Logging_0580/klagomål/A 15290-2025 FSC-klagomål.docx", "A 15290-2025")</f>
        <v/>
      </c>
      <c r="W469">
        <f>HYPERLINK("https://klasma.github.io/Logging_0580/klagomålsmail/A 15290-2025 FSC-klagomål mail.docx", "A 15290-2025")</f>
        <v/>
      </c>
      <c r="X469">
        <f>HYPERLINK("https://klasma.github.io/Logging_0580/tillsyn/A 15290-2025 tillsynsbegäran.docx", "A 15290-2025")</f>
        <v/>
      </c>
      <c r="Y469">
        <f>HYPERLINK("https://klasma.github.io/Logging_0580/tillsynsmail/A 15290-2025 tillsynsbegäran mail.docx", "A 15290-2025")</f>
        <v/>
      </c>
      <c r="Z469">
        <f>HYPERLINK("https://klasma.github.io/Logging_0580/fåglar/A 15290-2025 prioriterade fågelarter.docx", "A 15290-2025")</f>
        <v/>
      </c>
    </row>
    <row r="470" ht="15" customHeight="1">
      <c r="A470" t="inlineStr">
        <is>
          <t>A 50403-2022</t>
        </is>
      </c>
      <c r="B470" s="1" t="n">
        <v>44866</v>
      </c>
      <c r="C470" s="1" t="n">
        <v>46093</v>
      </c>
      <c r="D470" t="inlineStr">
        <is>
          <t>ÖSTERGÖTLANDS LÄN</t>
        </is>
      </c>
      <c r="E470" t="inlineStr">
        <is>
          <t>MJÖLBY</t>
        </is>
      </c>
      <c r="F470" t="inlineStr">
        <is>
          <t>Sveaskog</t>
        </is>
      </c>
      <c r="G470" t="n">
        <v>2.4</v>
      </c>
      <c r="H470" t="n">
        <v>0</v>
      </c>
      <c r="I470" t="n">
        <v>1</v>
      </c>
      <c r="J470" t="n">
        <v>0</v>
      </c>
      <c r="K470" t="n">
        <v>0</v>
      </c>
      <c r="L470" t="n">
        <v>0</v>
      </c>
      <c r="M470" t="n">
        <v>0</v>
      </c>
      <c r="N470" t="n">
        <v>0</v>
      </c>
      <c r="O470" t="n">
        <v>0</v>
      </c>
      <c r="P470" t="n">
        <v>0</v>
      </c>
      <c r="Q470" t="n">
        <v>1</v>
      </c>
      <c r="R470" s="2" t="inlineStr">
        <is>
          <t>Springkorn</t>
        </is>
      </c>
      <c r="S470">
        <f>HYPERLINK("https://klasma.github.io/Logging_0586/artfynd/A 50403-2022 artfynd.xlsx", "A 50403-2022")</f>
        <v/>
      </c>
      <c r="T470">
        <f>HYPERLINK("https://klasma.github.io/Logging_0586/kartor/A 50403-2022 karta.png", "A 50403-2022")</f>
        <v/>
      </c>
      <c r="V470">
        <f>HYPERLINK("https://klasma.github.io/Logging_0586/klagomål/A 50403-2022 FSC-klagomål.docx", "A 50403-2022")</f>
        <v/>
      </c>
      <c r="W470">
        <f>HYPERLINK("https://klasma.github.io/Logging_0586/klagomålsmail/A 50403-2022 FSC-klagomål mail.docx", "A 50403-2022")</f>
        <v/>
      </c>
      <c r="X470">
        <f>HYPERLINK("https://klasma.github.io/Logging_0586/tillsyn/A 50403-2022 tillsynsbegäran.docx", "A 50403-2022")</f>
        <v/>
      </c>
      <c r="Y470">
        <f>HYPERLINK("https://klasma.github.io/Logging_0586/tillsynsmail/A 50403-2022 tillsynsbegäran mail.docx", "A 50403-2022")</f>
        <v/>
      </c>
    </row>
    <row r="471" ht="15" customHeight="1">
      <c r="A471" t="inlineStr">
        <is>
          <t>A 56128-2022</t>
        </is>
      </c>
      <c r="B471" s="1" t="n">
        <v>44889</v>
      </c>
      <c r="C471" s="1" t="n">
        <v>46093</v>
      </c>
      <c r="D471" t="inlineStr">
        <is>
          <t>ÖSTERGÖTLANDS LÄN</t>
        </is>
      </c>
      <c r="E471" t="inlineStr">
        <is>
          <t>LINKÖPING</t>
        </is>
      </c>
      <c r="G471" t="n">
        <v>2</v>
      </c>
      <c r="H471" t="n">
        <v>0</v>
      </c>
      <c r="I471" t="n">
        <v>1</v>
      </c>
      <c r="J471" t="n">
        <v>0</v>
      </c>
      <c r="K471" t="n">
        <v>0</v>
      </c>
      <c r="L471" t="n">
        <v>0</v>
      </c>
      <c r="M471" t="n">
        <v>0</v>
      </c>
      <c r="N471" t="n">
        <v>0</v>
      </c>
      <c r="O471" t="n">
        <v>0</v>
      </c>
      <c r="P471" t="n">
        <v>0</v>
      </c>
      <c r="Q471" t="n">
        <v>1</v>
      </c>
      <c r="R471" s="2" t="inlineStr">
        <is>
          <t>Tibast</t>
        </is>
      </c>
      <c r="S471">
        <f>HYPERLINK("https://klasma.github.io/Logging_0580/artfynd/A 56128-2022 artfynd.xlsx", "A 56128-2022")</f>
        <v/>
      </c>
      <c r="T471">
        <f>HYPERLINK("https://klasma.github.io/Logging_0580/kartor/A 56128-2022 karta.png", "A 56128-2022")</f>
        <v/>
      </c>
      <c r="V471">
        <f>HYPERLINK("https://klasma.github.io/Logging_0580/klagomål/A 56128-2022 FSC-klagomål.docx", "A 56128-2022")</f>
        <v/>
      </c>
      <c r="W471">
        <f>HYPERLINK("https://klasma.github.io/Logging_0580/klagomålsmail/A 56128-2022 FSC-klagomål mail.docx", "A 56128-2022")</f>
        <v/>
      </c>
      <c r="X471">
        <f>HYPERLINK("https://klasma.github.io/Logging_0580/tillsyn/A 56128-2022 tillsynsbegäran.docx", "A 56128-2022")</f>
        <v/>
      </c>
      <c r="Y471">
        <f>HYPERLINK("https://klasma.github.io/Logging_0580/tillsynsmail/A 56128-2022 tillsynsbegäran mail.docx", "A 56128-2022")</f>
        <v/>
      </c>
    </row>
    <row r="472" ht="15" customHeight="1">
      <c r="A472" t="inlineStr">
        <is>
          <t>A 5001-2022</t>
        </is>
      </c>
      <c r="B472" s="1" t="n">
        <v>44593.60979166667</v>
      </c>
      <c r="C472" s="1" t="n">
        <v>46093</v>
      </c>
      <c r="D472" t="inlineStr">
        <is>
          <t>ÖSTERGÖTLANDS LÄN</t>
        </is>
      </c>
      <c r="E472" t="inlineStr">
        <is>
          <t>BOXHOLM</t>
        </is>
      </c>
      <c r="F472" t="inlineStr">
        <is>
          <t>Övriga Aktiebolag</t>
        </is>
      </c>
      <c r="G472" t="n">
        <v>7.9</v>
      </c>
      <c r="H472" t="n">
        <v>0</v>
      </c>
      <c r="I472" t="n">
        <v>0</v>
      </c>
      <c r="J472" t="n">
        <v>0</v>
      </c>
      <c r="K472" t="n">
        <v>1</v>
      </c>
      <c r="L472" t="n">
        <v>0</v>
      </c>
      <c r="M472" t="n">
        <v>0</v>
      </c>
      <c r="N472" t="n">
        <v>0</v>
      </c>
      <c r="O472" t="n">
        <v>1</v>
      </c>
      <c r="P472" t="n">
        <v>1</v>
      </c>
      <c r="Q472" t="n">
        <v>1</v>
      </c>
      <c r="R472" s="2" t="inlineStr">
        <is>
          <t>Carphacis striatus</t>
        </is>
      </c>
      <c r="S472">
        <f>HYPERLINK("https://klasma.github.io/Logging_0560/artfynd/A 5001-2022 artfynd.xlsx", "A 5001-2022")</f>
        <v/>
      </c>
      <c r="T472">
        <f>HYPERLINK("https://klasma.github.io/Logging_0560/kartor/A 5001-2022 karta.png", "A 5001-2022")</f>
        <v/>
      </c>
      <c r="V472">
        <f>HYPERLINK("https://klasma.github.io/Logging_0560/klagomål/A 5001-2022 FSC-klagomål.docx", "A 5001-2022")</f>
        <v/>
      </c>
      <c r="W472">
        <f>HYPERLINK("https://klasma.github.io/Logging_0560/klagomålsmail/A 5001-2022 FSC-klagomål mail.docx", "A 5001-2022")</f>
        <v/>
      </c>
      <c r="X472">
        <f>HYPERLINK("https://klasma.github.io/Logging_0560/tillsyn/A 5001-2022 tillsynsbegäran.docx", "A 5001-2022")</f>
        <v/>
      </c>
      <c r="Y472">
        <f>HYPERLINK("https://klasma.github.io/Logging_0560/tillsynsmail/A 5001-2022 tillsynsbegäran mail.docx", "A 5001-2022")</f>
        <v/>
      </c>
    </row>
    <row r="473" ht="15" customHeight="1">
      <c r="A473" t="inlineStr">
        <is>
          <t>A 46696-2024</t>
        </is>
      </c>
      <c r="B473" s="1" t="n">
        <v>45583</v>
      </c>
      <c r="C473" s="1" t="n">
        <v>46093</v>
      </c>
      <c r="D473" t="inlineStr">
        <is>
          <t>ÖSTERGÖTLANDS LÄN</t>
        </is>
      </c>
      <c r="E473" t="inlineStr">
        <is>
          <t>NORRKÖPING</t>
        </is>
      </c>
      <c r="F473" t="inlineStr">
        <is>
          <t>Holmen skog AB</t>
        </is>
      </c>
      <c r="G473" t="n">
        <v>2</v>
      </c>
      <c r="H473" t="n">
        <v>0</v>
      </c>
      <c r="I473" t="n">
        <v>0</v>
      </c>
      <c r="J473" t="n">
        <v>1</v>
      </c>
      <c r="K473" t="n">
        <v>0</v>
      </c>
      <c r="L473" t="n">
        <v>0</v>
      </c>
      <c r="M473" t="n">
        <v>0</v>
      </c>
      <c r="N473" t="n">
        <v>0</v>
      </c>
      <c r="O473" t="n">
        <v>1</v>
      </c>
      <c r="P473" t="n">
        <v>0</v>
      </c>
      <c r="Q473" t="n">
        <v>1</v>
      </c>
      <c r="R473" s="2" t="inlineStr">
        <is>
          <t>Granticka</t>
        </is>
      </c>
      <c r="S473">
        <f>HYPERLINK("https://klasma.github.io/Logging_0581/artfynd/A 46696-2024 artfynd.xlsx", "A 46696-2024")</f>
        <v/>
      </c>
      <c r="T473">
        <f>HYPERLINK("https://klasma.github.io/Logging_0581/kartor/A 46696-2024 karta.png", "A 46696-2024")</f>
        <v/>
      </c>
      <c r="V473">
        <f>HYPERLINK("https://klasma.github.io/Logging_0581/klagomål/A 46696-2024 FSC-klagomål.docx", "A 46696-2024")</f>
        <v/>
      </c>
      <c r="W473">
        <f>HYPERLINK("https://klasma.github.io/Logging_0581/klagomålsmail/A 46696-2024 FSC-klagomål mail.docx", "A 46696-2024")</f>
        <v/>
      </c>
      <c r="X473">
        <f>HYPERLINK("https://klasma.github.io/Logging_0581/tillsyn/A 46696-2024 tillsynsbegäran.docx", "A 46696-2024")</f>
        <v/>
      </c>
      <c r="Y473">
        <f>HYPERLINK("https://klasma.github.io/Logging_0581/tillsynsmail/A 46696-2024 tillsynsbegäran mail.docx", "A 46696-2024")</f>
        <v/>
      </c>
    </row>
    <row r="474" ht="15" customHeight="1">
      <c r="A474" t="inlineStr">
        <is>
          <t>A 10203-2022</t>
        </is>
      </c>
      <c r="B474" s="1" t="n">
        <v>44622.45375</v>
      </c>
      <c r="C474" s="1" t="n">
        <v>46093</v>
      </c>
      <c r="D474" t="inlineStr">
        <is>
          <t>ÖSTERGÖTLANDS LÄN</t>
        </is>
      </c>
      <c r="E474" t="inlineStr">
        <is>
          <t>FINSPÅNG</t>
        </is>
      </c>
      <c r="G474" t="n">
        <v>0.6</v>
      </c>
      <c r="H474" t="n">
        <v>0</v>
      </c>
      <c r="I474" t="n">
        <v>0</v>
      </c>
      <c r="J474" t="n">
        <v>1</v>
      </c>
      <c r="K474" t="n">
        <v>0</v>
      </c>
      <c r="L474" t="n">
        <v>0</v>
      </c>
      <c r="M474" t="n">
        <v>0</v>
      </c>
      <c r="N474" t="n">
        <v>0</v>
      </c>
      <c r="O474" t="n">
        <v>1</v>
      </c>
      <c r="P474" t="n">
        <v>0</v>
      </c>
      <c r="Q474" t="n">
        <v>1</v>
      </c>
      <c r="R474" s="2" t="inlineStr">
        <is>
          <t>Vanlig backsmörblomma</t>
        </is>
      </c>
      <c r="S474">
        <f>HYPERLINK("https://klasma.github.io/Logging_0562/artfynd/A 10203-2022 artfynd.xlsx", "A 10203-2022")</f>
        <v/>
      </c>
      <c r="T474">
        <f>HYPERLINK("https://klasma.github.io/Logging_0562/kartor/A 10203-2022 karta.png", "A 10203-2022")</f>
        <v/>
      </c>
      <c r="V474">
        <f>HYPERLINK("https://klasma.github.io/Logging_0562/klagomål/A 10203-2022 FSC-klagomål.docx", "A 10203-2022")</f>
        <v/>
      </c>
      <c r="W474">
        <f>HYPERLINK("https://klasma.github.io/Logging_0562/klagomålsmail/A 10203-2022 FSC-klagomål mail.docx", "A 10203-2022")</f>
        <v/>
      </c>
      <c r="X474">
        <f>HYPERLINK("https://klasma.github.io/Logging_0562/tillsyn/A 10203-2022 tillsynsbegäran.docx", "A 10203-2022")</f>
        <v/>
      </c>
      <c r="Y474">
        <f>HYPERLINK("https://klasma.github.io/Logging_0562/tillsynsmail/A 10203-2022 tillsynsbegäran mail.docx", "A 10203-2022")</f>
        <v/>
      </c>
    </row>
    <row r="475" ht="15" customHeight="1">
      <c r="A475" t="inlineStr">
        <is>
          <t>A 38573-2024</t>
        </is>
      </c>
      <c r="B475" s="1" t="n">
        <v>45546.6384375</v>
      </c>
      <c r="C475" s="1" t="n">
        <v>46093</v>
      </c>
      <c r="D475" t="inlineStr">
        <is>
          <t>ÖSTERGÖTLANDS LÄN</t>
        </is>
      </c>
      <c r="E475" t="inlineStr">
        <is>
          <t>FINSPÅNG</t>
        </is>
      </c>
      <c r="F475" t="inlineStr">
        <is>
          <t>Holmen skog AB</t>
        </is>
      </c>
      <c r="G475" t="n">
        <v>9.699999999999999</v>
      </c>
      <c r="H475" t="n">
        <v>0</v>
      </c>
      <c r="I475" t="n">
        <v>1</v>
      </c>
      <c r="J475" t="n">
        <v>0</v>
      </c>
      <c r="K475" t="n">
        <v>0</v>
      </c>
      <c r="L475" t="n">
        <v>0</v>
      </c>
      <c r="M475" t="n">
        <v>0</v>
      </c>
      <c r="N475" t="n">
        <v>0</v>
      </c>
      <c r="O475" t="n">
        <v>0</v>
      </c>
      <c r="P475" t="n">
        <v>0</v>
      </c>
      <c r="Q475" t="n">
        <v>1</v>
      </c>
      <c r="R475" s="2" t="inlineStr">
        <is>
          <t>Grönpyrola</t>
        </is>
      </c>
      <c r="S475">
        <f>HYPERLINK("https://klasma.github.io/Logging_0562/artfynd/A 38573-2024 artfynd.xlsx", "A 38573-2024")</f>
        <v/>
      </c>
      <c r="T475">
        <f>HYPERLINK("https://klasma.github.io/Logging_0562/kartor/A 38573-2024 karta.png", "A 38573-2024")</f>
        <v/>
      </c>
      <c r="V475">
        <f>HYPERLINK("https://klasma.github.io/Logging_0562/klagomål/A 38573-2024 FSC-klagomål.docx", "A 38573-2024")</f>
        <v/>
      </c>
      <c r="W475">
        <f>HYPERLINK("https://klasma.github.io/Logging_0562/klagomålsmail/A 38573-2024 FSC-klagomål mail.docx", "A 38573-2024")</f>
        <v/>
      </c>
      <c r="X475">
        <f>HYPERLINK("https://klasma.github.io/Logging_0562/tillsyn/A 38573-2024 tillsynsbegäran.docx", "A 38573-2024")</f>
        <v/>
      </c>
      <c r="Y475">
        <f>HYPERLINK("https://klasma.github.io/Logging_0562/tillsynsmail/A 38573-2024 tillsynsbegäran mail.docx", "A 38573-2024")</f>
        <v/>
      </c>
    </row>
    <row r="476" ht="15" customHeight="1">
      <c r="A476" t="inlineStr">
        <is>
          <t>A 15497-2025</t>
        </is>
      </c>
      <c r="B476" s="1" t="n">
        <v>45747.58131944444</v>
      </c>
      <c r="C476" s="1" t="n">
        <v>46093</v>
      </c>
      <c r="D476" t="inlineStr">
        <is>
          <t>ÖSTERGÖTLANDS LÄN</t>
        </is>
      </c>
      <c r="E476" t="inlineStr">
        <is>
          <t>NORRKÖPING</t>
        </is>
      </c>
      <c r="F476" t="inlineStr">
        <is>
          <t>Holmen skog AB</t>
        </is>
      </c>
      <c r="G476" t="n">
        <v>10.1</v>
      </c>
      <c r="H476" t="n">
        <v>0</v>
      </c>
      <c r="I476" t="n">
        <v>1</v>
      </c>
      <c r="J476" t="n">
        <v>0</v>
      </c>
      <c r="K476" t="n">
        <v>0</v>
      </c>
      <c r="L476" t="n">
        <v>0</v>
      </c>
      <c r="M476" t="n">
        <v>0</v>
      </c>
      <c r="N476" t="n">
        <v>0</v>
      </c>
      <c r="O476" t="n">
        <v>0</v>
      </c>
      <c r="P476" t="n">
        <v>0</v>
      </c>
      <c r="Q476" t="n">
        <v>1</v>
      </c>
      <c r="R476" s="2" t="inlineStr">
        <is>
          <t>Tibast</t>
        </is>
      </c>
      <c r="S476">
        <f>HYPERLINK("https://klasma.github.io/Logging_0581/artfynd/A 15497-2025 artfynd.xlsx", "A 15497-2025")</f>
        <v/>
      </c>
      <c r="T476">
        <f>HYPERLINK("https://klasma.github.io/Logging_0581/kartor/A 15497-2025 karta.png", "A 15497-2025")</f>
        <v/>
      </c>
      <c r="V476">
        <f>HYPERLINK("https://klasma.github.io/Logging_0581/klagomål/A 15497-2025 FSC-klagomål.docx", "A 15497-2025")</f>
        <v/>
      </c>
      <c r="W476">
        <f>HYPERLINK("https://klasma.github.io/Logging_0581/klagomålsmail/A 15497-2025 FSC-klagomål mail.docx", "A 15497-2025")</f>
        <v/>
      </c>
      <c r="X476">
        <f>HYPERLINK("https://klasma.github.io/Logging_0581/tillsyn/A 15497-2025 tillsynsbegäran.docx", "A 15497-2025")</f>
        <v/>
      </c>
      <c r="Y476">
        <f>HYPERLINK("https://klasma.github.io/Logging_0581/tillsynsmail/A 15497-2025 tillsynsbegäran mail.docx", "A 15497-2025")</f>
        <v/>
      </c>
    </row>
    <row r="477" ht="15" customHeight="1">
      <c r="A477" t="inlineStr">
        <is>
          <t>A 44552-2021</t>
        </is>
      </c>
      <c r="B477" s="1" t="n">
        <v>44435</v>
      </c>
      <c r="C477" s="1" t="n">
        <v>46093</v>
      </c>
      <c r="D477" t="inlineStr">
        <is>
          <t>ÖSTERGÖTLANDS LÄN</t>
        </is>
      </c>
      <c r="E477" t="inlineStr">
        <is>
          <t>KINDA</t>
        </is>
      </c>
      <c r="G477" t="n">
        <v>3.7</v>
      </c>
      <c r="H477" t="n">
        <v>0</v>
      </c>
      <c r="I477" t="n">
        <v>0</v>
      </c>
      <c r="J477" t="n">
        <v>1</v>
      </c>
      <c r="K477" t="n">
        <v>0</v>
      </c>
      <c r="L477" t="n">
        <v>0</v>
      </c>
      <c r="M477" t="n">
        <v>0</v>
      </c>
      <c r="N477" t="n">
        <v>0</v>
      </c>
      <c r="O477" t="n">
        <v>1</v>
      </c>
      <c r="P477" t="n">
        <v>0</v>
      </c>
      <c r="Q477" t="n">
        <v>1</v>
      </c>
      <c r="R477" s="2" t="inlineStr">
        <is>
          <t>Storgröe</t>
        </is>
      </c>
      <c r="S477">
        <f>HYPERLINK("https://klasma.github.io/Logging_0513/artfynd/A 44552-2021 artfynd.xlsx", "A 44552-2021")</f>
        <v/>
      </c>
      <c r="T477">
        <f>HYPERLINK("https://klasma.github.io/Logging_0513/kartor/A 44552-2021 karta.png", "A 44552-2021")</f>
        <v/>
      </c>
      <c r="V477">
        <f>HYPERLINK("https://klasma.github.io/Logging_0513/klagomål/A 44552-2021 FSC-klagomål.docx", "A 44552-2021")</f>
        <v/>
      </c>
      <c r="W477">
        <f>HYPERLINK("https://klasma.github.io/Logging_0513/klagomålsmail/A 44552-2021 FSC-klagomål mail.docx", "A 44552-2021")</f>
        <v/>
      </c>
      <c r="X477">
        <f>HYPERLINK("https://klasma.github.io/Logging_0513/tillsyn/A 44552-2021 tillsynsbegäran.docx", "A 44552-2021")</f>
        <v/>
      </c>
      <c r="Y477">
        <f>HYPERLINK("https://klasma.github.io/Logging_0513/tillsynsmail/A 44552-2021 tillsynsbegäran mail.docx", "A 44552-2021")</f>
        <v/>
      </c>
    </row>
    <row r="478" ht="15" customHeight="1">
      <c r="A478" t="inlineStr">
        <is>
          <t>A 59474-2025</t>
        </is>
      </c>
      <c r="B478" s="1" t="n">
        <v>45989.58512731481</v>
      </c>
      <c r="C478" s="1" t="n">
        <v>46093</v>
      </c>
      <c r="D478" t="inlineStr">
        <is>
          <t>ÖSTERGÖTLANDS LÄN</t>
        </is>
      </c>
      <c r="E478" t="inlineStr">
        <is>
          <t>LINKÖPING</t>
        </is>
      </c>
      <c r="G478" t="n">
        <v>8</v>
      </c>
      <c r="H478" t="n">
        <v>0</v>
      </c>
      <c r="I478" t="n">
        <v>1</v>
      </c>
      <c r="J478" t="n">
        <v>0</v>
      </c>
      <c r="K478" t="n">
        <v>0</v>
      </c>
      <c r="L478" t="n">
        <v>0</v>
      </c>
      <c r="M478" t="n">
        <v>0</v>
      </c>
      <c r="N478" t="n">
        <v>0</v>
      </c>
      <c r="O478" t="n">
        <v>0</v>
      </c>
      <c r="P478" t="n">
        <v>0</v>
      </c>
      <c r="Q478" t="n">
        <v>1</v>
      </c>
      <c r="R478" s="2" t="inlineStr">
        <is>
          <t>Fällmossa</t>
        </is>
      </c>
      <c r="S478">
        <f>HYPERLINK("https://klasma.github.io/Logging_0580/artfynd/A 59474-2025 artfynd.xlsx", "A 59474-2025")</f>
        <v/>
      </c>
      <c r="T478">
        <f>HYPERLINK("https://klasma.github.io/Logging_0580/kartor/A 59474-2025 karta.png", "A 59474-2025")</f>
        <v/>
      </c>
      <c r="V478">
        <f>HYPERLINK("https://klasma.github.io/Logging_0580/klagomål/A 59474-2025 FSC-klagomål.docx", "A 59474-2025")</f>
        <v/>
      </c>
      <c r="W478">
        <f>HYPERLINK("https://klasma.github.io/Logging_0580/klagomålsmail/A 59474-2025 FSC-klagomål mail.docx", "A 59474-2025")</f>
        <v/>
      </c>
      <c r="X478">
        <f>HYPERLINK("https://klasma.github.io/Logging_0580/tillsyn/A 59474-2025 tillsynsbegäran.docx", "A 59474-2025")</f>
        <v/>
      </c>
      <c r="Y478">
        <f>HYPERLINK("https://klasma.github.io/Logging_0580/tillsynsmail/A 59474-2025 tillsynsbegäran mail.docx", "A 59474-2025")</f>
        <v/>
      </c>
    </row>
    <row r="479" ht="15" customHeight="1">
      <c r="A479" t="inlineStr">
        <is>
          <t>A 40478-2024</t>
        </is>
      </c>
      <c r="B479" s="1" t="n">
        <v>45555.54835648148</v>
      </c>
      <c r="C479" s="1" t="n">
        <v>46093</v>
      </c>
      <c r="D479" t="inlineStr">
        <is>
          <t>ÖSTERGÖTLANDS LÄN</t>
        </is>
      </c>
      <c r="E479" t="inlineStr">
        <is>
          <t>FINSPÅNG</t>
        </is>
      </c>
      <c r="F479" t="inlineStr">
        <is>
          <t>Holmen skog AB</t>
        </is>
      </c>
      <c r="G479" t="n">
        <v>7.4</v>
      </c>
      <c r="H479" t="n">
        <v>0</v>
      </c>
      <c r="I479" t="n">
        <v>1</v>
      </c>
      <c r="J479" t="n">
        <v>0</v>
      </c>
      <c r="K479" t="n">
        <v>0</v>
      </c>
      <c r="L479" t="n">
        <v>0</v>
      </c>
      <c r="M479" t="n">
        <v>0</v>
      </c>
      <c r="N479" t="n">
        <v>0</v>
      </c>
      <c r="O479" t="n">
        <v>0</v>
      </c>
      <c r="P479" t="n">
        <v>0</v>
      </c>
      <c r="Q479" t="n">
        <v>1</v>
      </c>
      <c r="R479" s="2" t="inlineStr">
        <is>
          <t>Grönpyrola</t>
        </is>
      </c>
      <c r="S479">
        <f>HYPERLINK("https://klasma.github.io/Logging_0562/artfynd/A 40478-2024 artfynd.xlsx", "A 40478-2024")</f>
        <v/>
      </c>
      <c r="T479">
        <f>HYPERLINK("https://klasma.github.io/Logging_0562/kartor/A 40478-2024 karta.png", "A 40478-2024")</f>
        <v/>
      </c>
      <c r="V479">
        <f>HYPERLINK("https://klasma.github.io/Logging_0562/klagomål/A 40478-2024 FSC-klagomål.docx", "A 40478-2024")</f>
        <v/>
      </c>
      <c r="W479">
        <f>HYPERLINK("https://klasma.github.io/Logging_0562/klagomålsmail/A 40478-2024 FSC-klagomål mail.docx", "A 40478-2024")</f>
        <v/>
      </c>
      <c r="X479">
        <f>HYPERLINK("https://klasma.github.io/Logging_0562/tillsyn/A 40478-2024 tillsynsbegäran.docx", "A 40478-2024")</f>
        <v/>
      </c>
      <c r="Y479">
        <f>HYPERLINK("https://klasma.github.io/Logging_0562/tillsynsmail/A 40478-2024 tillsynsbegäran mail.docx", "A 40478-2024")</f>
        <v/>
      </c>
    </row>
    <row r="480" ht="15" customHeight="1">
      <c r="A480" t="inlineStr">
        <is>
          <t>A 22327-2024</t>
        </is>
      </c>
      <c r="B480" s="1" t="n">
        <v>45446.58446759259</v>
      </c>
      <c r="C480" s="1" t="n">
        <v>46093</v>
      </c>
      <c r="D480" t="inlineStr">
        <is>
          <t>ÖSTERGÖTLANDS LÄN</t>
        </is>
      </c>
      <c r="E480" t="inlineStr">
        <is>
          <t>MJÖLBY</t>
        </is>
      </c>
      <c r="G480" t="n">
        <v>1.8</v>
      </c>
      <c r="H480" t="n">
        <v>0</v>
      </c>
      <c r="I480" t="n">
        <v>0</v>
      </c>
      <c r="J480" t="n">
        <v>1</v>
      </c>
      <c r="K480" t="n">
        <v>0</v>
      </c>
      <c r="L480" t="n">
        <v>0</v>
      </c>
      <c r="M480" t="n">
        <v>0</v>
      </c>
      <c r="N480" t="n">
        <v>0</v>
      </c>
      <c r="O480" t="n">
        <v>1</v>
      </c>
      <c r="P480" t="n">
        <v>0</v>
      </c>
      <c r="Q480" t="n">
        <v>1</v>
      </c>
      <c r="R480" s="2" t="inlineStr">
        <is>
          <t>Svinrot</t>
        </is>
      </c>
      <c r="S480">
        <f>HYPERLINK("https://klasma.github.io/Logging_0586/artfynd/A 22327-2024 artfynd.xlsx", "A 22327-2024")</f>
        <v/>
      </c>
      <c r="T480">
        <f>HYPERLINK("https://klasma.github.io/Logging_0586/kartor/A 22327-2024 karta.png", "A 22327-2024")</f>
        <v/>
      </c>
      <c r="V480">
        <f>HYPERLINK("https://klasma.github.io/Logging_0586/klagomål/A 22327-2024 FSC-klagomål.docx", "A 22327-2024")</f>
        <v/>
      </c>
      <c r="W480">
        <f>HYPERLINK("https://klasma.github.io/Logging_0586/klagomålsmail/A 22327-2024 FSC-klagomål mail.docx", "A 22327-2024")</f>
        <v/>
      </c>
      <c r="X480">
        <f>HYPERLINK("https://klasma.github.io/Logging_0586/tillsyn/A 22327-2024 tillsynsbegäran.docx", "A 22327-2024")</f>
        <v/>
      </c>
      <c r="Y480">
        <f>HYPERLINK("https://klasma.github.io/Logging_0586/tillsynsmail/A 22327-2024 tillsynsbegäran mail.docx", "A 22327-2024")</f>
        <v/>
      </c>
    </row>
    <row r="481" ht="15" customHeight="1">
      <c r="A481" t="inlineStr">
        <is>
          <t>A 60311-2025</t>
        </is>
      </c>
      <c r="B481" s="1" t="n">
        <v>45994</v>
      </c>
      <c r="C481" s="1" t="n">
        <v>46093</v>
      </c>
      <c r="D481" t="inlineStr">
        <is>
          <t>ÖSTERGÖTLANDS LÄN</t>
        </is>
      </c>
      <c r="E481" t="inlineStr">
        <is>
          <t>LINKÖPING</t>
        </is>
      </c>
      <c r="G481" t="n">
        <v>1.9</v>
      </c>
      <c r="H481" t="n">
        <v>0</v>
      </c>
      <c r="I481" t="n">
        <v>0</v>
      </c>
      <c r="J481" t="n">
        <v>1</v>
      </c>
      <c r="K481" t="n">
        <v>0</v>
      </c>
      <c r="L481" t="n">
        <v>0</v>
      </c>
      <c r="M481" t="n">
        <v>0</v>
      </c>
      <c r="N481" t="n">
        <v>0</v>
      </c>
      <c r="O481" t="n">
        <v>1</v>
      </c>
      <c r="P481" t="n">
        <v>0</v>
      </c>
      <c r="Q481" t="n">
        <v>1</v>
      </c>
      <c r="R481" s="2" t="inlineStr">
        <is>
          <t>Gammelekslav</t>
        </is>
      </c>
      <c r="S481">
        <f>HYPERLINK("https://klasma.github.io/Logging_0580/artfynd/A 60311-2025 artfynd.xlsx", "A 60311-2025")</f>
        <v/>
      </c>
      <c r="T481">
        <f>HYPERLINK("https://klasma.github.io/Logging_0580/kartor/A 60311-2025 karta.png", "A 60311-2025")</f>
        <v/>
      </c>
      <c r="V481">
        <f>HYPERLINK("https://klasma.github.io/Logging_0580/klagomål/A 60311-2025 FSC-klagomål.docx", "A 60311-2025")</f>
        <v/>
      </c>
      <c r="W481">
        <f>HYPERLINK("https://klasma.github.io/Logging_0580/klagomålsmail/A 60311-2025 FSC-klagomål mail.docx", "A 60311-2025")</f>
        <v/>
      </c>
      <c r="X481">
        <f>HYPERLINK("https://klasma.github.io/Logging_0580/tillsyn/A 60311-2025 tillsynsbegäran.docx", "A 60311-2025")</f>
        <v/>
      </c>
      <c r="Y481">
        <f>HYPERLINK("https://klasma.github.io/Logging_0580/tillsynsmail/A 60311-2025 tillsynsbegäran mail.docx", "A 60311-2025")</f>
        <v/>
      </c>
    </row>
    <row r="482" ht="15" customHeight="1">
      <c r="A482" t="inlineStr">
        <is>
          <t>A 30255-2024</t>
        </is>
      </c>
      <c r="B482" s="1" t="n">
        <v>45490.56811342593</v>
      </c>
      <c r="C482" s="1" t="n">
        <v>46093</v>
      </c>
      <c r="D482" t="inlineStr">
        <is>
          <t>ÖSTERGÖTLANDS LÄN</t>
        </is>
      </c>
      <c r="E482" t="inlineStr">
        <is>
          <t>KINDA</t>
        </is>
      </c>
      <c r="G482" t="n">
        <v>6.3</v>
      </c>
      <c r="H482" t="n">
        <v>0</v>
      </c>
      <c r="I482" t="n">
        <v>0</v>
      </c>
      <c r="J482" t="n">
        <v>0</v>
      </c>
      <c r="K482" t="n">
        <v>1</v>
      </c>
      <c r="L482" t="n">
        <v>0</v>
      </c>
      <c r="M482" t="n">
        <v>0</v>
      </c>
      <c r="N482" t="n">
        <v>0</v>
      </c>
      <c r="O482" t="n">
        <v>1</v>
      </c>
      <c r="P482" t="n">
        <v>1</v>
      </c>
      <c r="Q482" t="n">
        <v>1</v>
      </c>
      <c r="R482" s="2" t="inlineStr">
        <is>
          <t>Späd fetfibbla</t>
        </is>
      </c>
      <c r="S482">
        <f>HYPERLINK("https://klasma.github.io/Logging_0513/artfynd/A 30255-2024 artfynd.xlsx", "A 30255-2024")</f>
        <v/>
      </c>
      <c r="T482">
        <f>HYPERLINK("https://klasma.github.io/Logging_0513/kartor/A 30255-2024 karta.png", "A 30255-2024")</f>
        <v/>
      </c>
      <c r="V482">
        <f>HYPERLINK("https://klasma.github.io/Logging_0513/klagomål/A 30255-2024 FSC-klagomål.docx", "A 30255-2024")</f>
        <v/>
      </c>
      <c r="W482">
        <f>HYPERLINK("https://klasma.github.io/Logging_0513/klagomålsmail/A 30255-2024 FSC-klagomål mail.docx", "A 30255-2024")</f>
        <v/>
      </c>
      <c r="X482">
        <f>HYPERLINK("https://klasma.github.io/Logging_0513/tillsyn/A 30255-2024 tillsynsbegäran.docx", "A 30255-2024")</f>
        <v/>
      </c>
      <c r="Y482">
        <f>HYPERLINK("https://klasma.github.io/Logging_0513/tillsynsmail/A 30255-2024 tillsynsbegäran mail.docx", "A 30255-2024")</f>
        <v/>
      </c>
    </row>
    <row r="483" ht="15" customHeight="1">
      <c r="A483" t="inlineStr">
        <is>
          <t>A 26261-2024</t>
        </is>
      </c>
      <c r="B483" s="1" t="n">
        <v>45468.65774305556</v>
      </c>
      <c r="C483" s="1" t="n">
        <v>46093</v>
      </c>
      <c r="D483" t="inlineStr">
        <is>
          <t>ÖSTERGÖTLANDS LÄN</t>
        </is>
      </c>
      <c r="E483" t="inlineStr">
        <is>
          <t>MJÖLBY</t>
        </is>
      </c>
      <c r="G483" t="n">
        <v>6.1</v>
      </c>
      <c r="H483" t="n">
        <v>0</v>
      </c>
      <c r="I483" t="n">
        <v>0</v>
      </c>
      <c r="J483" t="n">
        <v>1</v>
      </c>
      <c r="K483" t="n">
        <v>0</v>
      </c>
      <c r="L483" t="n">
        <v>0</v>
      </c>
      <c r="M483" t="n">
        <v>0</v>
      </c>
      <c r="N483" t="n">
        <v>0</v>
      </c>
      <c r="O483" t="n">
        <v>1</v>
      </c>
      <c r="P483" t="n">
        <v>0</v>
      </c>
      <c r="Q483" t="n">
        <v>1</v>
      </c>
      <c r="R483" s="2" t="inlineStr">
        <is>
          <t>Åkerväddsantennmal</t>
        </is>
      </c>
      <c r="S483">
        <f>HYPERLINK("https://klasma.github.io/Logging_0586/artfynd/A 26261-2024 artfynd.xlsx", "A 26261-2024")</f>
        <v/>
      </c>
      <c r="T483">
        <f>HYPERLINK("https://klasma.github.io/Logging_0586/kartor/A 26261-2024 karta.png", "A 26261-2024")</f>
        <v/>
      </c>
      <c r="V483">
        <f>HYPERLINK("https://klasma.github.io/Logging_0586/klagomål/A 26261-2024 FSC-klagomål.docx", "A 26261-2024")</f>
        <v/>
      </c>
      <c r="W483">
        <f>HYPERLINK("https://klasma.github.io/Logging_0586/klagomålsmail/A 26261-2024 FSC-klagomål mail.docx", "A 26261-2024")</f>
        <v/>
      </c>
      <c r="X483">
        <f>HYPERLINK("https://klasma.github.io/Logging_0586/tillsyn/A 26261-2024 tillsynsbegäran.docx", "A 26261-2024")</f>
        <v/>
      </c>
      <c r="Y483">
        <f>HYPERLINK("https://klasma.github.io/Logging_0586/tillsynsmail/A 26261-2024 tillsynsbegäran mail.docx", "A 26261-2024")</f>
        <v/>
      </c>
    </row>
    <row r="484" ht="15" customHeight="1">
      <c r="A484" t="inlineStr">
        <is>
          <t>A 57456-2021</t>
        </is>
      </c>
      <c r="B484" s="1" t="n">
        <v>44483</v>
      </c>
      <c r="C484" s="1" t="n">
        <v>46093</v>
      </c>
      <c r="D484" t="inlineStr">
        <is>
          <t>ÖSTERGÖTLANDS LÄN</t>
        </is>
      </c>
      <c r="E484" t="inlineStr">
        <is>
          <t>KINDA</t>
        </is>
      </c>
      <c r="G484" t="n">
        <v>2.2</v>
      </c>
      <c r="H484" t="n">
        <v>0</v>
      </c>
      <c r="I484" t="n">
        <v>0</v>
      </c>
      <c r="J484" t="n">
        <v>1</v>
      </c>
      <c r="K484" t="n">
        <v>0</v>
      </c>
      <c r="L484" t="n">
        <v>0</v>
      </c>
      <c r="M484" t="n">
        <v>0</v>
      </c>
      <c r="N484" t="n">
        <v>0</v>
      </c>
      <c r="O484" t="n">
        <v>1</v>
      </c>
      <c r="P484" t="n">
        <v>0</v>
      </c>
      <c r="Q484" t="n">
        <v>1</v>
      </c>
      <c r="R484" s="2" t="inlineStr">
        <is>
          <t>Smalsprötad bastardsvärmare</t>
        </is>
      </c>
      <c r="S484">
        <f>HYPERLINK("https://klasma.github.io/Logging_0513/artfynd/A 57456-2021 artfynd.xlsx", "A 57456-2021")</f>
        <v/>
      </c>
      <c r="T484">
        <f>HYPERLINK("https://klasma.github.io/Logging_0513/kartor/A 57456-2021 karta.png", "A 57456-2021")</f>
        <v/>
      </c>
      <c r="V484">
        <f>HYPERLINK("https://klasma.github.io/Logging_0513/klagomål/A 57456-2021 FSC-klagomål.docx", "A 57456-2021")</f>
        <v/>
      </c>
      <c r="W484">
        <f>HYPERLINK("https://klasma.github.io/Logging_0513/klagomålsmail/A 57456-2021 FSC-klagomål mail.docx", "A 57456-2021")</f>
        <v/>
      </c>
      <c r="X484">
        <f>HYPERLINK("https://klasma.github.io/Logging_0513/tillsyn/A 57456-2021 tillsynsbegäran.docx", "A 57456-2021")</f>
        <v/>
      </c>
      <c r="Y484">
        <f>HYPERLINK("https://klasma.github.io/Logging_0513/tillsynsmail/A 57456-2021 tillsynsbegäran mail.docx", "A 57456-2021")</f>
        <v/>
      </c>
    </row>
    <row r="485" ht="15" customHeight="1">
      <c r="A485" t="inlineStr">
        <is>
          <t>A 24411-2023</t>
        </is>
      </c>
      <c r="B485" s="1" t="n">
        <v>45082</v>
      </c>
      <c r="C485" s="1" t="n">
        <v>46093</v>
      </c>
      <c r="D485" t="inlineStr">
        <is>
          <t>ÖSTERGÖTLANDS LÄN</t>
        </is>
      </c>
      <c r="E485" t="inlineStr">
        <is>
          <t>FINSPÅNG</t>
        </is>
      </c>
      <c r="F485" t="inlineStr">
        <is>
          <t>Holmen skog AB</t>
        </is>
      </c>
      <c r="G485" t="n">
        <v>1.5</v>
      </c>
      <c r="H485" t="n">
        <v>0</v>
      </c>
      <c r="I485" t="n">
        <v>1</v>
      </c>
      <c r="J485" t="n">
        <v>0</v>
      </c>
      <c r="K485" t="n">
        <v>0</v>
      </c>
      <c r="L485" t="n">
        <v>0</v>
      </c>
      <c r="M485" t="n">
        <v>0</v>
      </c>
      <c r="N485" t="n">
        <v>0</v>
      </c>
      <c r="O485" t="n">
        <v>0</v>
      </c>
      <c r="P485" t="n">
        <v>0</v>
      </c>
      <c r="Q485" t="n">
        <v>1</v>
      </c>
      <c r="R485" s="2" t="inlineStr">
        <is>
          <t>Blåmossa</t>
        </is>
      </c>
      <c r="S485">
        <f>HYPERLINK("https://klasma.github.io/Logging_0562/artfynd/A 24411-2023 artfynd.xlsx", "A 24411-2023")</f>
        <v/>
      </c>
      <c r="T485">
        <f>HYPERLINK("https://klasma.github.io/Logging_0562/kartor/A 24411-2023 karta.png", "A 24411-2023")</f>
        <v/>
      </c>
      <c r="V485">
        <f>HYPERLINK("https://klasma.github.io/Logging_0562/klagomål/A 24411-2023 FSC-klagomål.docx", "A 24411-2023")</f>
        <v/>
      </c>
      <c r="W485">
        <f>HYPERLINK("https://klasma.github.io/Logging_0562/klagomålsmail/A 24411-2023 FSC-klagomål mail.docx", "A 24411-2023")</f>
        <v/>
      </c>
      <c r="X485">
        <f>HYPERLINK("https://klasma.github.io/Logging_0562/tillsyn/A 24411-2023 tillsynsbegäran.docx", "A 24411-2023")</f>
        <v/>
      </c>
      <c r="Y485">
        <f>HYPERLINK("https://klasma.github.io/Logging_0562/tillsynsmail/A 24411-2023 tillsynsbegäran mail.docx", "A 24411-2023")</f>
        <v/>
      </c>
    </row>
    <row r="486" ht="15" customHeight="1">
      <c r="A486" t="inlineStr">
        <is>
          <t>A 1716-2023</t>
        </is>
      </c>
      <c r="B486" s="1" t="n">
        <v>44938</v>
      </c>
      <c r="C486" s="1" t="n">
        <v>46093</v>
      </c>
      <c r="D486" t="inlineStr">
        <is>
          <t>ÖSTERGÖTLANDS LÄN</t>
        </is>
      </c>
      <c r="E486" t="inlineStr">
        <is>
          <t>LINKÖPING</t>
        </is>
      </c>
      <c r="G486" t="n">
        <v>3.6</v>
      </c>
      <c r="H486" t="n">
        <v>0</v>
      </c>
      <c r="I486" t="n">
        <v>0</v>
      </c>
      <c r="J486" t="n">
        <v>1</v>
      </c>
      <c r="K486" t="n">
        <v>0</v>
      </c>
      <c r="L486" t="n">
        <v>0</v>
      </c>
      <c r="M486" t="n">
        <v>0</v>
      </c>
      <c r="N486" t="n">
        <v>0</v>
      </c>
      <c r="O486" t="n">
        <v>1</v>
      </c>
      <c r="P486" t="n">
        <v>0</v>
      </c>
      <c r="Q486" t="n">
        <v>1</v>
      </c>
      <c r="R486" s="2" t="inlineStr">
        <is>
          <t>Svinrot</t>
        </is>
      </c>
      <c r="S486">
        <f>HYPERLINK("https://klasma.github.io/Logging_0580/artfynd/A 1716-2023 artfynd.xlsx", "A 1716-2023")</f>
        <v/>
      </c>
      <c r="T486">
        <f>HYPERLINK("https://klasma.github.io/Logging_0580/kartor/A 1716-2023 karta.png", "A 1716-2023")</f>
        <v/>
      </c>
      <c r="V486">
        <f>HYPERLINK("https://klasma.github.io/Logging_0580/klagomål/A 1716-2023 FSC-klagomål.docx", "A 1716-2023")</f>
        <v/>
      </c>
      <c r="W486">
        <f>HYPERLINK("https://klasma.github.io/Logging_0580/klagomålsmail/A 1716-2023 FSC-klagomål mail.docx", "A 1716-2023")</f>
        <v/>
      </c>
      <c r="X486">
        <f>HYPERLINK("https://klasma.github.io/Logging_0580/tillsyn/A 1716-2023 tillsynsbegäran.docx", "A 1716-2023")</f>
        <v/>
      </c>
      <c r="Y486">
        <f>HYPERLINK("https://klasma.github.io/Logging_0580/tillsynsmail/A 1716-2023 tillsynsbegäran mail.docx", "A 1716-2023")</f>
        <v/>
      </c>
    </row>
    <row r="487" ht="15" customHeight="1">
      <c r="A487" t="inlineStr">
        <is>
          <t>A 15124-2025</t>
        </is>
      </c>
      <c r="B487" s="1" t="n">
        <v>45744</v>
      </c>
      <c r="C487" s="1" t="n">
        <v>46093</v>
      </c>
      <c r="D487" t="inlineStr">
        <is>
          <t>ÖSTERGÖTLANDS LÄN</t>
        </is>
      </c>
      <c r="E487" t="inlineStr">
        <is>
          <t>NORRKÖPING</t>
        </is>
      </c>
      <c r="F487" t="inlineStr">
        <is>
          <t>Holmen skog AB</t>
        </is>
      </c>
      <c r="G487" t="n">
        <v>3.8</v>
      </c>
      <c r="H487" t="n">
        <v>0</v>
      </c>
      <c r="I487" t="n">
        <v>0</v>
      </c>
      <c r="J487" t="n">
        <v>1</v>
      </c>
      <c r="K487" t="n">
        <v>0</v>
      </c>
      <c r="L487" t="n">
        <v>0</v>
      </c>
      <c r="M487" t="n">
        <v>0</v>
      </c>
      <c r="N487" t="n">
        <v>0</v>
      </c>
      <c r="O487" t="n">
        <v>1</v>
      </c>
      <c r="P487" t="n">
        <v>0</v>
      </c>
      <c r="Q487" t="n">
        <v>1</v>
      </c>
      <c r="R487" s="2" t="inlineStr">
        <is>
          <t>Vedskivlav</t>
        </is>
      </c>
      <c r="S487">
        <f>HYPERLINK("https://klasma.github.io/Logging_0581/artfynd/A 15124-2025 artfynd.xlsx", "A 15124-2025")</f>
        <v/>
      </c>
      <c r="T487">
        <f>HYPERLINK("https://klasma.github.io/Logging_0581/kartor/A 15124-2025 karta.png", "A 15124-2025")</f>
        <v/>
      </c>
      <c r="V487">
        <f>HYPERLINK("https://klasma.github.io/Logging_0581/klagomål/A 15124-2025 FSC-klagomål.docx", "A 15124-2025")</f>
        <v/>
      </c>
      <c r="W487">
        <f>HYPERLINK("https://klasma.github.io/Logging_0581/klagomålsmail/A 15124-2025 FSC-klagomål mail.docx", "A 15124-2025")</f>
        <v/>
      </c>
      <c r="X487">
        <f>HYPERLINK("https://klasma.github.io/Logging_0581/tillsyn/A 15124-2025 tillsynsbegäran.docx", "A 15124-2025")</f>
        <v/>
      </c>
      <c r="Y487">
        <f>HYPERLINK("https://klasma.github.io/Logging_0581/tillsynsmail/A 15124-2025 tillsynsbegäran mail.docx", "A 15124-2025")</f>
        <v/>
      </c>
    </row>
    <row r="488" ht="15" customHeight="1">
      <c r="A488" t="inlineStr">
        <is>
          <t>A 15143-2025</t>
        </is>
      </c>
      <c r="B488" s="1" t="n">
        <v>45744.41443287037</v>
      </c>
      <c r="C488" s="1" t="n">
        <v>46093</v>
      </c>
      <c r="D488" t="inlineStr">
        <is>
          <t>ÖSTERGÖTLANDS LÄN</t>
        </is>
      </c>
      <c r="E488" t="inlineStr">
        <is>
          <t>NORRKÖPING</t>
        </is>
      </c>
      <c r="F488" t="inlineStr">
        <is>
          <t>Holmen skog AB</t>
        </is>
      </c>
      <c r="G488" t="n">
        <v>0.9</v>
      </c>
      <c r="H488" t="n">
        <v>0</v>
      </c>
      <c r="I488" t="n">
        <v>0</v>
      </c>
      <c r="J488" t="n">
        <v>1</v>
      </c>
      <c r="K488" t="n">
        <v>0</v>
      </c>
      <c r="L488" t="n">
        <v>0</v>
      </c>
      <c r="M488" t="n">
        <v>0</v>
      </c>
      <c r="N488" t="n">
        <v>0</v>
      </c>
      <c r="O488" t="n">
        <v>1</v>
      </c>
      <c r="P488" t="n">
        <v>0</v>
      </c>
      <c r="Q488" t="n">
        <v>1</v>
      </c>
      <c r="R488" s="2" t="inlineStr">
        <is>
          <t>Vedskivlav</t>
        </is>
      </c>
      <c r="S488">
        <f>HYPERLINK("https://klasma.github.io/Logging_0581/artfynd/A 15143-2025 artfynd.xlsx", "A 15143-2025")</f>
        <v/>
      </c>
      <c r="T488">
        <f>HYPERLINK("https://klasma.github.io/Logging_0581/kartor/A 15143-2025 karta.png", "A 15143-2025")</f>
        <v/>
      </c>
      <c r="V488">
        <f>HYPERLINK("https://klasma.github.io/Logging_0581/klagomål/A 15143-2025 FSC-klagomål.docx", "A 15143-2025")</f>
        <v/>
      </c>
      <c r="W488">
        <f>HYPERLINK("https://klasma.github.io/Logging_0581/klagomålsmail/A 15143-2025 FSC-klagomål mail.docx", "A 15143-2025")</f>
        <v/>
      </c>
      <c r="X488">
        <f>HYPERLINK("https://klasma.github.io/Logging_0581/tillsyn/A 15143-2025 tillsynsbegäran.docx", "A 15143-2025")</f>
        <v/>
      </c>
      <c r="Y488">
        <f>HYPERLINK("https://klasma.github.io/Logging_0581/tillsynsmail/A 15143-2025 tillsynsbegäran mail.docx", "A 15143-2025")</f>
        <v/>
      </c>
    </row>
    <row r="489" ht="15" customHeight="1">
      <c r="A489" t="inlineStr">
        <is>
          <t>A 61704-2025</t>
        </is>
      </c>
      <c r="B489" s="1" t="n">
        <v>46002.5483912037</v>
      </c>
      <c r="C489" s="1" t="n">
        <v>46093</v>
      </c>
      <c r="D489" t="inlineStr">
        <is>
          <t>ÖSTERGÖTLANDS LÄN</t>
        </is>
      </c>
      <c r="E489" t="inlineStr">
        <is>
          <t>KINDA</t>
        </is>
      </c>
      <c r="G489" t="n">
        <v>2.3</v>
      </c>
      <c r="H489" t="n">
        <v>0</v>
      </c>
      <c r="I489" t="n">
        <v>1</v>
      </c>
      <c r="J489" t="n">
        <v>0</v>
      </c>
      <c r="K489" t="n">
        <v>0</v>
      </c>
      <c r="L489" t="n">
        <v>0</v>
      </c>
      <c r="M489" t="n">
        <v>0</v>
      </c>
      <c r="N489" t="n">
        <v>0</v>
      </c>
      <c r="O489" t="n">
        <v>0</v>
      </c>
      <c r="P489" t="n">
        <v>0</v>
      </c>
      <c r="Q489" t="n">
        <v>1</v>
      </c>
      <c r="R489" s="2" t="inlineStr">
        <is>
          <t>Sårläka</t>
        </is>
      </c>
      <c r="S489">
        <f>HYPERLINK("https://klasma.github.io/Logging_0513/artfynd/A 61704-2025 artfynd.xlsx", "A 61704-2025")</f>
        <v/>
      </c>
      <c r="T489">
        <f>HYPERLINK("https://klasma.github.io/Logging_0513/kartor/A 61704-2025 karta.png", "A 61704-2025")</f>
        <v/>
      </c>
      <c r="V489">
        <f>HYPERLINK("https://klasma.github.io/Logging_0513/klagomål/A 61704-2025 FSC-klagomål.docx", "A 61704-2025")</f>
        <v/>
      </c>
      <c r="W489">
        <f>HYPERLINK("https://klasma.github.io/Logging_0513/klagomålsmail/A 61704-2025 FSC-klagomål mail.docx", "A 61704-2025")</f>
        <v/>
      </c>
      <c r="X489">
        <f>HYPERLINK("https://klasma.github.io/Logging_0513/tillsyn/A 61704-2025 tillsynsbegäran.docx", "A 61704-2025")</f>
        <v/>
      </c>
      <c r="Y489">
        <f>HYPERLINK("https://klasma.github.io/Logging_0513/tillsynsmail/A 61704-2025 tillsynsbegäran mail.docx", "A 61704-2025")</f>
        <v/>
      </c>
    </row>
    <row r="490" ht="15" customHeight="1">
      <c r="A490" t="inlineStr">
        <is>
          <t>A 16388-2021</t>
        </is>
      </c>
      <c r="B490" s="1" t="n">
        <v>44293</v>
      </c>
      <c r="C490" s="1" t="n">
        <v>46093</v>
      </c>
      <c r="D490" t="inlineStr">
        <is>
          <t>ÖSTERGÖTLANDS LÄN</t>
        </is>
      </c>
      <c r="E490" t="inlineStr">
        <is>
          <t>VALDEMARSVIK</t>
        </is>
      </c>
      <c r="F490" t="inlineStr">
        <is>
          <t>Kommuner</t>
        </is>
      </c>
      <c r="G490" t="n">
        <v>5.8</v>
      </c>
      <c r="H490" t="n">
        <v>0</v>
      </c>
      <c r="I490" t="n">
        <v>0</v>
      </c>
      <c r="J490" t="n">
        <v>1</v>
      </c>
      <c r="K490" t="n">
        <v>0</v>
      </c>
      <c r="L490" t="n">
        <v>0</v>
      </c>
      <c r="M490" t="n">
        <v>0</v>
      </c>
      <c r="N490" t="n">
        <v>0</v>
      </c>
      <c r="O490" t="n">
        <v>1</v>
      </c>
      <c r="P490" t="n">
        <v>0</v>
      </c>
      <c r="Q490" t="n">
        <v>1</v>
      </c>
      <c r="R490" s="2" t="inlineStr">
        <is>
          <t>Svedjenäva</t>
        </is>
      </c>
      <c r="S490">
        <f>HYPERLINK("https://klasma.github.io/Logging_0563/artfynd/A 16388-2021 artfynd.xlsx", "A 16388-2021")</f>
        <v/>
      </c>
      <c r="T490">
        <f>HYPERLINK("https://klasma.github.io/Logging_0563/kartor/A 16388-2021 karta.png", "A 16388-2021")</f>
        <v/>
      </c>
      <c r="V490">
        <f>HYPERLINK("https://klasma.github.io/Logging_0563/klagomål/A 16388-2021 FSC-klagomål.docx", "A 16388-2021")</f>
        <v/>
      </c>
      <c r="W490">
        <f>HYPERLINK("https://klasma.github.io/Logging_0563/klagomålsmail/A 16388-2021 FSC-klagomål mail.docx", "A 16388-2021")</f>
        <v/>
      </c>
      <c r="X490">
        <f>HYPERLINK("https://klasma.github.io/Logging_0563/tillsyn/A 16388-2021 tillsynsbegäran.docx", "A 16388-2021")</f>
        <v/>
      </c>
      <c r="Y490">
        <f>HYPERLINK("https://klasma.github.io/Logging_0563/tillsynsmail/A 16388-2021 tillsynsbegäran mail.docx", "A 16388-2021")</f>
        <v/>
      </c>
    </row>
    <row r="491" ht="15" customHeight="1">
      <c r="A491" t="inlineStr">
        <is>
          <t>A 54785-2022</t>
        </is>
      </c>
      <c r="B491" s="1" t="n">
        <v>44883</v>
      </c>
      <c r="C491" s="1" t="n">
        <v>46093</v>
      </c>
      <c r="D491" t="inlineStr">
        <is>
          <t>ÖSTERGÖTLANDS LÄN</t>
        </is>
      </c>
      <c r="E491" t="inlineStr">
        <is>
          <t>VALDEMARSVIK</t>
        </is>
      </c>
      <c r="G491" t="n">
        <v>8.5</v>
      </c>
      <c r="H491" t="n">
        <v>1</v>
      </c>
      <c r="I491" t="n">
        <v>0</v>
      </c>
      <c r="J491" t="n">
        <v>1</v>
      </c>
      <c r="K491" t="n">
        <v>0</v>
      </c>
      <c r="L491" t="n">
        <v>0</v>
      </c>
      <c r="M491" t="n">
        <v>0</v>
      </c>
      <c r="N491" t="n">
        <v>0</v>
      </c>
      <c r="O491" t="n">
        <v>1</v>
      </c>
      <c r="P491" t="n">
        <v>0</v>
      </c>
      <c r="Q491" t="n">
        <v>1</v>
      </c>
      <c r="R491" s="2" t="inlineStr">
        <is>
          <t>Talltita</t>
        </is>
      </c>
      <c r="S491">
        <f>HYPERLINK("https://klasma.github.io/Logging_0563/artfynd/A 54785-2022 artfynd.xlsx", "A 54785-2022")</f>
        <v/>
      </c>
      <c r="T491">
        <f>HYPERLINK("https://klasma.github.io/Logging_0563/kartor/A 54785-2022 karta.png", "A 54785-2022")</f>
        <v/>
      </c>
      <c r="V491">
        <f>HYPERLINK("https://klasma.github.io/Logging_0563/klagomål/A 54785-2022 FSC-klagomål.docx", "A 54785-2022")</f>
        <v/>
      </c>
      <c r="W491">
        <f>HYPERLINK("https://klasma.github.io/Logging_0563/klagomålsmail/A 54785-2022 FSC-klagomål mail.docx", "A 54785-2022")</f>
        <v/>
      </c>
      <c r="X491">
        <f>HYPERLINK("https://klasma.github.io/Logging_0563/tillsyn/A 54785-2022 tillsynsbegäran.docx", "A 54785-2022")</f>
        <v/>
      </c>
      <c r="Y491">
        <f>HYPERLINK("https://klasma.github.io/Logging_0563/tillsynsmail/A 54785-2022 tillsynsbegäran mail.docx", "A 54785-2022")</f>
        <v/>
      </c>
      <c r="Z491">
        <f>HYPERLINK("https://klasma.github.io/Logging_0563/fåglar/A 54785-2022 prioriterade fågelarter.docx", "A 54785-2022")</f>
        <v/>
      </c>
    </row>
    <row r="492" ht="15" customHeight="1">
      <c r="A492" t="inlineStr">
        <is>
          <t>A 16867-2024</t>
        </is>
      </c>
      <c r="B492" s="1" t="n">
        <v>45411.57177083333</v>
      </c>
      <c r="C492" s="1" t="n">
        <v>46093</v>
      </c>
      <c r="D492" t="inlineStr">
        <is>
          <t>ÖSTERGÖTLANDS LÄN</t>
        </is>
      </c>
      <c r="E492" t="inlineStr">
        <is>
          <t>NORRKÖPING</t>
        </is>
      </c>
      <c r="F492" t="inlineStr">
        <is>
          <t>Holmen skog AB</t>
        </is>
      </c>
      <c r="G492" t="n">
        <v>3</v>
      </c>
      <c r="H492" t="n">
        <v>1</v>
      </c>
      <c r="I492" t="n">
        <v>0</v>
      </c>
      <c r="J492" t="n">
        <v>0</v>
      </c>
      <c r="K492" t="n">
        <v>1</v>
      </c>
      <c r="L492" t="n">
        <v>0</v>
      </c>
      <c r="M492" t="n">
        <v>0</v>
      </c>
      <c r="N492" t="n">
        <v>0</v>
      </c>
      <c r="O492" t="n">
        <v>1</v>
      </c>
      <c r="P492" t="n">
        <v>1</v>
      </c>
      <c r="Q492" t="n">
        <v>1</v>
      </c>
      <c r="R492" s="2" t="inlineStr">
        <is>
          <t>Stare</t>
        </is>
      </c>
      <c r="S492">
        <f>HYPERLINK("https://klasma.github.io/Logging_0581/artfynd/A 16867-2024 artfynd.xlsx", "A 16867-2024")</f>
        <v/>
      </c>
      <c r="T492">
        <f>HYPERLINK("https://klasma.github.io/Logging_0581/kartor/A 16867-2024 karta.png", "A 16867-2024")</f>
        <v/>
      </c>
      <c r="V492">
        <f>HYPERLINK("https://klasma.github.io/Logging_0581/klagomål/A 16867-2024 FSC-klagomål.docx", "A 16867-2024")</f>
        <v/>
      </c>
      <c r="W492">
        <f>HYPERLINK("https://klasma.github.io/Logging_0581/klagomålsmail/A 16867-2024 FSC-klagomål mail.docx", "A 16867-2024")</f>
        <v/>
      </c>
      <c r="X492">
        <f>HYPERLINK("https://klasma.github.io/Logging_0581/tillsyn/A 16867-2024 tillsynsbegäran.docx", "A 16867-2024")</f>
        <v/>
      </c>
      <c r="Y492">
        <f>HYPERLINK("https://klasma.github.io/Logging_0581/tillsynsmail/A 16867-2024 tillsynsbegäran mail.docx", "A 16867-2024")</f>
        <v/>
      </c>
    </row>
    <row r="493" ht="15" customHeight="1">
      <c r="A493" t="inlineStr">
        <is>
          <t>A 931-2025</t>
        </is>
      </c>
      <c r="B493" s="1" t="n">
        <v>45665.88498842593</v>
      </c>
      <c r="C493" s="1" t="n">
        <v>46093</v>
      </c>
      <c r="D493" t="inlineStr">
        <is>
          <t>ÖSTERGÖTLANDS LÄN</t>
        </is>
      </c>
      <c r="E493" t="inlineStr">
        <is>
          <t>LINKÖPING</t>
        </is>
      </c>
      <c r="F493" t="inlineStr">
        <is>
          <t>Övriga Aktiebolag</t>
        </is>
      </c>
      <c r="G493" t="n">
        <v>0.8</v>
      </c>
      <c r="H493" t="n">
        <v>0</v>
      </c>
      <c r="I493" t="n">
        <v>0</v>
      </c>
      <c r="J493" t="n">
        <v>1</v>
      </c>
      <c r="K493" t="n">
        <v>0</v>
      </c>
      <c r="L493" t="n">
        <v>0</v>
      </c>
      <c r="M493" t="n">
        <v>0</v>
      </c>
      <c r="N493" t="n">
        <v>0</v>
      </c>
      <c r="O493" t="n">
        <v>1</v>
      </c>
      <c r="P493" t="n">
        <v>0</v>
      </c>
      <c r="Q493" t="n">
        <v>1</v>
      </c>
      <c r="R493" s="2" t="inlineStr">
        <is>
          <t>Tallticka</t>
        </is>
      </c>
      <c r="S493">
        <f>HYPERLINK("https://klasma.github.io/Logging_0580/artfynd/A 931-2025 artfynd.xlsx", "A 931-2025")</f>
        <v/>
      </c>
      <c r="T493">
        <f>HYPERLINK("https://klasma.github.io/Logging_0580/kartor/A 931-2025 karta.png", "A 931-2025")</f>
        <v/>
      </c>
      <c r="V493">
        <f>HYPERLINK("https://klasma.github.io/Logging_0580/klagomål/A 931-2025 FSC-klagomål.docx", "A 931-2025")</f>
        <v/>
      </c>
      <c r="W493">
        <f>HYPERLINK("https://klasma.github.io/Logging_0580/klagomålsmail/A 931-2025 FSC-klagomål mail.docx", "A 931-2025")</f>
        <v/>
      </c>
      <c r="X493">
        <f>HYPERLINK("https://klasma.github.io/Logging_0580/tillsyn/A 931-2025 tillsynsbegäran.docx", "A 931-2025")</f>
        <v/>
      </c>
      <c r="Y493">
        <f>HYPERLINK("https://klasma.github.io/Logging_0580/tillsynsmail/A 931-2025 tillsynsbegäran mail.docx", "A 931-2025")</f>
        <v/>
      </c>
    </row>
    <row r="494" ht="15" customHeight="1">
      <c r="A494" t="inlineStr">
        <is>
          <t>A 42352-2023</t>
        </is>
      </c>
      <c r="B494" s="1" t="n">
        <v>45180</v>
      </c>
      <c r="C494" s="1" t="n">
        <v>46093</v>
      </c>
      <c r="D494" t="inlineStr">
        <is>
          <t>ÖSTERGÖTLANDS LÄN</t>
        </is>
      </c>
      <c r="E494" t="inlineStr">
        <is>
          <t>SÖDERKÖPING</t>
        </is>
      </c>
      <c r="F494" t="inlineStr">
        <is>
          <t>Allmännings- och besparingsskogar</t>
        </is>
      </c>
      <c r="G494" t="n">
        <v>4.5</v>
      </c>
      <c r="H494" t="n">
        <v>0</v>
      </c>
      <c r="I494" t="n">
        <v>0</v>
      </c>
      <c r="J494" t="n">
        <v>1</v>
      </c>
      <c r="K494" t="n">
        <v>0</v>
      </c>
      <c r="L494" t="n">
        <v>0</v>
      </c>
      <c r="M494" t="n">
        <v>0</v>
      </c>
      <c r="N494" t="n">
        <v>0</v>
      </c>
      <c r="O494" t="n">
        <v>1</v>
      </c>
      <c r="P494" t="n">
        <v>0</v>
      </c>
      <c r="Q494" t="n">
        <v>1</v>
      </c>
      <c r="R494" s="2" t="inlineStr">
        <is>
          <t>Svinrot</t>
        </is>
      </c>
      <c r="S494">
        <f>HYPERLINK("https://klasma.github.io/Logging_0582/artfynd/A 42352-2023 artfynd.xlsx", "A 42352-2023")</f>
        <v/>
      </c>
      <c r="T494">
        <f>HYPERLINK("https://klasma.github.io/Logging_0582/kartor/A 42352-2023 karta.png", "A 42352-2023")</f>
        <v/>
      </c>
      <c r="V494">
        <f>HYPERLINK("https://klasma.github.io/Logging_0582/klagomål/A 42352-2023 FSC-klagomål.docx", "A 42352-2023")</f>
        <v/>
      </c>
      <c r="W494">
        <f>HYPERLINK("https://klasma.github.io/Logging_0582/klagomålsmail/A 42352-2023 FSC-klagomål mail.docx", "A 42352-2023")</f>
        <v/>
      </c>
      <c r="X494">
        <f>HYPERLINK("https://klasma.github.io/Logging_0582/tillsyn/A 42352-2023 tillsynsbegäran.docx", "A 42352-2023")</f>
        <v/>
      </c>
      <c r="Y494">
        <f>HYPERLINK("https://klasma.github.io/Logging_0582/tillsynsmail/A 42352-2023 tillsynsbegäran mail.docx", "A 42352-2023")</f>
        <v/>
      </c>
    </row>
    <row r="495" ht="15" customHeight="1">
      <c r="A495" t="inlineStr">
        <is>
          <t>A 126-2024</t>
        </is>
      </c>
      <c r="B495" s="1" t="n">
        <v>45294</v>
      </c>
      <c r="C495" s="1" t="n">
        <v>46093</v>
      </c>
      <c r="D495" t="inlineStr">
        <is>
          <t>ÖSTERGÖTLANDS LÄN</t>
        </is>
      </c>
      <c r="E495" t="inlineStr">
        <is>
          <t>LINKÖPING</t>
        </is>
      </c>
      <c r="G495" t="n">
        <v>1</v>
      </c>
      <c r="H495" t="n">
        <v>0</v>
      </c>
      <c r="I495" t="n">
        <v>1</v>
      </c>
      <c r="J495" t="n">
        <v>0</v>
      </c>
      <c r="K495" t="n">
        <v>0</v>
      </c>
      <c r="L495" t="n">
        <v>0</v>
      </c>
      <c r="M495" t="n">
        <v>0</v>
      </c>
      <c r="N495" t="n">
        <v>0</v>
      </c>
      <c r="O495" t="n">
        <v>0</v>
      </c>
      <c r="P495" t="n">
        <v>0</v>
      </c>
      <c r="Q495" t="n">
        <v>1</v>
      </c>
      <c r="R495" s="2" t="inlineStr">
        <is>
          <t>Blåmossa</t>
        </is>
      </c>
      <c r="S495">
        <f>HYPERLINK("https://klasma.github.io/Logging_0580/artfynd/A 126-2024 artfynd.xlsx", "A 126-2024")</f>
        <v/>
      </c>
      <c r="T495">
        <f>HYPERLINK("https://klasma.github.io/Logging_0580/kartor/A 126-2024 karta.png", "A 126-2024")</f>
        <v/>
      </c>
      <c r="V495">
        <f>HYPERLINK("https://klasma.github.io/Logging_0580/klagomål/A 126-2024 FSC-klagomål.docx", "A 126-2024")</f>
        <v/>
      </c>
      <c r="W495">
        <f>HYPERLINK("https://klasma.github.io/Logging_0580/klagomålsmail/A 126-2024 FSC-klagomål mail.docx", "A 126-2024")</f>
        <v/>
      </c>
      <c r="X495">
        <f>HYPERLINK("https://klasma.github.io/Logging_0580/tillsyn/A 126-2024 tillsynsbegäran.docx", "A 126-2024")</f>
        <v/>
      </c>
      <c r="Y495">
        <f>HYPERLINK("https://klasma.github.io/Logging_0580/tillsynsmail/A 126-2024 tillsynsbegäran mail.docx", "A 126-2024")</f>
        <v/>
      </c>
    </row>
    <row r="496" ht="15" customHeight="1">
      <c r="A496" t="inlineStr">
        <is>
          <t>A 12801-2022</t>
        </is>
      </c>
      <c r="B496" s="1" t="n">
        <v>44642</v>
      </c>
      <c r="C496" s="1" t="n">
        <v>46093</v>
      </c>
      <c r="D496" t="inlineStr">
        <is>
          <t>ÖSTERGÖTLANDS LÄN</t>
        </is>
      </c>
      <c r="E496" t="inlineStr">
        <is>
          <t>KINDA</t>
        </is>
      </c>
      <c r="G496" t="n">
        <v>3.9</v>
      </c>
      <c r="H496" t="n">
        <v>1</v>
      </c>
      <c r="I496" t="n">
        <v>0</v>
      </c>
      <c r="J496" t="n">
        <v>0</v>
      </c>
      <c r="K496" t="n">
        <v>0</v>
      </c>
      <c r="L496" t="n">
        <v>0</v>
      </c>
      <c r="M496" t="n">
        <v>0</v>
      </c>
      <c r="N496" t="n">
        <v>0</v>
      </c>
      <c r="O496" t="n">
        <v>0</v>
      </c>
      <c r="P496" t="n">
        <v>0</v>
      </c>
      <c r="Q496" t="n">
        <v>1</v>
      </c>
      <c r="R496" s="2" t="inlineStr">
        <is>
          <t>Revlummer</t>
        </is>
      </c>
      <c r="S496">
        <f>HYPERLINK("https://klasma.github.io/Logging_0513/artfynd/A 12801-2022 artfynd.xlsx", "A 12801-2022")</f>
        <v/>
      </c>
      <c r="T496">
        <f>HYPERLINK("https://klasma.github.io/Logging_0513/kartor/A 12801-2022 karta.png", "A 12801-2022")</f>
        <v/>
      </c>
      <c r="V496">
        <f>HYPERLINK("https://klasma.github.io/Logging_0513/klagomål/A 12801-2022 FSC-klagomål.docx", "A 12801-2022")</f>
        <v/>
      </c>
      <c r="W496">
        <f>HYPERLINK("https://klasma.github.io/Logging_0513/klagomålsmail/A 12801-2022 FSC-klagomål mail.docx", "A 12801-2022")</f>
        <v/>
      </c>
      <c r="X496">
        <f>HYPERLINK("https://klasma.github.io/Logging_0513/tillsyn/A 12801-2022 tillsynsbegäran.docx", "A 12801-2022")</f>
        <v/>
      </c>
      <c r="Y496">
        <f>HYPERLINK("https://klasma.github.io/Logging_0513/tillsynsmail/A 12801-2022 tillsynsbegäran mail.docx", "A 12801-2022")</f>
        <v/>
      </c>
    </row>
    <row r="497" ht="15" customHeight="1">
      <c r="A497" t="inlineStr">
        <is>
          <t>A 3395-2023</t>
        </is>
      </c>
      <c r="B497" s="1" t="n">
        <v>44949</v>
      </c>
      <c r="C497" s="1" t="n">
        <v>46093</v>
      </c>
      <c r="D497" t="inlineStr">
        <is>
          <t>ÖSTERGÖTLANDS LÄN</t>
        </is>
      </c>
      <c r="E497" t="inlineStr">
        <is>
          <t>LINKÖPING</t>
        </is>
      </c>
      <c r="G497" t="n">
        <v>2</v>
      </c>
      <c r="H497" t="n">
        <v>0</v>
      </c>
      <c r="I497" t="n">
        <v>0</v>
      </c>
      <c r="J497" t="n">
        <v>1</v>
      </c>
      <c r="K497" t="n">
        <v>0</v>
      </c>
      <c r="L497" t="n">
        <v>0</v>
      </c>
      <c r="M497" t="n">
        <v>0</v>
      </c>
      <c r="N497" t="n">
        <v>0</v>
      </c>
      <c r="O497" t="n">
        <v>1</v>
      </c>
      <c r="P497" t="n">
        <v>0</v>
      </c>
      <c r="Q497" t="n">
        <v>1</v>
      </c>
      <c r="R497" s="2" t="inlineStr">
        <is>
          <t>Sommarfibbla</t>
        </is>
      </c>
      <c r="S497">
        <f>HYPERLINK("https://klasma.github.io/Logging_0580/artfynd/A 3395-2023 artfynd.xlsx", "A 3395-2023")</f>
        <v/>
      </c>
      <c r="T497">
        <f>HYPERLINK("https://klasma.github.io/Logging_0580/kartor/A 3395-2023 karta.png", "A 3395-2023")</f>
        <v/>
      </c>
      <c r="V497">
        <f>HYPERLINK("https://klasma.github.io/Logging_0580/klagomål/A 3395-2023 FSC-klagomål.docx", "A 3395-2023")</f>
        <v/>
      </c>
      <c r="W497">
        <f>HYPERLINK("https://klasma.github.io/Logging_0580/klagomålsmail/A 3395-2023 FSC-klagomål mail.docx", "A 3395-2023")</f>
        <v/>
      </c>
      <c r="X497">
        <f>HYPERLINK("https://klasma.github.io/Logging_0580/tillsyn/A 3395-2023 tillsynsbegäran.docx", "A 3395-2023")</f>
        <v/>
      </c>
      <c r="Y497">
        <f>HYPERLINK("https://klasma.github.io/Logging_0580/tillsynsmail/A 3395-2023 tillsynsbegäran mail.docx", "A 3395-2023")</f>
        <v/>
      </c>
    </row>
    <row r="498" ht="15" customHeight="1">
      <c r="A498" t="inlineStr">
        <is>
          <t>A 3397-2023</t>
        </is>
      </c>
      <c r="B498" s="1" t="n">
        <v>44949</v>
      </c>
      <c r="C498" s="1" t="n">
        <v>46093</v>
      </c>
      <c r="D498" t="inlineStr">
        <is>
          <t>ÖSTERGÖTLANDS LÄN</t>
        </is>
      </c>
      <c r="E498" t="inlineStr">
        <is>
          <t>LINKÖPING</t>
        </is>
      </c>
      <c r="G498" t="n">
        <v>4.1</v>
      </c>
      <c r="H498" t="n">
        <v>0</v>
      </c>
      <c r="I498" t="n">
        <v>0</v>
      </c>
      <c r="J498" t="n">
        <v>1</v>
      </c>
      <c r="K498" t="n">
        <v>0</v>
      </c>
      <c r="L498" t="n">
        <v>0</v>
      </c>
      <c r="M498" t="n">
        <v>0</v>
      </c>
      <c r="N498" t="n">
        <v>0</v>
      </c>
      <c r="O498" t="n">
        <v>1</v>
      </c>
      <c r="P498" t="n">
        <v>0</v>
      </c>
      <c r="Q498" t="n">
        <v>1</v>
      </c>
      <c r="R498" s="2" t="inlineStr">
        <is>
          <t>Svinrot</t>
        </is>
      </c>
      <c r="S498">
        <f>HYPERLINK("https://klasma.github.io/Logging_0580/artfynd/A 3397-2023 artfynd.xlsx", "A 3397-2023")</f>
        <v/>
      </c>
      <c r="T498">
        <f>HYPERLINK("https://klasma.github.io/Logging_0580/kartor/A 3397-2023 karta.png", "A 3397-2023")</f>
        <v/>
      </c>
      <c r="V498">
        <f>HYPERLINK("https://klasma.github.io/Logging_0580/klagomål/A 3397-2023 FSC-klagomål.docx", "A 3397-2023")</f>
        <v/>
      </c>
      <c r="W498">
        <f>HYPERLINK("https://klasma.github.io/Logging_0580/klagomålsmail/A 3397-2023 FSC-klagomål mail.docx", "A 3397-2023")</f>
        <v/>
      </c>
      <c r="X498">
        <f>HYPERLINK("https://klasma.github.io/Logging_0580/tillsyn/A 3397-2023 tillsynsbegäran.docx", "A 3397-2023")</f>
        <v/>
      </c>
      <c r="Y498">
        <f>HYPERLINK("https://klasma.github.io/Logging_0580/tillsynsmail/A 3397-2023 tillsynsbegäran mail.docx", "A 3397-2023")</f>
        <v/>
      </c>
    </row>
    <row r="499" ht="15" customHeight="1">
      <c r="A499" t="inlineStr">
        <is>
          <t>A 10083-2025</t>
        </is>
      </c>
      <c r="B499" s="1" t="n">
        <v>45719.56197916667</v>
      </c>
      <c r="C499" s="1" t="n">
        <v>46093</v>
      </c>
      <c r="D499" t="inlineStr">
        <is>
          <t>ÖSTERGÖTLANDS LÄN</t>
        </is>
      </c>
      <c r="E499" t="inlineStr">
        <is>
          <t>FINSPÅNG</t>
        </is>
      </c>
      <c r="F499" t="inlineStr">
        <is>
          <t>Holmen skog AB</t>
        </is>
      </c>
      <c r="G499" t="n">
        <v>1.6</v>
      </c>
      <c r="H499" t="n">
        <v>0</v>
      </c>
      <c r="I499" t="n">
        <v>0</v>
      </c>
      <c r="J499" t="n">
        <v>1</v>
      </c>
      <c r="K499" t="n">
        <v>0</v>
      </c>
      <c r="L499" t="n">
        <v>0</v>
      </c>
      <c r="M499" t="n">
        <v>0</v>
      </c>
      <c r="N499" t="n">
        <v>0</v>
      </c>
      <c r="O499" t="n">
        <v>1</v>
      </c>
      <c r="P499" t="n">
        <v>0</v>
      </c>
      <c r="Q499" t="n">
        <v>1</v>
      </c>
      <c r="R499" s="2" t="inlineStr">
        <is>
          <t>Guldsandbi</t>
        </is>
      </c>
      <c r="S499">
        <f>HYPERLINK("https://klasma.github.io/Logging_0562/artfynd/A 10083-2025 artfynd.xlsx", "A 10083-2025")</f>
        <v/>
      </c>
      <c r="T499">
        <f>HYPERLINK("https://klasma.github.io/Logging_0562/kartor/A 10083-2025 karta.png", "A 10083-2025")</f>
        <v/>
      </c>
      <c r="V499">
        <f>HYPERLINK("https://klasma.github.io/Logging_0562/klagomål/A 10083-2025 FSC-klagomål.docx", "A 10083-2025")</f>
        <v/>
      </c>
      <c r="W499">
        <f>HYPERLINK("https://klasma.github.io/Logging_0562/klagomålsmail/A 10083-2025 FSC-klagomål mail.docx", "A 10083-2025")</f>
        <v/>
      </c>
      <c r="X499">
        <f>HYPERLINK("https://klasma.github.io/Logging_0562/tillsyn/A 10083-2025 tillsynsbegäran.docx", "A 10083-2025")</f>
        <v/>
      </c>
      <c r="Y499">
        <f>HYPERLINK("https://klasma.github.io/Logging_0562/tillsynsmail/A 10083-2025 tillsynsbegäran mail.docx", "A 10083-2025")</f>
        <v/>
      </c>
    </row>
    <row r="500" ht="15" customHeight="1">
      <c r="A500" t="inlineStr">
        <is>
          <t>A 3378-2024</t>
        </is>
      </c>
      <c r="B500" s="1" t="n">
        <v>45317</v>
      </c>
      <c r="C500" s="1" t="n">
        <v>46093</v>
      </c>
      <c r="D500" t="inlineStr">
        <is>
          <t>ÖSTERGÖTLANDS LÄN</t>
        </is>
      </c>
      <c r="E500" t="inlineStr">
        <is>
          <t>KINDA</t>
        </is>
      </c>
      <c r="G500" t="n">
        <v>4.7</v>
      </c>
      <c r="H500" t="n">
        <v>0</v>
      </c>
      <c r="I500" t="n">
        <v>1</v>
      </c>
      <c r="J500" t="n">
        <v>0</v>
      </c>
      <c r="K500" t="n">
        <v>0</v>
      </c>
      <c r="L500" t="n">
        <v>0</v>
      </c>
      <c r="M500" t="n">
        <v>0</v>
      </c>
      <c r="N500" t="n">
        <v>0</v>
      </c>
      <c r="O500" t="n">
        <v>0</v>
      </c>
      <c r="P500" t="n">
        <v>0</v>
      </c>
      <c r="Q500" t="n">
        <v>1</v>
      </c>
      <c r="R500" s="2" t="inlineStr">
        <is>
          <t>Stubbspretmossa</t>
        </is>
      </c>
      <c r="S500">
        <f>HYPERLINK("https://klasma.github.io/Logging_0513/artfynd/A 3378-2024 artfynd.xlsx", "A 3378-2024")</f>
        <v/>
      </c>
      <c r="T500">
        <f>HYPERLINK("https://klasma.github.io/Logging_0513/kartor/A 3378-2024 karta.png", "A 3378-2024")</f>
        <v/>
      </c>
      <c r="V500">
        <f>HYPERLINK("https://klasma.github.io/Logging_0513/klagomål/A 3378-2024 FSC-klagomål.docx", "A 3378-2024")</f>
        <v/>
      </c>
      <c r="W500">
        <f>HYPERLINK("https://klasma.github.io/Logging_0513/klagomålsmail/A 3378-2024 FSC-klagomål mail.docx", "A 3378-2024")</f>
        <v/>
      </c>
      <c r="X500">
        <f>HYPERLINK("https://klasma.github.io/Logging_0513/tillsyn/A 3378-2024 tillsynsbegäran.docx", "A 3378-2024")</f>
        <v/>
      </c>
      <c r="Y500">
        <f>HYPERLINK("https://klasma.github.io/Logging_0513/tillsynsmail/A 3378-2024 tillsynsbegäran mail.docx", "A 3378-2024")</f>
        <v/>
      </c>
    </row>
    <row r="501" ht="15" customHeight="1">
      <c r="A501" t="inlineStr">
        <is>
          <t>A 15785-2025</t>
        </is>
      </c>
      <c r="B501" s="1" t="n">
        <v>45748.62222222222</v>
      </c>
      <c r="C501" s="1" t="n">
        <v>46093</v>
      </c>
      <c r="D501" t="inlineStr">
        <is>
          <t>ÖSTERGÖTLANDS LÄN</t>
        </is>
      </c>
      <c r="E501" t="inlineStr">
        <is>
          <t>ÖDESHÖG</t>
        </is>
      </c>
      <c r="G501" t="n">
        <v>1.2</v>
      </c>
      <c r="H501" t="n">
        <v>0</v>
      </c>
      <c r="I501" t="n">
        <v>0</v>
      </c>
      <c r="J501" t="n">
        <v>1</v>
      </c>
      <c r="K501" t="n">
        <v>0</v>
      </c>
      <c r="L501" t="n">
        <v>0</v>
      </c>
      <c r="M501" t="n">
        <v>0</v>
      </c>
      <c r="N501" t="n">
        <v>0</v>
      </c>
      <c r="O501" t="n">
        <v>1</v>
      </c>
      <c r="P501" t="n">
        <v>0</v>
      </c>
      <c r="Q501" t="n">
        <v>1</v>
      </c>
      <c r="R501" s="2" t="inlineStr">
        <is>
          <t>Klasefibbla</t>
        </is>
      </c>
      <c r="S501">
        <f>HYPERLINK("https://klasma.github.io/Logging_0509/artfynd/A 15785-2025 artfynd.xlsx", "A 15785-2025")</f>
        <v/>
      </c>
      <c r="T501">
        <f>HYPERLINK("https://klasma.github.io/Logging_0509/kartor/A 15785-2025 karta.png", "A 15785-2025")</f>
        <v/>
      </c>
      <c r="V501">
        <f>HYPERLINK("https://klasma.github.io/Logging_0509/klagomål/A 15785-2025 FSC-klagomål.docx", "A 15785-2025")</f>
        <v/>
      </c>
      <c r="W501">
        <f>HYPERLINK("https://klasma.github.io/Logging_0509/klagomålsmail/A 15785-2025 FSC-klagomål mail.docx", "A 15785-2025")</f>
        <v/>
      </c>
      <c r="X501">
        <f>HYPERLINK("https://klasma.github.io/Logging_0509/tillsyn/A 15785-2025 tillsynsbegäran.docx", "A 15785-2025")</f>
        <v/>
      </c>
      <c r="Y501">
        <f>HYPERLINK("https://klasma.github.io/Logging_0509/tillsynsmail/A 15785-2025 tillsynsbegäran mail.docx", "A 15785-2025")</f>
        <v/>
      </c>
    </row>
    <row r="502" ht="15" customHeight="1">
      <c r="A502" t="inlineStr">
        <is>
          <t>A 7650-2024</t>
        </is>
      </c>
      <c r="B502" s="1" t="n">
        <v>45348.68336805556</v>
      </c>
      <c r="C502" s="1" t="n">
        <v>46093</v>
      </c>
      <c r="D502" t="inlineStr">
        <is>
          <t>ÖSTERGÖTLANDS LÄN</t>
        </is>
      </c>
      <c r="E502" t="inlineStr">
        <is>
          <t>NORRKÖPING</t>
        </is>
      </c>
      <c r="F502" t="inlineStr">
        <is>
          <t>Kommuner</t>
        </is>
      </c>
      <c r="G502" t="n">
        <v>2.8</v>
      </c>
      <c r="H502" t="n">
        <v>0</v>
      </c>
      <c r="I502" t="n">
        <v>0</v>
      </c>
      <c r="J502" t="n">
        <v>0</v>
      </c>
      <c r="K502" t="n">
        <v>1</v>
      </c>
      <c r="L502" t="n">
        <v>0</v>
      </c>
      <c r="M502" t="n">
        <v>0</v>
      </c>
      <c r="N502" t="n">
        <v>0</v>
      </c>
      <c r="O502" t="n">
        <v>1</v>
      </c>
      <c r="P502" t="n">
        <v>1</v>
      </c>
      <c r="Q502" t="n">
        <v>1</v>
      </c>
      <c r="R502" s="2" t="inlineStr">
        <is>
          <t>Parasitsotlav</t>
        </is>
      </c>
      <c r="S502">
        <f>HYPERLINK("https://klasma.github.io/Logging_0581/artfynd/A 7650-2024 artfynd.xlsx", "A 7650-2024")</f>
        <v/>
      </c>
      <c r="T502">
        <f>HYPERLINK("https://klasma.github.io/Logging_0581/kartor/A 7650-2024 karta.png", "A 7650-2024")</f>
        <v/>
      </c>
      <c r="V502">
        <f>HYPERLINK("https://klasma.github.io/Logging_0581/klagomål/A 7650-2024 FSC-klagomål.docx", "A 7650-2024")</f>
        <v/>
      </c>
      <c r="W502">
        <f>HYPERLINK("https://klasma.github.io/Logging_0581/klagomålsmail/A 7650-2024 FSC-klagomål mail.docx", "A 7650-2024")</f>
        <v/>
      </c>
      <c r="X502">
        <f>HYPERLINK("https://klasma.github.io/Logging_0581/tillsyn/A 7650-2024 tillsynsbegäran.docx", "A 7650-2024")</f>
        <v/>
      </c>
      <c r="Y502">
        <f>HYPERLINK("https://klasma.github.io/Logging_0581/tillsynsmail/A 7650-2024 tillsynsbegäran mail.docx", "A 7650-2024")</f>
        <v/>
      </c>
    </row>
    <row r="503" ht="15" customHeight="1">
      <c r="A503" t="inlineStr">
        <is>
          <t>A 7265-2026</t>
        </is>
      </c>
      <c r="B503" s="1" t="n">
        <v>46058.60726851852</v>
      </c>
      <c r="C503" s="1" t="n">
        <v>46093</v>
      </c>
      <c r="D503" t="inlineStr">
        <is>
          <t>ÖSTERGÖTLANDS LÄN</t>
        </is>
      </c>
      <c r="E503" t="inlineStr">
        <is>
          <t>FINSPÅNG</t>
        </is>
      </c>
      <c r="F503" t="inlineStr">
        <is>
          <t>Övriga Aktiebolag</t>
        </is>
      </c>
      <c r="G503" t="n">
        <v>2.2</v>
      </c>
      <c r="H503" t="n">
        <v>1</v>
      </c>
      <c r="I503" t="n">
        <v>0</v>
      </c>
      <c r="J503" t="n">
        <v>1</v>
      </c>
      <c r="K503" t="n">
        <v>0</v>
      </c>
      <c r="L503" t="n">
        <v>0</v>
      </c>
      <c r="M503" t="n">
        <v>0</v>
      </c>
      <c r="N503" t="n">
        <v>0</v>
      </c>
      <c r="O503" t="n">
        <v>1</v>
      </c>
      <c r="P503" t="n">
        <v>0</v>
      </c>
      <c r="Q503" t="n">
        <v>1</v>
      </c>
      <c r="R503" s="2" t="inlineStr">
        <is>
          <t>Havsörn</t>
        </is>
      </c>
      <c r="S503">
        <f>HYPERLINK("https://klasma.github.io/Logging_0562/artfynd/A 7265-2026 artfynd.xlsx", "A 7265-2026")</f>
        <v/>
      </c>
      <c r="T503">
        <f>HYPERLINK("https://klasma.github.io/Logging_0562/kartor/A 7265-2026 karta.png", "A 7265-2026")</f>
        <v/>
      </c>
      <c r="V503">
        <f>HYPERLINK("https://klasma.github.io/Logging_0562/klagomål/A 7265-2026 FSC-klagomål.docx", "A 7265-2026")</f>
        <v/>
      </c>
      <c r="W503">
        <f>HYPERLINK("https://klasma.github.io/Logging_0562/klagomålsmail/A 7265-2026 FSC-klagomål mail.docx", "A 7265-2026")</f>
        <v/>
      </c>
      <c r="X503">
        <f>HYPERLINK("https://klasma.github.io/Logging_0562/tillsyn/A 7265-2026 tillsynsbegäran.docx", "A 7265-2026")</f>
        <v/>
      </c>
      <c r="Y503">
        <f>HYPERLINK("https://klasma.github.io/Logging_0562/tillsynsmail/A 7265-2026 tillsynsbegäran mail.docx", "A 7265-2026")</f>
        <v/>
      </c>
      <c r="Z503">
        <f>HYPERLINK("https://klasma.github.io/Logging_0562/fåglar/A 7265-2026 prioriterade fågelarter.docx", "A 7265-2026")</f>
        <v/>
      </c>
    </row>
    <row r="504" ht="15" customHeight="1">
      <c r="A504" t="inlineStr">
        <is>
          <t>A 3096-2023</t>
        </is>
      </c>
      <c r="B504" s="1" t="n">
        <v>44946</v>
      </c>
      <c r="C504" s="1" t="n">
        <v>46093</v>
      </c>
      <c r="D504" t="inlineStr">
        <is>
          <t>ÖSTERGÖTLANDS LÄN</t>
        </is>
      </c>
      <c r="E504" t="inlineStr">
        <is>
          <t>FINSPÅNG</t>
        </is>
      </c>
      <c r="F504" t="inlineStr">
        <is>
          <t>Holmen skog AB</t>
        </is>
      </c>
      <c r="G504" t="n">
        <v>0.8</v>
      </c>
      <c r="H504" t="n">
        <v>0</v>
      </c>
      <c r="I504" t="n">
        <v>0</v>
      </c>
      <c r="J504" t="n">
        <v>1</v>
      </c>
      <c r="K504" t="n">
        <v>0</v>
      </c>
      <c r="L504" t="n">
        <v>0</v>
      </c>
      <c r="M504" t="n">
        <v>0</v>
      </c>
      <c r="N504" t="n">
        <v>0</v>
      </c>
      <c r="O504" t="n">
        <v>1</v>
      </c>
      <c r="P504" t="n">
        <v>0</v>
      </c>
      <c r="Q504" t="n">
        <v>1</v>
      </c>
      <c r="R504" s="2" t="inlineStr">
        <is>
          <t>Guldsandbi</t>
        </is>
      </c>
      <c r="S504">
        <f>HYPERLINK("https://klasma.github.io/Logging_0562/artfynd/A 3096-2023 artfynd.xlsx", "A 3096-2023")</f>
        <v/>
      </c>
      <c r="T504">
        <f>HYPERLINK("https://klasma.github.io/Logging_0562/kartor/A 3096-2023 karta.png", "A 3096-2023")</f>
        <v/>
      </c>
      <c r="V504">
        <f>HYPERLINK("https://klasma.github.io/Logging_0562/klagomål/A 3096-2023 FSC-klagomål.docx", "A 3096-2023")</f>
        <v/>
      </c>
      <c r="W504">
        <f>HYPERLINK("https://klasma.github.io/Logging_0562/klagomålsmail/A 3096-2023 FSC-klagomål mail.docx", "A 3096-2023")</f>
        <v/>
      </c>
      <c r="X504">
        <f>HYPERLINK("https://klasma.github.io/Logging_0562/tillsyn/A 3096-2023 tillsynsbegäran.docx", "A 3096-2023")</f>
        <v/>
      </c>
      <c r="Y504">
        <f>HYPERLINK("https://klasma.github.io/Logging_0562/tillsynsmail/A 3096-2023 tillsynsbegäran mail.docx", "A 3096-2023")</f>
        <v/>
      </c>
    </row>
    <row r="505" ht="15" customHeight="1">
      <c r="A505" t="inlineStr">
        <is>
          <t>A 52847-2024</t>
        </is>
      </c>
      <c r="B505" s="1" t="n">
        <v>45610.60292824074</v>
      </c>
      <c r="C505" s="1" t="n">
        <v>46093</v>
      </c>
      <c r="D505" t="inlineStr">
        <is>
          <t>ÖSTERGÖTLANDS LÄN</t>
        </is>
      </c>
      <c r="E505" t="inlineStr">
        <is>
          <t>BOXHOLM</t>
        </is>
      </c>
      <c r="G505" t="n">
        <v>1.2</v>
      </c>
      <c r="H505" t="n">
        <v>0</v>
      </c>
      <c r="I505" t="n">
        <v>0</v>
      </c>
      <c r="J505" t="n">
        <v>1</v>
      </c>
      <c r="K505" t="n">
        <v>0</v>
      </c>
      <c r="L505" t="n">
        <v>0</v>
      </c>
      <c r="M505" t="n">
        <v>0</v>
      </c>
      <c r="N505" t="n">
        <v>0</v>
      </c>
      <c r="O505" t="n">
        <v>1</v>
      </c>
      <c r="P505" t="n">
        <v>0</v>
      </c>
      <c r="Q505" t="n">
        <v>1</v>
      </c>
      <c r="R505" s="2" t="inlineStr">
        <is>
          <t>Vårstarr</t>
        </is>
      </c>
      <c r="S505">
        <f>HYPERLINK("https://klasma.github.io/Logging_0560/artfynd/A 52847-2024 artfynd.xlsx", "A 52847-2024")</f>
        <v/>
      </c>
      <c r="T505">
        <f>HYPERLINK("https://klasma.github.io/Logging_0560/kartor/A 52847-2024 karta.png", "A 52847-2024")</f>
        <v/>
      </c>
      <c r="V505">
        <f>HYPERLINK("https://klasma.github.io/Logging_0560/klagomål/A 52847-2024 FSC-klagomål.docx", "A 52847-2024")</f>
        <v/>
      </c>
      <c r="W505">
        <f>HYPERLINK("https://klasma.github.io/Logging_0560/klagomålsmail/A 52847-2024 FSC-klagomål mail.docx", "A 52847-2024")</f>
        <v/>
      </c>
      <c r="X505">
        <f>HYPERLINK("https://klasma.github.io/Logging_0560/tillsyn/A 52847-2024 tillsynsbegäran.docx", "A 52847-2024")</f>
        <v/>
      </c>
      <c r="Y505">
        <f>HYPERLINK("https://klasma.github.io/Logging_0560/tillsynsmail/A 52847-2024 tillsynsbegäran mail.docx", "A 52847-2024")</f>
        <v/>
      </c>
    </row>
    <row r="506" ht="15" customHeight="1">
      <c r="A506" t="inlineStr">
        <is>
          <t>A 42909-2021</t>
        </is>
      </c>
      <c r="B506" s="1" t="n">
        <v>44431</v>
      </c>
      <c r="C506" s="1" t="n">
        <v>46093</v>
      </c>
      <c r="D506" t="inlineStr">
        <is>
          <t>ÖSTERGÖTLANDS LÄN</t>
        </is>
      </c>
      <c r="E506" t="inlineStr">
        <is>
          <t>SÖDERKÖPING</t>
        </is>
      </c>
      <c r="G506" t="n">
        <v>0.8</v>
      </c>
      <c r="H506" t="n">
        <v>0</v>
      </c>
      <c r="I506" t="n">
        <v>0</v>
      </c>
      <c r="J506" t="n">
        <v>0</v>
      </c>
      <c r="K506" t="n">
        <v>0</v>
      </c>
      <c r="L506" t="n">
        <v>0</v>
      </c>
      <c r="M506" t="n">
        <v>1</v>
      </c>
      <c r="N506" t="n">
        <v>0</v>
      </c>
      <c r="O506" t="n">
        <v>1</v>
      </c>
      <c r="P506" t="n">
        <v>1</v>
      </c>
      <c r="Q506" t="n">
        <v>1</v>
      </c>
      <c r="R506" s="2" t="inlineStr">
        <is>
          <t>Skogsalm</t>
        </is>
      </c>
      <c r="S506">
        <f>HYPERLINK("https://klasma.github.io/Logging_0582/artfynd/A 42909-2021 artfynd.xlsx", "A 42909-2021")</f>
        <v/>
      </c>
      <c r="T506">
        <f>HYPERLINK("https://klasma.github.io/Logging_0582/kartor/A 42909-2021 karta.png", "A 42909-2021")</f>
        <v/>
      </c>
      <c r="V506">
        <f>HYPERLINK("https://klasma.github.io/Logging_0582/klagomål/A 42909-2021 FSC-klagomål.docx", "A 42909-2021")</f>
        <v/>
      </c>
      <c r="W506">
        <f>HYPERLINK("https://klasma.github.io/Logging_0582/klagomålsmail/A 42909-2021 FSC-klagomål mail.docx", "A 42909-2021")</f>
        <v/>
      </c>
      <c r="X506">
        <f>HYPERLINK("https://klasma.github.io/Logging_0582/tillsyn/A 42909-2021 tillsynsbegäran.docx", "A 42909-2021")</f>
        <v/>
      </c>
      <c r="Y506">
        <f>HYPERLINK("https://klasma.github.io/Logging_0582/tillsynsmail/A 42909-2021 tillsynsbegäran mail.docx", "A 42909-2021")</f>
        <v/>
      </c>
    </row>
    <row r="507" ht="15" customHeight="1">
      <c r="A507" t="inlineStr">
        <is>
          <t>A 8009-2026</t>
        </is>
      </c>
      <c r="B507" s="1" t="n">
        <v>46063.53378472223</v>
      </c>
      <c r="C507" s="1" t="n">
        <v>46093</v>
      </c>
      <c r="D507" t="inlineStr">
        <is>
          <t>ÖSTERGÖTLANDS LÄN</t>
        </is>
      </c>
      <c r="E507" t="inlineStr">
        <is>
          <t>SÖDERKÖPING</t>
        </is>
      </c>
      <c r="F507" t="inlineStr">
        <is>
          <t>Allmännings- och besparingsskogar</t>
        </is>
      </c>
      <c r="G507" t="n">
        <v>5.3</v>
      </c>
      <c r="H507" t="n">
        <v>0</v>
      </c>
      <c r="I507" t="n">
        <v>1</v>
      </c>
      <c r="J507" t="n">
        <v>0</v>
      </c>
      <c r="K507" t="n">
        <v>0</v>
      </c>
      <c r="L507" t="n">
        <v>0</v>
      </c>
      <c r="M507" t="n">
        <v>0</v>
      </c>
      <c r="N507" t="n">
        <v>0</v>
      </c>
      <c r="O507" t="n">
        <v>0</v>
      </c>
      <c r="P507" t="n">
        <v>0</v>
      </c>
      <c r="Q507" t="n">
        <v>1</v>
      </c>
      <c r="R507" s="2" t="inlineStr">
        <is>
          <t>Toppvaxing</t>
        </is>
      </c>
      <c r="S507">
        <f>HYPERLINK("https://klasma.github.io/Logging_0582/artfynd/A 8009-2026 artfynd.xlsx", "A 8009-2026")</f>
        <v/>
      </c>
      <c r="T507">
        <f>HYPERLINK("https://klasma.github.io/Logging_0582/kartor/A 8009-2026 karta.png", "A 8009-2026")</f>
        <v/>
      </c>
      <c r="V507">
        <f>HYPERLINK("https://klasma.github.io/Logging_0582/klagomål/A 8009-2026 FSC-klagomål.docx", "A 8009-2026")</f>
        <v/>
      </c>
      <c r="W507">
        <f>HYPERLINK("https://klasma.github.io/Logging_0582/klagomålsmail/A 8009-2026 FSC-klagomål mail.docx", "A 8009-2026")</f>
        <v/>
      </c>
      <c r="X507">
        <f>HYPERLINK("https://klasma.github.io/Logging_0582/tillsyn/A 8009-2026 tillsynsbegäran.docx", "A 8009-2026")</f>
        <v/>
      </c>
      <c r="Y507">
        <f>HYPERLINK("https://klasma.github.io/Logging_0582/tillsynsmail/A 8009-2026 tillsynsbegäran mail.docx", "A 8009-2026")</f>
        <v/>
      </c>
    </row>
    <row r="508" ht="15" customHeight="1">
      <c r="A508" t="inlineStr">
        <is>
          <t>A 60983-2023</t>
        </is>
      </c>
      <c r="B508" s="1" t="n">
        <v>45261</v>
      </c>
      <c r="C508" s="1" t="n">
        <v>46093</v>
      </c>
      <c r="D508" t="inlineStr">
        <is>
          <t>ÖSTERGÖTLANDS LÄN</t>
        </is>
      </c>
      <c r="E508" t="inlineStr">
        <is>
          <t>MJÖLBY</t>
        </is>
      </c>
      <c r="G508" t="n">
        <v>3.8</v>
      </c>
      <c r="H508" t="n">
        <v>1</v>
      </c>
      <c r="I508" t="n">
        <v>0</v>
      </c>
      <c r="J508" t="n">
        <v>0</v>
      </c>
      <c r="K508" t="n">
        <v>0</v>
      </c>
      <c r="L508" t="n">
        <v>0</v>
      </c>
      <c r="M508" t="n">
        <v>0</v>
      </c>
      <c r="N508" t="n">
        <v>0</v>
      </c>
      <c r="O508" t="n">
        <v>0</v>
      </c>
      <c r="P508" t="n">
        <v>0</v>
      </c>
      <c r="Q508" t="n">
        <v>1</v>
      </c>
      <c r="R508" s="2" t="inlineStr">
        <is>
          <t>Grönvit nattviol</t>
        </is>
      </c>
      <c r="S508">
        <f>HYPERLINK("https://klasma.github.io/Logging_0586/artfynd/A 60983-2023 artfynd.xlsx", "A 60983-2023")</f>
        <v/>
      </c>
      <c r="T508">
        <f>HYPERLINK("https://klasma.github.io/Logging_0586/kartor/A 60983-2023 karta.png", "A 60983-2023")</f>
        <v/>
      </c>
      <c r="V508">
        <f>HYPERLINK("https://klasma.github.io/Logging_0586/klagomål/A 60983-2023 FSC-klagomål.docx", "A 60983-2023")</f>
        <v/>
      </c>
      <c r="W508">
        <f>HYPERLINK("https://klasma.github.io/Logging_0586/klagomålsmail/A 60983-2023 FSC-klagomål mail.docx", "A 60983-2023")</f>
        <v/>
      </c>
      <c r="X508">
        <f>HYPERLINK("https://klasma.github.io/Logging_0586/tillsyn/A 60983-2023 tillsynsbegäran.docx", "A 60983-2023")</f>
        <v/>
      </c>
      <c r="Y508">
        <f>HYPERLINK("https://klasma.github.io/Logging_0586/tillsynsmail/A 60983-2023 tillsynsbegäran mail.docx", "A 60983-2023")</f>
        <v/>
      </c>
    </row>
    <row r="509" ht="15" customHeight="1">
      <c r="A509" t="inlineStr">
        <is>
          <t>A 28549-2024</t>
        </is>
      </c>
      <c r="B509" s="1" t="n">
        <v>45478.35973379629</v>
      </c>
      <c r="C509" s="1" t="n">
        <v>46093</v>
      </c>
      <c r="D509" t="inlineStr">
        <is>
          <t>ÖSTERGÖTLANDS LÄN</t>
        </is>
      </c>
      <c r="E509" t="inlineStr">
        <is>
          <t>SÖDERKÖPING</t>
        </is>
      </c>
      <c r="G509" t="n">
        <v>0.6</v>
      </c>
      <c r="H509" t="n">
        <v>0</v>
      </c>
      <c r="I509" t="n">
        <v>0</v>
      </c>
      <c r="J509" t="n">
        <v>1</v>
      </c>
      <c r="K509" t="n">
        <v>0</v>
      </c>
      <c r="L509" t="n">
        <v>0</v>
      </c>
      <c r="M509" t="n">
        <v>0</v>
      </c>
      <c r="N509" t="n">
        <v>0</v>
      </c>
      <c r="O509" t="n">
        <v>1</v>
      </c>
      <c r="P509" t="n">
        <v>0</v>
      </c>
      <c r="Q509" t="n">
        <v>1</v>
      </c>
      <c r="R509" s="2" t="inlineStr">
        <is>
          <t>Vippärt</t>
        </is>
      </c>
      <c r="S509">
        <f>HYPERLINK("https://klasma.github.io/Logging_0582/artfynd/A 28549-2024 artfynd.xlsx", "A 28549-2024")</f>
        <v/>
      </c>
      <c r="T509">
        <f>HYPERLINK("https://klasma.github.io/Logging_0582/kartor/A 28549-2024 karta.png", "A 28549-2024")</f>
        <v/>
      </c>
      <c r="V509">
        <f>HYPERLINK("https://klasma.github.io/Logging_0582/klagomål/A 28549-2024 FSC-klagomål.docx", "A 28549-2024")</f>
        <v/>
      </c>
      <c r="W509">
        <f>HYPERLINK("https://klasma.github.io/Logging_0582/klagomålsmail/A 28549-2024 FSC-klagomål mail.docx", "A 28549-2024")</f>
        <v/>
      </c>
      <c r="X509">
        <f>HYPERLINK("https://klasma.github.io/Logging_0582/tillsyn/A 28549-2024 tillsynsbegäran.docx", "A 28549-2024")</f>
        <v/>
      </c>
      <c r="Y509">
        <f>HYPERLINK("https://klasma.github.io/Logging_0582/tillsynsmail/A 28549-2024 tillsynsbegäran mail.docx", "A 28549-2024")</f>
        <v/>
      </c>
    </row>
    <row r="510" ht="15" customHeight="1">
      <c r="A510" t="inlineStr">
        <is>
          <t>A 53049-2024</t>
        </is>
      </c>
      <c r="B510" s="1" t="n">
        <v>45611.45408564815</v>
      </c>
      <c r="C510" s="1" t="n">
        <v>46093</v>
      </c>
      <c r="D510" t="inlineStr">
        <is>
          <t>ÖSTERGÖTLANDS LÄN</t>
        </is>
      </c>
      <c r="E510" t="inlineStr">
        <is>
          <t>YDRE</t>
        </is>
      </c>
      <c r="F510" t="inlineStr">
        <is>
          <t>Övriga Aktiebolag</t>
        </is>
      </c>
      <c r="G510" t="n">
        <v>2.8</v>
      </c>
      <c r="H510" t="n">
        <v>1</v>
      </c>
      <c r="I510" t="n">
        <v>0</v>
      </c>
      <c r="J510" t="n">
        <v>0</v>
      </c>
      <c r="K510" t="n">
        <v>0</v>
      </c>
      <c r="L510" t="n">
        <v>1</v>
      </c>
      <c r="M510" t="n">
        <v>0</v>
      </c>
      <c r="N510" t="n">
        <v>0</v>
      </c>
      <c r="O510" t="n">
        <v>1</v>
      </c>
      <c r="P510" t="n">
        <v>1</v>
      </c>
      <c r="Q510" t="n">
        <v>1</v>
      </c>
      <c r="R510" s="2" t="inlineStr">
        <is>
          <t>Mosippa</t>
        </is>
      </c>
      <c r="S510">
        <f>HYPERLINK("https://klasma.github.io/Logging_0512/artfynd/A 53049-2024 artfynd.xlsx", "A 53049-2024")</f>
        <v/>
      </c>
      <c r="T510">
        <f>HYPERLINK("https://klasma.github.io/Logging_0512/kartor/A 53049-2024 karta.png", "A 53049-2024")</f>
        <v/>
      </c>
      <c r="V510">
        <f>HYPERLINK("https://klasma.github.io/Logging_0512/klagomål/A 53049-2024 FSC-klagomål.docx", "A 53049-2024")</f>
        <v/>
      </c>
      <c r="W510">
        <f>HYPERLINK("https://klasma.github.io/Logging_0512/klagomålsmail/A 53049-2024 FSC-klagomål mail.docx", "A 53049-2024")</f>
        <v/>
      </c>
      <c r="X510">
        <f>HYPERLINK("https://klasma.github.io/Logging_0512/tillsyn/A 53049-2024 tillsynsbegäran.docx", "A 53049-2024")</f>
        <v/>
      </c>
      <c r="Y510">
        <f>HYPERLINK("https://klasma.github.io/Logging_0512/tillsynsmail/A 53049-2024 tillsynsbegäran mail.docx", "A 53049-2024")</f>
        <v/>
      </c>
    </row>
    <row r="511" ht="15" customHeight="1">
      <c r="A511" t="inlineStr">
        <is>
          <t>A 8809-2026</t>
        </is>
      </c>
      <c r="B511" s="1" t="n">
        <v>46066.60930555555</v>
      </c>
      <c r="C511" s="1" t="n">
        <v>46093</v>
      </c>
      <c r="D511" t="inlineStr">
        <is>
          <t>ÖSTERGÖTLANDS LÄN</t>
        </is>
      </c>
      <c r="E511" t="inlineStr">
        <is>
          <t>ÅTVIDABERG</t>
        </is>
      </c>
      <c r="G511" t="n">
        <v>1.6</v>
      </c>
      <c r="H511" t="n">
        <v>1</v>
      </c>
      <c r="I511" t="n">
        <v>0</v>
      </c>
      <c r="J511" t="n">
        <v>0</v>
      </c>
      <c r="K511" t="n">
        <v>1</v>
      </c>
      <c r="L511" t="n">
        <v>0</v>
      </c>
      <c r="M511" t="n">
        <v>0</v>
      </c>
      <c r="N511" t="n">
        <v>0</v>
      </c>
      <c r="O511" t="n">
        <v>1</v>
      </c>
      <c r="P511" t="n">
        <v>1</v>
      </c>
      <c r="Q511" t="n">
        <v>1</v>
      </c>
      <c r="R511" s="2" t="inlineStr">
        <is>
          <t>Läderbagge</t>
        </is>
      </c>
      <c r="S511">
        <f>HYPERLINK("https://klasma.github.io/Logging_0561/artfynd/A 8809-2026 artfynd.xlsx", "A 8809-2026")</f>
        <v/>
      </c>
      <c r="T511">
        <f>HYPERLINK("https://klasma.github.io/Logging_0561/kartor/A 8809-2026 karta.png", "A 8809-2026")</f>
        <v/>
      </c>
      <c r="V511">
        <f>HYPERLINK("https://klasma.github.io/Logging_0561/klagomål/A 8809-2026 FSC-klagomål.docx", "A 8809-2026")</f>
        <v/>
      </c>
      <c r="W511">
        <f>HYPERLINK("https://klasma.github.io/Logging_0561/klagomålsmail/A 8809-2026 FSC-klagomål mail.docx", "A 8809-2026")</f>
        <v/>
      </c>
      <c r="X511">
        <f>HYPERLINK("https://klasma.github.io/Logging_0561/tillsyn/A 8809-2026 tillsynsbegäran.docx", "A 8809-2026")</f>
        <v/>
      </c>
      <c r="Y511">
        <f>HYPERLINK("https://klasma.github.io/Logging_0561/tillsynsmail/A 8809-2026 tillsynsbegäran mail.docx", "A 8809-2026")</f>
        <v/>
      </c>
    </row>
    <row r="512" ht="15" customHeight="1">
      <c r="A512" t="inlineStr">
        <is>
          <t>A 394-2026</t>
        </is>
      </c>
      <c r="B512" s="1" t="n">
        <v>46028.54833333333</v>
      </c>
      <c r="C512" s="1" t="n">
        <v>46093</v>
      </c>
      <c r="D512" t="inlineStr">
        <is>
          <t>ÖSTERGÖTLANDS LÄN</t>
        </is>
      </c>
      <c r="E512" t="inlineStr">
        <is>
          <t>SÖDERKÖPING</t>
        </is>
      </c>
      <c r="G512" t="n">
        <v>2.4</v>
      </c>
      <c r="H512" t="n">
        <v>0</v>
      </c>
      <c r="I512" t="n">
        <v>0</v>
      </c>
      <c r="J512" t="n">
        <v>1</v>
      </c>
      <c r="K512" t="n">
        <v>0</v>
      </c>
      <c r="L512" t="n">
        <v>0</v>
      </c>
      <c r="M512" t="n">
        <v>0</v>
      </c>
      <c r="N512" t="n">
        <v>0</v>
      </c>
      <c r="O512" t="n">
        <v>1</v>
      </c>
      <c r="P512" t="n">
        <v>0</v>
      </c>
      <c r="Q512" t="n">
        <v>1</v>
      </c>
      <c r="R512" s="2" t="inlineStr">
        <is>
          <t>Tallticka</t>
        </is>
      </c>
      <c r="S512">
        <f>HYPERLINK("https://klasma.github.io/Logging_0582/artfynd/A 394-2026 artfynd.xlsx", "A 394-2026")</f>
        <v/>
      </c>
      <c r="T512">
        <f>HYPERLINK("https://klasma.github.io/Logging_0582/kartor/A 394-2026 karta.png", "A 394-2026")</f>
        <v/>
      </c>
      <c r="V512">
        <f>HYPERLINK("https://klasma.github.io/Logging_0582/klagomål/A 394-2026 FSC-klagomål.docx", "A 394-2026")</f>
        <v/>
      </c>
      <c r="W512">
        <f>HYPERLINK("https://klasma.github.io/Logging_0582/klagomålsmail/A 394-2026 FSC-klagomål mail.docx", "A 394-2026")</f>
        <v/>
      </c>
      <c r="X512">
        <f>HYPERLINK("https://klasma.github.io/Logging_0582/tillsyn/A 394-2026 tillsynsbegäran.docx", "A 394-2026")</f>
        <v/>
      </c>
      <c r="Y512">
        <f>HYPERLINK("https://klasma.github.io/Logging_0582/tillsynsmail/A 394-2026 tillsynsbegäran mail.docx", "A 394-2026")</f>
        <v/>
      </c>
    </row>
    <row r="513" ht="15" customHeight="1">
      <c r="A513" t="inlineStr">
        <is>
          <t>A 19628-2025</t>
        </is>
      </c>
      <c r="B513" s="1" t="n">
        <v>45770.63996527778</v>
      </c>
      <c r="C513" s="1" t="n">
        <v>46093</v>
      </c>
      <c r="D513" t="inlineStr">
        <is>
          <t>ÖSTERGÖTLANDS LÄN</t>
        </is>
      </c>
      <c r="E513" t="inlineStr">
        <is>
          <t>NORRKÖPING</t>
        </is>
      </c>
      <c r="G513" t="n">
        <v>2.7</v>
      </c>
      <c r="H513" t="n">
        <v>0</v>
      </c>
      <c r="I513" t="n">
        <v>1</v>
      </c>
      <c r="J513" t="n">
        <v>0</v>
      </c>
      <c r="K513" t="n">
        <v>0</v>
      </c>
      <c r="L513" t="n">
        <v>0</v>
      </c>
      <c r="M513" t="n">
        <v>0</v>
      </c>
      <c r="N513" t="n">
        <v>0</v>
      </c>
      <c r="O513" t="n">
        <v>0</v>
      </c>
      <c r="P513" t="n">
        <v>0</v>
      </c>
      <c r="Q513" t="n">
        <v>1</v>
      </c>
      <c r="R513" s="2" t="inlineStr">
        <is>
          <t>Grönpyrola</t>
        </is>
      </c>
      <c r="S513">
        <f>HYPERLINK("https://klasma.github.io/Logging_0581/artfynd/A 19628-2025 artfynd.xlsx", "A 19628-2025")</f>
        <v/>
      </c>
      <c r="T513">
        <f>HYPERLINK("https://klasma.github.io/Logging_0581/kartor/A 19628-2025 karta.png", "A 19628-2025")</f>
        <v/>
      </c>
      <c r="V513">
        <f>HYPERLINK("https://klasma.github.io/Logging_0581/klagomål/A 19628-2025 FSC-klagomål.docx", "A 19628-2025")</f>
        <v/>
      </c>
      <c r="W513">
        <f>HYPERLINK("https://klasma.github.io/Logging_0581/klagomålsmail/A 19628-2025 FSC-klagomål mail.docx", "A 19628-2025")</f>
        <v/>
      </c>
      <c r="X513">
        <f>HYPERLINK("https://klasma.github.io/Logging_0581/tillsyn/A 19628-2025 tillsynsbegäran.docx", "A 19628-2025")</f>
        <v/>
      </c>
      <c r="Y513">
        <f>HYPERLINK("https://klasma.github.io/Logging_0581/tillsynsmail/A 19628-2025 tillsynsbegäran mail.docx", "A 19628-2025")</f>
        <v/>
      </c>
    </row>
    <row r="514" ht="15" customHeight="1">
      <c r="A514" t="inlineStr">
        <is>
          <t>A 8118-2026</t>
        </is>
      </c>
      <c r="B514" s="1" t="n">
        <v>46062</v>
      </c>
      <c r="C514" s="1" t="n">
        <v>46093</v>
      </c>
      <c r="D514" t="inlineStr">
        <is>
          <t>ÖSTERGÖTLANDS LÄN</t>
        </is>
      </c>
      <c r="E514" t="inlineStr">
        <is>
          <t>ÖDESHÖG</t>
        </is>
      </c>
      <c r="G514" t="n">
        <v>13.4</v>
      </c>
      <c r="H514" t="n">
        <v>1</v>
      </c>
      <c r="I514" t="n">
        <v>0</v>
      </c>
      <c r="J514" t="n">
        <v>0</v>
      </c>
      <c r="K514" t="n">
        <v>0</v>
      </c>
      <c r="L514" t="n">
        <v>0</v>
      </c>
      <c r="M514" t="n">
        <v>0</v>
      </c>
      <c r="N514" t="n">
        <v>0</v>
      </c>
      <c r="O514" t="n">
        <v>0</v>
      </c>
      <c r="P514" t="n">
        <v>0</v>
      </c>
      <c r="Q514" t="n">
        <v>1</v>
      </c>
      <c r="R514" s="2" t="inlineStr">
        <is>
          <t>Nattviol</t>
        </is>
      </c>
      <c r="S514">
        <f>HYPERLINK("https://klasma.github.io/Logging_0509/artfynd/A 8118-2026 artfynd.xlsx", "A 8118-2026")</f>
        <v/>
      </c>
      <c r="T514">
        <f>HYPERLINK("https://klasma.github.io/Logging_0509/kartor/A 8118-2026 karta.png", "A 8118-2026")</f>
        <v/>
      </c>
      <c r="V514">
        <f>HYPERLINK("https://klasma.github.io/Logging_0509/klagomål/A 8118-2026 FSC-klagomål.docx", "A 8118-2026")</f>
        <v/>
      </c>
      <c r="W514">
        <f>HYPERLINK("https://klasma.github.io/Logging_0509/klagomålsmail/A 8118-2026 FSC-klagomål mail.docx", "A 8118-2026")</f>
        <v/>
      </c>
      <c r="X514">
        <f>HYPERLINK("https://klasma.github.io/Logging_0509/tillsyn/A 8118-2026 tillsynsbegäran.docx", "A 8118-2026")</f>
        <v/>
      </c>
      <c r="Y514">
        <f>HYPERLINK("https://klasma.github.io/Logging_0509/tillsynsmail/A 8118-2026 tillsynsbegäran mail.docx", "A 8118-2026")</f>
        <v/>
      </c>
    </row>
    <row r="515" ht="15" customHeight="1">
      <c r="A515" t="inlineStr">
        <is>
          <t>A 9051-2026</t>
        </is>
      </c>
      <c r="B515" s="1" t="n">
        <v>46069.55527777778</v>
      </c>
      <c r="C515" s="1" t="n">
        <v>46093</v>
      </c>
      <c r="D515" t="inlineStr">
        <is>
          <t>ÖSTERGÖTLANDS LÄN</t>
        </is>
      </c>
      <c r="E515" t="inlineStr">
        <is>
          <t>YDRE</t>
        </is>
      </c>
      <c r="G515" t="n">
        <v>1.4</v>
      </c>
      <c r="H515" t="n">
        <v>0</v>
      </c>
      <c r="I515" t="n">
        <v>0</v>
      </c>
      <c r="J515" t="n">
        <v>1</v>
      </c>
      <c r="K515" t="n">
        <v>0</v>
      </c>
      <c r="L515" t="n">
        <v>0</v>
      </c>
      <c r="M515" t="n">
        <v>0</v>
      </c>
      <c r="N515" t="n">
        <v>0</v>
      </c>
      <c r="O515" t="n">
        <v>1</v>
      </c>
      <c r="P515" t="n">
        <v>0</v>
      </c>
      <c r="Q515" t="n">
        <v>1</v>
      </c>
      <c r="R515" s="2" t="inlineStr">
        <is>
          <t>Slåtterfibbla</t>
        </is>
      </c>
      <c r="S515">
        <f>HYPERLINK("https://klasma.github.io/Logging_0512/artfynd/A 9051-2026 artfynd.xlsx", "A 9051-2026")</f>
        <v/>
      </c>
      <c r="T515">
        <f>HYPERLINK("https://klasma.github.io/Logging_0512/kartor/A 9051-2026 karta.png", "A 9051-2026")</f>
        <v/>
      </c>
      <c r="V515">
        <f>HYPERLINK("https://klasma.github.io/Logging_0512/klagomål/A 9051-2026 FSC-klagomål.docx", "A 9051-2026")</f>
        <v/>
      </c>
      <c r="W515">
        <f>HYPERLINK("https://klasma.github.io/Logging_0512/klagomålsmail/A 9051-2026 FSC-klagomål mail.docx", "A 9051-2026")</f>
        <v/>
      </c>
      <c r="X515">
        <f>HYPERLINK("https://klasma.github.io/Logging_0512/tillsyn/A 9051-2026 tillsynsbegäran.docx", "A 9051-2026")</f>
        <v/>
      </c>
      <c r="Y515">
        <f>HYPERLINK("https://klasma.github.io/Logging_0512/tillsynsmail/A 9051-2026 tillsynsbegäran mail.docx", "A 9051-2026")</f>
        <v/>
      </c>
    </row>
    <row r="516" ht="15" customHeight="1">
      <c r="A516" t="inlineStr">
        <is>
          <t>A 41907-2024</t>
        </is>
      </c>
      <c r="B516" s="1" t="n">
        <v>45561.53494212963</v>
      </c>
      <c r="C516" s="1" t="n">
        <v>46093</v>
      </c>
      <c r="D516" t="inlineStr">
        <is>
          <t>ÖSTERGÖTLANDS LÄN</t>
        </is>
      </c>
      <c r="E516" t="inlineStr">
        <is>
          <t>YDRE</t>
        </is>
      </c>
      <c r="G516" t="n">
        <v>1.2</v>
      </c>
      <c r="H516" t="n">
        <v>0</v>
      </c>
      <c r="I516" t="n">
        <v>1</v>
      </c>
      <c r="J516" t="n">
        <v>0</v>
      </c>
      <c r="K516" t="n">
        <v>0</v>
      </c>
      <c r="L516" t="n">
        <v>0</v>
      </c>
      <c r="M516" t="n">
        <v>0</v>
      </c>
      <c r="N516" t="n">
        <v>0</v>
      </c>
      <c r="O516" t="n">
        <v>0</v>
      </c>
      <c r="P516" t="n">
        <v>0</v>
      </c>
      <c r="Q516" t="n">
        <v>1</v>
      </c>
      <c r="R516" s="2" t="inlineStr">
        <is>
          <t>Grovticka</t>
        </is>
      </c>
      <c r="S516">
        <f>HYPERLINK("https://klasma.github.io/Logging_0512/artfynd/A 41907-2024 artfynd.xlsx", "A 41907-2024")</f>
        <v/>
      </c>
      <c r="T516">
        <f>HYPERLINK("https://klasma.github.io/Logging_0512/kartor/A 41907-2024 karta.png", "A 41907-2024")</f>
        <v/>
      </c>
      <c r="V516">
        <f>HYPERLINK("https://klasma.github.io/Logging_0512/klagomål/A 41907-2024 FSC-klagomål.docx", "A 41907-2024")</f>
        <v/>
      </c>
      <c r="W516">
        <f>HYPERLINK("https://klasma.github.io/Logging_0512/klagomålsmail/A 41907-2024 FSC-klagomål mail.docx", "A 41907-2024")</f>
        <v/>
      </c>
      <c r="X516">
        <f>HYPERLINK("https://klasma.github.io/Logging_0512/tillsyn/A 41907-2024 tillsynsbegäran.docx", "A 41907-2024")</f>
        <v/>
      </c>
      <c r="Y516">
        <f>HYPERLINK("https://klasma.github.io/Logging_0512/tillsynsmail/A 41907-2024 tillsynsbegäran mail.docx", "A 41907-2024")</f>
        <v/>
      </c>
    </row>
    <row r="517" ht="15" customHeight="1">
      <c r="A517" t="inlineStr">
        <is>
          <t>A 18682-2025</t>
        </is>
      </c>
      <c r="B517" s="1" t="n">
        <v>45763.60795138889</v>
      </c>
      <c r="C517" s="1" t="n">
        <v>46093</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46093</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2230-2025</t>
        </is>
      </c>
      <c r="B519" s="1" t="n">
        <v>45673.4736574074</v>
      </c>
      <c r="C519" s="1" t="n">
        <v>46093</v>
      </c>
      <c r="D519" t="inlineStr">
        <is>
          <t>ÖSTERGÖTLANDS LÄN</t>
        </is>
      </c>
      <c r="E519" t="inlineStr">
        <is>
          <t>MJÖLBY</t>
        </is>
      </c>
      <c r="G519" t="n">
        <v>1.6</v>
      </c>
      <c r="H519" t="n">
        <v>1</v>
      </c>
      <c r="I519" t="n">
        <v>0</v>
      </c>
      <c r="J519" t="n">
        <v>0</v>
      </c>
      <c r="K519" t="n">
        <v>0</v>
      </c>
      <c r="L519" t="n">
        <v>0</v>
      </c>
      <c r="M519" t="n">
        <v>0</v>
      </c>
      <c r="N519" t="n">
        <v>0</v>
      </c>
      <c r="O519" t="n">
        <v>0</v>
      </c>
      <c r="P519" t="n">
        <v>0</v>
      </c>
      <c r="Q519" t="n">
        <v>1</v>
      </c>
      <c r="R519" s="2" t="inlineStr">
        <is>
          <t>Fläcknycklar</t>
        </is>
      </c>
      <c r="S519">
        <f>HYPERLINK("https://klasma.github.io/Logging_0586/artfynd/A 2230-2025 artfynd.xlsx", "A 2230-2025")</f>
        <v/>
      </c>
      <c r="T519">
        <f>HYPERLINK("https://klasma.github.io/Logging_0586/kartor/A 2230-2025 karta.png", "A 2230-2025")</f>
        <v/>
      </c>
      <c r="V519">
        <f>HYPERLINK("https://klasma.github.io/Logging_0586/klagomål/A 2230-2025 FSC-klagomål.docx", "A 2230-2025")</f>
        <v/>
      </c>
      <c r="W519">
        <f>HYPERLINK("https://klasma.github.io/Logging_0586/klagomålsmail/A 2230-2025 FSC-klagomål mail.docx", "A 2230-2025")</f>
        <v/>
      </c>
      <c r="X519">
        <f>HYPERLINK("https://klasma.github.io/Logging_0586/tillsyn/A 2230-2025 tillsynsbegäran.docx", "A 2230-2025")</f>
        <v/>
      </c>
      <c r="Y519">
        <f>HYPERLINK("https://klasma.github.io/Logging_0586/tillsynsmail/A 2230-2025 tillsynsbegäran mail.docx", "A 2230-2025")</f>
        <v/>
      </c>
    </row>
    <row r="520" ht="15" customHeight="1">
      <c r="A520" t="inlineStr">
        <is>
          <t>A 62659-2025</t>
        </is>
      </c>
      <c r="B520" s="1" t="n">
        <v>46008</v>
      </c>
      <c r="C520" s="1" t="n">
        <v>46093</v>
      </c>
      <c r="D520" t="inlineStr">
        <is>
          <t>ÖSTERGÖTLANDS LÄN</t>
        </is>
      </c>
      <c r="E520" t="inlineStr">
        <is>
          <t>BOXHOLM</t>
        </is>
      </c>
      <c r="F520" t="inlineStr">
        <is>
          <t>Övriga Aktiebolag</t>
        </is>
      </c>
      <c r="G520" t="n">
        <v>0.5</v>
      </c>
      <c r="H520" t="n">
        <v>0</v>
      </c>
      <c r="I520" t="n">
        <v>1</v>
      </c>
      <c r="J520" t="n">
        <v>0</v>
      </c>
      <c r="K520" t="n">
        <v>0</v>
      </c>
      <c r="L520" t="n">
        <v>0</v>
      </c>
      <c r="M520" t="n">
        <v>0</v>
      </c>
      <c r="N520" t="n">
        <v>0</v>
      </c>
      <c r="O520" t="n">
        <v>0</v>
      </c>
      <c r="P520" t="n">
        <v>0</v>
      </c>
      <c r="Q520" t="n">
        <v>1</v>
      </c>
      <c r="R520" s="2" t="inlineStr">
        <is>
          <t>Fällmossa</t>
        </is>
      </c>
      <c r="S520">
        <f>HYPERLINK("https://klasma.github.io/Logging_0560/artfynd/A 62659-2025 artfynd.xlsx", "A 62659-2025")</f>
        <v/>
      </c>
      <c r="T520">
        <f>HYPERLINK("https://klasma.github.io/Logging_0560/kartor/A 62659-2025 karta.png", "A 62659-2025")</f>
        <v/>
      </c>
      <c r="V520">
        <f>HYPERLINK("https://klasma.github.io/Logging_0560/klagomål/A 62659-2025 FSC-klagomål.docx", "A 62659-2025")</f>
        <v/>
      </c>
      <c r="W520">
        <f>HYPERLINK("https://klasma.github.io/Logging_0560/klagomålsmail/A 62659-2025 FSC-klagomål mail.docx", "A 62659-2025")</f>
        <v/>
      </c>
      <c r="X520">
        <f>HYPERLINK("https://klasma.github.io/Logging_0560/tillsyn/A 62659-2025 tillsynsbegäran.docx", "A 62659-2025")</f>
        <v/>
      </c>
      <c r="Y520">
        <f>HYPERLINK("https://klasma.github.io/Logging_0560/tillsynsmail/A 62659-2025 tillsynsbegäran mail.docx", "A 62659-2025")</f>
        <v/>
      </c>
    </row>
    <row r="521" ht="15" customHeight="1">
      <c r="A521" t="inlineStr">
        <is>
          <t>A 24686-2024</t>
        </is>
      </c>
      <c r="B521" s="1" t="n">
        <v>45460.60101851852</v>
      </c>
      <c r="C521" s="1" t="n">
        <v>46093</v>
      </c>
      <c r="D521" t="inlineStr">
        <is>
          <t>ÖSTERGÖTLANDS LÄN</t>
        </is>
      </c>
      <c r="E521" t="inlineStr">
        <is>
          <t>MOTALA</t>
        </is>
      </c>
      <c r="G521" t="n">
        <v>1.8</v>
      </c>
      <c r="H521" t="n">
        <v>0</v>
      </c>
      <c r="I521" t="n">
        <v>0</v>
      </c>
      <c r="J521" t="n">
        <v>1</v>
      </c>
      <c r="K521" t="n">
        <v>0</v>
      </c>
      <c r="L521" t="n">
        <v>0</v>
      </c>
      <c r="M521" t="n">
        <v>0</v>
      </c>
      <c r="N521" t="n">
        <v>0</v>
      </c>
      <c r="O521" t="n">
        <v>1</v>
      </c>
      <c r="P521" t="n">
        <v>0</v>
      </c>
      <c r="Q521" t="n">
        <v>1</v>
      </c>
      <c r="R521" s="2" t="inlineStr">
        <is>
          <t>Skogsklocka</t>
        </is>
      </c>
      <c r="S521">
        <f>HYPERLINK("https://klasma.github.io/Logging_0583/artfynd/A 24686-2024 artfynd.xlsx", "A 24686-2024")</f>
        <v/>
      </c>
      <c r="T521">
        <f>HYPERLINK("https://klasma.github.io/Logging_0583/kartor/A 24686-2024 karta.png", "A 24686-2024")</f>
        <v/>
      </c>
      <c r="V521">
        <f>HYPERLINK("https://klasma.github.io/Logging_0583/klagomål/A 24686-2024 FSC-klagomål.docx", "A 24686-2024")</f>
        <v/>
      </c>
      <c r="W521">
        <f>HYPERLINK("https://klasma.github.io/Logging_0583/klagomålsmail/A 24686-2024 FSC-klagomål mail.docx", "A 24686-2024")</f>
        <v/>
      </c>
      <c r="X521">
        <f>HYPERLINK("https://klasma.github.io/Logging_0583/tillsyn/A 24686-2024 tillsynsbegäran.docx", "A 24686-2024")</f>
        <v/>
      </c>
      <c r="Y521">
        <f>HYPERLINK("https://klasma.github.io/Logging_0583/tillsynsmail/A 24686-2024 tillsynsbegäran mail.docx", "A 24686-2024")</f>
        <v/>
      </c>
    </row>
    <row r="522" ht="15" customHeight="1">
      <c r="A522" t="inlineStr">
        <is>
          <t>A 23067-2025</t>
        </is>
      </c>
      <c r="B522" s="1" t="n">
        <v>45790</v>
      </c>
      <c r="C522" s="1" t="n">
        <v>46093</v>
      </c>
      <c r="D522" t="inlineStr">
        <is>
          <t>ÖSTERGÖTLANDS LÄN</t>
        </is>
      </c>
      <c r="E522" t="inlineStr">
        <is>
          <t>VALDEMARSVIK</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HYPERLINK("https://klasma.github.io/Logging_0563/artfynd/A 23067-2025 artfynd.xlsx", "A 23067-2025")</f>
        <v/>
      </c>
      <c r="T522">
        <f>HYPERLINK("https://klasma.github.io/Logging_0563/kartor/A 23067-2025 karta.png", "A 23067-2025")</f>
        <v/>
      </c>
      <c r="V522">
        <f>HYPERLINK("https://klasma.github.io/Logging_0563/klagomål/A 23067-2025 FSC-klagomål.docx", "A 23067-2025")</f>
        <v/>
      </c>
      <c r="W522">
        <f>HYPERLINK("https://klasma.github.io/Logging_0563/klagomålsmail/A 23067-2025 FSC-klagomål mail.docx", "A 23067-2025")</f>
        <v/>
      </c>
      <c r="X522">
        <f>HYPERLINK("https://klasma.github.io/Logging_0563/tillsyn/A 23067-2025 tillsynsbegäran.docx", "A 23067-2025")</f>
        <v/>
      </c>
      <c r="Y522">
        <f>HYPERLINK("https://klasma.github.io/Logging_0563/tillsynsmail/A 23067-2025 tillsynsbegäran mail.docx", "A 23067-2025")</f>
        <v/>
      </c>
      <c r="Z522">
        <f>HYPERLINK("https://klasma.github.io/Logging_0563/fåglar/A 23067-2025 prioriterade fågelarter.docx", "A 23067-2025")</f>
        <v/>
      </c>
    </row>
    <row r="523" ht="15" customHeight="1">
      <c r="A523" t="inlineStr">
        <is>
          <t>A 41749-2023</t>
        </is>
      </c>
      <c r="B523" s="1" t="n">
        <v>45176</v>
      </c>
      <c r="C523" s="1" t="n">
        <v>46093</v>
      </c>
      <c r="D523" t="inlineStr">
        <is>
          <t>ÖSTERGÖTLANDS LÄN</t>
        </is>
      </c>
      <c r="E523" t="inlineStr">
        <is>
          <t>LINKÖPING</t>
        </is>
      </c>
      <c r="G523" t="n">
        <v>3.6</v>
      </c>
      <c r="H523" t="n">
        <v>0</v>
      </c>
      <c r="I523" t="n">
        <v>0</v>
      </c>
      <c r="J523" t="n">
        <v>1</v>
      </c>
      <c r="K523" t="n">
        <v>0</v>
      </c>
      <c r="L523" t="n">
        <v>0</v>
      </c>
      <c r="M523" t="n">
        <v>0</v>
      </c>
      <c r="N523" t="n">
        <v>0</v>
      </c>
      <c r="O523" t="n">
        <v>1</v>
      </c>
      <c r="P523" t="n">
        <v>0</v>
      </c>
      <c r="Q523" t="n">
        <v>1</v>
      </c>
      <c r="R523" s="2" t="inlineStr">
        <is>
          <t>Svinrot</t>
        </is>
      </c>
      <c r="S523">
        <f>HYPERLINK("https://klasma.github.io/Logging_0580/artfynd/A 41749-2023 artfynd.xlsx", "A 41749-2023")</f>
        <v/>
      </c>
      <c r="T523">
        <f>HYPERLINK("https://klasma.github.io/Logging_0580/kartor/A 41749-2023 karta.png", "A 41749-2023")</f>
        <v/>
      </c>
      <c r="V523">
        <f>HYPERLINK("https://klasma.github.io/Logging_0580/klagomål/A 41749-2023 FSC-klagomål.docx", "A 41749-2023")</f>
        <v/>
      </c>
      <c r="W523">
        <f>HYPERLINK("https://klasma.github.io/Logging_0580/klagomålsmail/A 41749-2023 FSC-klagomål mail.docx", "A 41749-2023")</f>
        <v/>
      </c>
      <c r="X523">
        <f>HYPERLINK("https://klasma.github.io/Logging_0580/tillsyn/A 41749-2023 tillsynsbegäran.docx", "A 41749-2023")</f>
        <v/>
      </c>
      <c r="Y523">
        <f>HYPERLINK("https://klasma.github.io/Logging_0580/tillsynsmail/A 41749-2023 tillsynsbegäran mail.docx", "A 41749-2023")</f>
        <v/>
      </c>
    </row>
    <row r="524" ht="15" customHeight="1">
      <c r="A524" t="inlineStr">
        <is>
          <t>A 10992-2026</t>
        </is>
      </c>
      <c r="B524" s="1" t="n">
        <v>46079.48755787037</v>
      </c>
      <c r="C524" s="1" t="n">
        <v>46093</v>
      </c>
      <c r="D524" t="inlineStr">
        <is>
          <t>ÖSTERGÖTLANDS LÄN</t>
        </is>
      </c>
      <c r="E524" t="inlineStr">
        <is>
          <t>SÖDERKÖPING</t>
        </is>
      </c>
      <c r="F524" t="inlineStr">
        <is>
          <t>Kyrkan</t>
        </is>
      </c>
      <c r="G524" t="n">
        <v>5.9</v>
      </c>
      <c r="H524" t="n">
        <v>0</v>
      </c>
      <c r="I524" t="n">
        <v>0</v>
      </c>
      <c r="J524" t="n">
        <v>0</v>
      </c>
      <c r="K524" t="n">
        <v>0</v>
      </c>
      <c r="L524" t="n">
        <v>1</v>
      </c>
      <c r="M524" t="n">
        <v>0</v>
      </c>
      <c r="N524" t="n">
        <v>0</v>
      </c>
      <c r="O524" t="n">
        <v>1</v>
      </c>
      <c r="P524" t="n">
        <v>1</v>
      </c>
      <c r="Q524" t="n">
        <v>1</v>
      </c>
      <c r="R524" s="2" t="inlineStr">
        <is>
          <t>Ask</t>
        </is>
      </c>
      <c r="S524">
        <f>HYPERLINK("https://klasma.github.io/Logging_0582/artfynd/A 10992-2026 artfynd.xlsx", "A 10992-2026")</f>
        <v/>
      </c>
      <c r="T524">
        <f>HYPERLINK("https://klasma.github.io/Logging_0582/kartor/A 10992-2026 karta.png", "A 10992-2026")</f>
        <v/>
      </c>
      <c r="V524">
        <f>HYPERLINK("https://klasma.github.io/Logging_0582/klagomål/A 10992-2026 FSC-klagomål.docx", "A 10992-2026")</f>
        <v/>
      </c>
      <c r="W524">
        <f>HYPERLINK("https://klasma.github.io/Logging_0582/klagomålsmail/A 10992-2026 FSC-klagomål mail.docx", "A 10992-2026")</f>
        <v/>
      </c>
      <c r="X524">
        <f>HYPERLINK("https://klasma.github.io/Logging_0582/tillsyn/A 10992-2026 tillsynsbegäran.docx", "A 10992-2026")</f>
        <v/>
      </c>
      <c r="Y524">
        <f>HYPERLINK("https://klasma.github.io/Logging_0582/tillsynsmail/A 10992-2026 tillsynsbegäran mail.docx", "A 10992-2026")</f>
        <v/>
      </c>
    </row>
    <row r="525" ht="15" customHeight="1">
      <c r="A525" t="inlineStr">
        <is>
          <t>A 3293-2026</t>
        </is>
      </c>
      <c r="B525" s="1" t="n">
        <v>46041.64318287037</v>
      </c>
      <c r="C525" s="1" t="n">
        <v>46093</v>
      </c>
      <c r="D525" t="inlineStr">
        <is>
          <t>ÖSTERGÖTLANDS LÄN</t>
        </is>
      </c>
      <c r="E525" t="inlineStr">
        <is>
          <t>YDRE</t>
        </is>
      </c>
      <c r="F525" t="inlineStr">
        <is>
          <t>Sveaskog</t>
        </is>
      </c>
      <c r="G525" t="n">
        <v>5.1</v>
      </c>
      <c r="H525" t="n">
        <v>0</v>
      </c>
      <c r="I525" t="n">
        <v>1</v>
      </c>
      <c r="J525" t="n">
        <v>0</v>
      </c>
      <c r="K525" t="n">
        <v>0</v>
      </c>
      <c r="L525" t="n">
        <v>0</v>
      </c>
      <c r="M525" t="n">
        <v>0</v>
      </c>
      <c r="N525" t="n">
        <v>0</v>
      </c>
      <c r="O525" t="n">
        <v>0</v>
      </c>
      <c r="P525" t="n">
        <v>0</v>
      </c>
      <c r="Q525" t="n">
        <v>1</v>
      </c>
      <c r="R525" s="2" t="inlineStr">
        <is>
          <t>Flagellkvastmossa</t>
        </is>
      </c>
      <c r="S525">
        <f>HYPERLINK("https://klasma.github.io/Logging_0512/artfynd/A 3293-2026 artfynd.xlsx", "A 3293-2026")</f>
        <v/>
      </c>
      <c r="T525">
        <f>HYPERLINK("https://klasma.github.io/Logging_0512/kartor/A 3293-2026 karta.png", "A 3293-2026")</f>
        <v/>
      </c>
      <c r="V525">
        <f>HYPERLINK("https://klasma.github.io/Logging_0512/klagomål/A 3293-2026 FSC-klagomål.docx", "A 3293-2026")</f>
        <v/>
      </c>
      <c r="W525">
        <f>HYPERLINK("https://klasma.github.io/Logging_0512/klagomålsmail/A 3293-2026 FSC-klagomål mail.docx", "A 3293-2026")</f>
        <v/>
      </c>
      <c r="X525">
        <f>HYPERLINK("https://klasma.github.io/Logging_0512/tillsyn/A 3293-2026 tillsynsbegäran.docx", "A 3293-2026")</f>
        <v/>
      </c>
      <c r="Y525">
        <f>HYPERLINK("https://klasma.github.io/Logging_0512/tillsynsmail/A 3293-2026 tillsynsbegäran mail.docx", "A 3293-2026")</f>
        <v/>
      </c>
    </row>
    <row r="526" ht="15" customHeight="1">
      <c r="A526" t="inlineStr">
        <is>
          <t>A 23969-2025</t>
        </is>
      </c>
      <c r="B526" s="1" t="n">
        <v>45796</v>
      </c>
      <c r="C526" s="1" t="n">
        <v>46093</v>
      </c>
      <c r="D526" t="inlineStr">
        <is>
          <t>ÖSTERGÖTLANDS LÄN</t>
        </is>
      </c>
      <c r="E526" t="inlineStr">
        <is>
          <t>NORRKÖPING</t>
        </is>
      </c>
      <c r="F526" t="inlineStr">
        <is>
          <t>Holmen skog AB</t>
        </is>
      </c>
      <c r="G526" t="n">
        <v>2</v>
      </c>
      <c r="H526" t="n">
        <v>1</v>
      </c>
      <c r="I526" t="n">
        <v>0</v>
      </c>
      <c r="J526" t="n">
        <v>1</v>
      </c>
      <c r="K526" t="n">
        <v>0</v>
      </c>
      <c r="L526" t="n">
        <v>0</v>
      </c>
      <c r="M526" t="n">
        <v>0</v>
      </c>
      <c r="N526" t="n">
        <v>0</v>
      </c>
      <c r="O526" t="n">
        <v>1</v>
      </c>
      <c r="P526" t="n">
        <v>0</v>
      </c>
      <c r="Q526" t="n">
        <v>1</v>
      </c>
      <c r="R526" s="2" t="inlineStr">
        <is>
          <t>Grönsångare</t>
        </is>
      </c>
      <c r="S526">
        <f>HYPERLINK("https://klasma.github.io/Logging_0581/artfynd/A 23969-2025 artfynd.xlsx", "A 23969-2025")</f>
        <v/>
      </c>
      <c r="T526">
        <f>HYPERLINK("https://klasma.github.io/Logging_0581/kartor/A 23969-2025 karta.png", "A 23969-2025")</f>
        <v/>
      </c>
      <c r="V526">
        <f>HYPERLINK("https://klasma.github.io/Logging_0581/klagomål/A 23969-2025 FSC-klagomål.docx", "A 23969-2025")</f>
        <v/>
      </c>
      <c r="W526">
        <f>HYPERLINK("https://klasma.github.io/Logging_0581/klagomålsmail/A 23969-2025 FSC-klagomål mail.docx", "A 23969-2025")</f>
        <v/>
      </c>
      <c r="X526">
        <f>HYPERLINK("https://klasma.github.io/Logging_0581/tillsyn/A 23969-2025 tillsynsbegäran.docx", "A 23969-2025")</f>
        <v/>
      </c>
      <c r="Y526">
        <f>HYPERLINK("https://klasma.github.io/Logging_0581/tillsynsmail/A 23969-2025 tillsynsbegäran mail.docx", "A 23969-2025")</f>
        <v/>
      </c>
      <c r="Z526">
        <f>HYPERLINK("https://klasma.github.io/Logging_0581/fåglar/A 23969-2025 prioriterade fågelarter.docx", "A 23969-2025")</f>
        <v/>
      </c>
    </row>
    <row r="527" ht="15" customHeight="1">
      <c r="A527" t="inlineStr">
        <is>
          <t>A 24554-2025</t>
        </is>
      </c>
      <c r="B527" s="1" t="n">
        <v>45798.44936342593</v>
      </c>
      <c r="C527" s="1" t="n">
        <v>46093</v>
      </c>
      <c r="D527" t="inlineStr">
        <is>
          <t>ÖSTERGÖTLANDS LÄN</t>
        </is>
      </c>
      <c r="E527" t="inlineStr">
        <is>
          <t>MOTALA</t>
        </is>
      </c>
      <c r="G527" t="n">
        <v>2.1</v>
      </c>
      <c r="H527" t="n">
        <v>1</v>
      </c>
      <c r="I527" t="n">
        <v>0</v>
      </c>
      <c r="J527" t="n">
        <v>0</v>
      </c>
      <c r="K527" t="n">
        <v>0</v>
      </c>
      <c r="L527" t="n">
        <v>0</v>
      </c>
      <c r="M527" t="n">
        <v>0</v>
      </c>
      <c r="N527" t="n">
        <v>0</v>
      </c>
      <c r="O527" t="n">
        <v>0</v>
      </c>
      <c r="P527" t="n">
        <v>0</v>
      </c>
      <c r="Q527" t="n">
        <v>1</v>
      </c>
      <c r="R527" s="2" t="inlineStr">
        <is>
          <t>Grönvit nattviol</t>
        </is>
      </c>
      <c r="S527">
        <f>HYPERLINK("https://klasma.github.io/Logging_0583/artfynd/A 24554-2025 artfynd.xlsx", "A 24554-2025")</f>
        <v/>
      </c>
      <c r="T527">
        <f>HYPERLINK("https://klasma.github.io/Logging_0583/kartor/A 24554-2025 karta.png", "A 24554-2025")</f>
        <v/>
      </c>
      <c r="V527">
        <f>HYPERLINK("https://klasma.github.io/Logging_0583/klagomål/A 24554-2025 FSC-klagomål.docx", "A 24554-2025")</f>
        <v/>
      </c>
      <c r="W527">
        <f>HYPERLINK("https://klasma.github.io/Logging_0583/klagomålsmail/A 24554-2025 FSC-klagomål mail.docx", "A 24554-2025")</f>
        <v/>
      </c>
      <c r="X527">
        <f>HYPERLINK("https://klasma.github.io/Logging_0583/tillsyn/A 24554-2025 tillsynsbegäran.docx", "A 24554-2025")</f>
        <v/>
      </c>
      <c r="Y527">
        <f>HYPERLINK("https://klasma.github.io/Logging_0583/tillsynsmail/A 24554-2025 tillsynsbegäran mail.docx", "A 24554-2025")</f>
        <v/>
      </c>
    </row>
    <row r="528" ht="15" customHeight="1">
      <c r="A528" t="inlineStr">
        <is>
          <t>A 25284-2025</t>
        </is>
      </c>
      <c r="B528" s="1" t="n">
        <v>45800.56177083333</v>
      </c>
      <c r="C528" s="1" t="n">
        <v>46093</v>
      </c>
      <c r="D528" t="inlineStr">
        <is>
          <t>ÖSTERGÖTLANDS LÄN</t>
        </is>
      </c>
      <c r="E528" t="inlineStr">
        <is>
          <t>FINSPÅNG</t>
        </is>
      </c>
      <c r="F528" t="inlineStr">
        <is>
          <t>Naturvårdsverket</t>
        </is>
      </c>
      <c r="G528" t="n">
        <v>5.9</v>
      </c>
      <c r="H528" t="n">
        <v>1</v>
      </c>
      <c r="I528" t="n">
        <v>0</v>
      </c>
      <c r="J528" t="n">
        <v>0</v>
      </c>
      <c r="K528" t="n">
        <v>0</v>
      </c>
      <c r="L528" t="n">
        <v>0</v>
      </c>
      <c r="M528" t="n">
        <v>0</v>
      </c>
      <c r="N528" t="n">
        <v>0</v>
      </c>
      <c r="O528" t="n">
        <v>0</v>
      </c>
      <c r="P528" t="n">
        <v>0</v>
      </c>
      <c r="Q528" t="n">
        <v>1</v>
      </c>
      <c r="R528" s="2" t="inlineStr">
        <is>
          <t>Revlummer</t>
        </is>
      </c>
      <c r="S528">
        <f>HYPERLINK("https://klasma.github.io/Logging_0562/artfynd/A 25284-2025 artfynd.xlsx", "A 25284-2025")</f>
        <v/>
      </c>
      <c r="T528">
        <f>HYPERLINK("https://klasma.github.io/Logging_0562/kartor/A 25284-2025 karta.png", "A 25284-2025")</f>
        <v/>
      </c>
      <c r="V528">
        <f>HYPERLINK("https://klasma.github.io/Logging_0562/klagomål/A 25284-2025 FSC-klagomål.docx", "A 25284-2025")</f>
        <v/>
      </c>
      <c r="W528">
        <f>HYPERLINK("https://klasma.github.io/Logging_0562/klagomålsmail/A 25284-2025 FSC-klagomål mail.docx", "A 25284-2025")</f>
        <v/>
      </c>
      <c r="X528">
        <f>HYPERLINK("https://klasma.github.io/Logging_0562/tillsyn/A 25284-2025 tillsynsbegäran.docx", "A 25284-2025")</f>
        <v/>
      </c>
      <c r="Y528">
        <f>HYPERLINK("https://klasma.github.io/Logging_0562/tillsynsmail/A 25284-2025 tillsynsbegäran mail.docx", "A 25284-2025")</f>
        <v/>
      </c>
    </row>
    <row r="529" ht="15" customHeight="1">
      <c r="A529" t="inlineStr">
        <is>
          <t>A 12188-2026</t>
        </is>
      </c>
      <c r="B529" s="1" t="n">
        <v>46086.79777777778</v>
      </c>
      <c r="C529" s="1" t="n">
        <v>46093</v>
      </c>
      <c r="D529" t="inlineStr">
        <is>
          <t>ÖSTERGÖTLANDS LÄN</t>
        </is>
      </c>
      <c r="E529" t="inlineStr">
        <is>
          <t>NORRKÖPING</t>
        </is>
      </c>
      <c r="F529" t="inlineStr">
        <is>
          <t>Allmännings- och besparingsskogar</t>
        </is>
      </c>
      <c r="G529" t="n">
        <v>7.8</v>
      </c>
      <c r="H529" t="n">
        <v>1</v>
      </c>
      <c r="I529" t="n">
        <v>1</v>
      </c>
      <c r="J529" t="n">
        <v>0</v>
      </c>
      <c r="K529" t="n">
        <v>0</v>
      </c>
      <c r="L529" t="n">
        <v>0</v>
      </c>
      <c r="M529" t="n">
        <v>0</v>
      </c>
      <c r="N529" t="n">
        <v>0</v>
      </c>
      <c r="O529" t="n">
        <v>0</v>
      </c>
      <c r="P529" t="n">
        <v>0</v>
      </c>
      <c r="Q529" t="n">
        <v>1</v>
      </c>
      <c r="R529" s="2" t="inlineStr">
        <is>
          <t>Korallrot</t>
        </is>
      </c>
      <c r="S529">
        <f>HYPERLINK("https://klasma.github.io/Logging_0581/artfynd/A 12188-2026 artfynd.xlsx", "A 12188-2026")</f>
        <v/>
      </c>
      <c r="T529">
        <f>HYPERLINK("https://klasma.github.io/Logging_0581/kartor/A 12188-2026 karta.png", "A 12188-2026")</f>
        <v/>
      </c>
      <c r="V529">
        <f>HYPERLINK("https://klasma.github.io/Logging_0581/klagomål/A 12188-2026 FSC-klagomål.docx", "A 12188-2026")</f>
        <v/>
      </c>
      <c r="W529">
        <f>HYPERLINK("https://klasma.github.io/Logging_0581/klagomålsmail/A 12188-2026 FSC-klagomål mail.docx", "A 12188-2026")</f>
        <v/>
      </c>
      <c r="X529">
        <f>HYPERLINK("https://klasma.github.io/Logging_0581/tillsyn/A 12188-2026 tillsynsbegäran.docx", "A 12188-2026")</f>
        <v/>
      </c>
      <c r="Y529">
        <f>HYPERLINK("https://klasma.github.io/Logging_0581/tillsynsmail/A 12188-2026 tillsynsbegäran mail.docx", "A 12188-2026")</f>
        <v/>
      </c>
    </row>
    <row r="530" ht="15" customHeight="1">
      <c r="A530" t="inlineStr">
        <is>
          <t>A 3815-2026</t>
        </is>
      </c>
      <c r="B530" s="1" t="n">
        <v>46043.58462962963</v>
      </c>
      <c r="C530" s="1" t="n">
        <v>46093</v>
      </c>
      <c r="D530" t="inlineStr">
        <is>
          <t>ÖSTERGÖTLANDS LÄN</t>
        </is>
      </c>
      <c r="E530" t="inlineStr">
        <is>
          <t>NORRKÖPING</t>
        </is>
      </c>
      <c r="F530" t="inlineStr">
        <is>
          <t>Kommuner</t>
        </is>
      </c>
      <c r="G530" t="n">
        <v>1.1</v>
      </c>
      <c r="H530" t="n">
        <v>1</v>
      </c>
      <c r="I530" t="n">
        <v>0</v>
      </c>
      <c r="J530" t="n">
        <v>0</v>
      </c>
      <c r="K530" t="n">
        <v>0</v>
      </c>
      <c r="L530" t="n">
        <v>1</v>
      </c>
      <c r="M530" t="n">
        <v>0</v>
      </c>
      <c r="N530" t="n">
        <v>0</v>
      </c>
      <c r="O530" t="n">
        <v>1</v>
      </c>
      <c r="P530" t="n">
        <v>1</v>
      </c>
      <c r="Q530" t="n">
        <v>1</v>
      </c>
      <c r="R530" s="2" t="inlineStr">
        <is>
          <t>Grönfink</t>
        </is>
      </c>
      <c r="S530">
        <f>HYPERLINK("https://klasma.github.io/Logging_0581/artfynd/A 3815-2026 artfynd.xlsx", "A 3815-2026")</f>
        <v/>
      </c>
      <c r="T530">
        <f>HYPERLINK("https://klasma.github.io/Logging_0581/kartor/A 3815-2026 karta.png", "A 3815-2026")</f>
        <v/>
      </c>
      <c r="V530">
        <f>HYPERLINK("https://klasma.github.io/Logging_0581/klagomål/A 3815-2026 FSC-klagomål.docx", "A 3815-2026")</f>
        <v/>
      </c>
      <c r="W530">
        <f>HYPERLINK("https://klasma.github.io/Logging_0581/klagomålsmail/A 3815-2026 FSC-klagomål mail.docx", "A 3815-2026")</f>
        <v/>
      </c>
      <c r="X530">
        <f>HYPERLINK("https://klasma.github.io/Logging_0581/tillsyn/A 3815-2026 tillsynsbegäran.docx", "A 3815-2026")</f>
        <v/>
      </c>
      <c r="Y530">
        <f>HYPERLINK("https://klasma.github.io/Logging_0581/tillsynsmail/A 3815-2026 tillsynsbegäran mail.docx", "A 3815-2026")</f>
        <v/>
      </c>
      <c r="Z530">
        <f>HYPERLINK("https://klasma.github.io/Logging_0581/fåglar/A 3815-2026 prioriterade fågelarter.docx", "A 3815-2026")</f>
        <v/>
      </c>
    </row>
    <row r="531" ht="15" customHeight="1">
      <c r="A531" t="inlineStr">
        <is>
          <t>A 4671-2026</t>
        </is>
      </c>
      <c r="B531" s="1" t="n">
        <v>46048.42365740741</v>
      </c>
      <c r="C531" s="1" t="n">
        <v>46093</v>
      </c>
      <c r="D531" t="inlineStr">
        <is>
          <t>ÖSTERGÖTLANDS LÄN</t>
        </is>
      </c>
      <c r="E531" t="inlineStr">
        <is>
          <t>ÅTVIDABERG</t>
        </is>
      </c>
      <c r="G531" t="n">
        <v>7</v>
      </c>
      <c r="H531" t="n">
        <v>0</v>
      </c>
      <c r="I531" t="n">
        <v>0</v>
      </c>
      <c r="J531" t="n">
        <v>0</v>
      </c>
      <c r="K531" t="n">
        <v>0</v>
      </c>
      <c r="L531" t="n">
        <v>1</v>
      </c>
      <c r="M531" t="n">
        <v>0</v>
      </c>
      <c r="N531" t="n">
        <v>0</v>
      </c>
      <c r="O531" t="n">
        <v>1</v>
      </c>
      <c r="P531" t="n">
        <v>1</v>
      </c>
      <c r="Q531" t="n">
        <v>1</v>
      </c>
      <c r="R531" s="2" t="inlineStr">
        <is>
          <t>Ask</t>
        </is>
      </c>
      <c r="S531">
        <f>HYPERLINK("https://klasma.github.io/Logging_0561/artfynd/A 4671-2026 artfynd.xlsx", "A 4671-2026")</f>
        <v/>
      </c>
      <c r="T531">
        <f>HYPERLINK("https://klasma.github.io/Logging_0561/kartor/A 4671-2026 karta.png", "A 4671-2026")</f>
        <v/>
      </c>
      <c r="V531">
        <f>HYPERLINK("https://klasma.github.io/Logging_0561/klagomål/A 4671-2026 FSC-klagomål.docx", "A 4671-2026")</f>
        <v/>
      </c>
      <c r="W531">
        <f>HYPERLINK("https://klasma.github.io/Logging_0561/klagomålsmail/A 4671-2026 FSC-klagomål mail.docx", "A 4671-2026")</f>
        <v/>
      </c>
      <c r="X531">
        <f>HYPERLINK("https://klasma.github.io/Logging_0561/tillsyn/A 4671-2026 tillsynsbegäran.docx", "A 4671-2026")</f>
        <v/>
      </c>
      <c r="Y531">
        <f>HYPERLINK("https://klasma.github.io/Logging_0561/tillsynsmail/A 4671-2026 tillsynsbegäran mail.docx", "A 4671-2026")</f>
        <v/>
      </c>
    </row>
    <row r="532" ht="15" customHeight="1">
      <c r="A532" t="inlineStr">
        <is>
          <t>A 4248-2026</t>
        </is>
      </c>
      <c r="B532" s="1" t="n">
        <v>46045.31524305556</v>
      </c>
      <c r="C532" s="1" t="n">
        <v>46093</v>
      </c>
      <c r="D532" t="inlineStr">
        <is>
          <t>ÖSTERGÖTLANDS LÄN</t>
        </is>
      </c>
      <c r="E532" t="inlineStr">
        <is>
          <t>YDRE</t>
        </is>
      </c>
      <c r="F532" t="inlineStr">
        <is>
          <t>Sveaskog</t>
        </is>
      </c>
      <c r="G532" t="n">
        <v>5.1</v>
      </c>
      <c r="H532" t="n">
        <v>1</v>
      </c>
      <c r="I532" t="n">
        <v>0</v>
      </c>
      <c r="J532" t="n">
        <v>0</v>
      </c>
      <c r="K532" t="n">
        <v>0</v>
      </c>
      <c r="L532" t="n">
        <v>0</v>
      </c>
      <c r="M532" t="n">
        <v>0</v>
      </c>
      <c r="N532" t="n">
        <v>0</v>
      </c>
      <c r="O532" t="n">
        <v>0</v>
      </c>
      <c r="P532" t="n">
        <v>0</v>
      </c>
      <c r="Q532" t="n">
        <v>1</v>
      </c>
      <c r="R532" s="2" t="inlineStr">
        <is>
          <t>Tjäder</t>
        </is>
      </c>
      <c r="S532">
        <f>HYPERLINK("https://klasma.github.io/Logging_0512/artfynd/A 4248-2026 artfynd.xlsx", "A 4248-2026")</f>
        <v/>
      </c>
      <c r="T532">
        <f>HYPERLINK("https://klasma.github.io/Logging_0512/kartor/A 4248-2026 karta.png", "A 4248-2026")</f>
        <v/>
      </c>
      <c r="V532">
        <f>HYPERLINK("https://klasma.github.io/Logging_0512/klagomål/A 4248-2026 FSC-klagomål.docx", "A 4248-2026")</f>
        <v/>
      </c>
      <c r="W532">
        <f>HYPERLINK("https://klasma.github.io/Logging_0512/klagomålsmail/A 4248-2026 FSC-klagomål mail.docx", "A 4248-2026")</f>
        <v/>
      </c>
      <c r="X532">
        <f>HYPERLINK("https://klasma.github.io/Logging_0512/tillsyn/A 4248-2026 tillsynsbegäran.docx", "A 4248-2026")</f>
        <v/>
      </c>
      <c r="Y532">
        <f>HYPERLINK("https://klasma.github.io/Logging_0512/tillsynsmail/A 4248-2026 tillsynsbegäran mail.docx", "A 4248-2026")</f>
        <v/>
      </c>
      <c r="Z532">
        <f>HYPERLINK("https://klasma.github.io/Logging_0512/fåglar/A 4248-2026 prioriterade fågelarter.docx", "A 4248-2026")</f>
        <v/>
      </c>
    </row>
    <row r="533" ht="15" customHeight="1">
      <c r="A533" t="inlineStr">
        <is>
          <t>A 4820-2026</t>
        </is>
      </c>
      <c r="B533" s="1" t="n">
        <v>46048</v>
      </c>
      <c r="C533" s="1" t="n">
        <v>46093</v>
      </c>
      <c r="D533" t="inlineStr">
        <is>
          <t>ÖSTERGÖTLANDS LÄN</t>
        </is>
      </c>
      <c r="E533" t="inlineStr">
        <is>
          <t>NORRKÖPING</t>
        </is>
      </c>
      <c r="G533" t="n">
        <v>5.9</v>
      </c>
      <c r="H533" t="n">
        <v>0</v>
      </c>
      <c r="I533" t="n">
        <v>0</v>
      </c>
      <c r="J533" t="n">
        <v>1</v>
      </c>
      <c r="K533" t="n">
        <v>0</v>
      </c>
      <c r="L533" t="n">
        <v>0</v>
      </c>
      <c r="M533" t="n">
        <v>0</v>
      </c>
      <c r="N533" t="n">
        <v>0</v>
      </c>
      <c r="O533" t="n">
        <v>1</v>
      </c>
      <c r="P533" t="n">
        <v>0</v>
      </c>
      <c r="Q533" t="n">
        <v>1</v>
      </c>
      <c r="R533" s="2" t="inlineStr">
        <is>
          <t>Tallticka</t>
        </is>
      </c>
      <c r="S533">
        <f>HYPERLINK("https://klasma.github.io/Logging_0581/artfynd/A 4820-2026 artfynd.xlsx", "A 4820-2026")</f>
        <v/>
      </c>
      <c r="T533">
        <f>HYPERLINK("https://klasma.github.io/Logging_0581/kartor/A 4820-2026 karta.png", "A 4820-2026")</f>
        <v/>
      </c>
      <c r="V533">
        <f>HYPERLINK("https://klasma.github.io/Logging_0581/klagomål/A 4820-2026 FSC-klagomål.docx", "A 4820-2026")</f>
        <v/>
      </c>
      <c r="W533">
        <f>HYPERLINK("https://klasma.github.io/Logging_0581/klagomålsmail/A 4820-2026 FSC-klagomål mail.docx", "A 4820-2026")</f>
        <v/>
      </c>
      <c r="X533">
        <f>HYPERLINK("https://klasma.github.io/Logging_0581/tillsyn/A 4820-2026 tillsynsbegäran.docx", "A 4820-2026")</f>
        <v/>
      </c>
      <c r="Y533">
        <f>HYPERLINK("https://klasma.github.io/Logging_0581/tillsynsmail/A 4820-2026 tillsynsbegäran mail.docx", "A 4820-2026")</f>
        <v/>
      </c>
    </row>
    <row r="534" ht="15" customHeight="1">
      <c r="A534" t="inlineStr">
        <is>
          <t>A 27403-2025</t>
        </is>
      </c>
      <c r="B534" s="1" t="n">
        <v>45812.72518518518</v>
      </c>
      <c r="C534" s="1" t="n">
        <v>46093</v>
      </c>
      <c r="D534" t="inlineStr">
        <is>
          <t>ÖSTERGÖTLANDS LÄN</t>
        </is>
      </c>
      <c r="E534" t="inlineStr">
        <is>
          <t>LINKÖPING</t>
        </is>
      </c>
      <c r="G534" t="n">
        <v>1.4</v>
      </c>
      <c r="H534" t="n">
        <v>0</v>
      </c>
      <c r="I534" t="n">
        <v>0</v>
      </c>
      <c r="J534" t="n">
        <v>1</v>
      </c>
      <c r="K534" t="n">
        <v>0</v>
      </c>
      <c r="L534" t="n">
        <v>0</v>
      </c>
      <c r="M534" t="n">
        <v>0</v>
      </c>
      <c r="N534" t="n">
        <v>0</v>
      </c>
      <c r="O534" t="n">
        <v>1</v>
      </c>
      <c r="P534" t="n">
        <v>0</v>
      </c>
      <c r="Q534" t="n">
        <v>1</v>
      </c>
      <c r="R534" s="2" t="inlineStr">
        <is>
          <t>Tallticka</t>
        </is>
      </c>
      <c r="S534">
        <f>HYPERLINK("https://klasma.github.io/Logging_0580/artfynd/A 27403-2025 artfynd.xlsx", "A 27403-2025")</f>
        <v/>
      </c>
      <c r="T534">
        <f>HYPERLINK("https://klasma.github.io/Logging_0580/kartor/A 27403-2025 karta.png", "A 27403-2025")</f>
        <v/>
      </c>
      <c r="V534">
        <f>HYPERLINK("https://klasma.github.io/Logging_0580/klagomål/A 27403-2025 FSC-klagomål.docx", "A 27403-2025")</f>
        <v/>
      </c>
      <c r="W534">
        <f>HYPERLINK("https://klasma.github.io/Logging_0580/klagomålsmail/A 27403-2025 FSC-klagomål mail.docx", "A 27403-2025")</f>
        <v/>
      </c>
      <c r="X534">
        <f>HYPERLINK("https://klasma.github.io/Logging_0580/tillsyn/A 27403-2025 tillsynsbegäran.docx", "A 27403-2025")</f>
        <v/>
      </c>
      <c r="Y534">
        <f>HYPERLINK("https://klasma.github.io/Logging_0580/tillsynsmail/A 27403-2025 tillsynsbegäran mail.docx", "A 27403-2025")</f>
        <v/>
      </c>
    </row>
    <row r="535" ht="15" customHeight="1">
      <c r="A535" t="inlineStr">
        <is>
          <t>A 12505-2026</t>
        </is>
      </c>
      <c r="B535" s="1" t="n">
        <v>46090.57803240741</v>
      </c>
      <c r="C535" s="1" t="n">
        <v>46093</v>
      </c>
      <c r="D535" t="inlineStr">
        <is>
          <t>ÖSTERGÖTLANDS LÄN</t>
        </is>
      </c>
      <c r="E535" t="inlineStr">
        <is>
          <t>KINDA</t>
        </is>
      </c>
      <c r="G535" t="n">
        <v>3.8</v>
      </c>
      <c r="H535" t="n">
        <v>0</v>
      </c>
      <c r="I535" t="n">
        <v>0</v>
      </c>
      <c r="J535" t="n">
        <v>0</v>
      </c>
      <c r="K535" t="n">
        <v>1</v>
      </c>
      <c r="L535" t="n">
        <v>0</v>
      </c>
      <c r="M535" t="n">
        <v>0</v>
      </c>
      <c r="N535" t="n">
        <v>0</v>
      </c>
      <c r="O535" t="n">
        <v>1</v>
      </c>
      <c r="P535" t="n">
        <v>1</v>
      </c>
      <c r="Q535" t="n">
        <v>1</v>
      </c>
      <c r="R535" s="2" t="inlineStr">
        <is>
          <t>Vesslefibbla</t>
        </is>
      </c>
      <c r="S535">
        <f>HYPERLINK("https://klasma.github.io/Logging_0513/artfynd/A 12505-2026 artfynd.xlsx", "A 12505-2026")</f>
        <v/>
      </c>
      <c r="T535">
        <f>HYPERLINK("https://klasma.github.io/Logging_0513/kartor/A 12505-2026 karta.png", "A 12505-2026")</f>
        <v/>
      </c>
      <c r="V535">
        <f>HYPERLINK("https://klasma.github.io/Logging_0513/klagomål/A 12505-2026 FSC-klagomål.docx", "A 12505-2026")</f>
        <v/>
      </c>
      <c r="W535">
        <f>HYPERLINK("https://klasma.github.io/Logging_0513/klagomålsmail/A 12505-2026 FSC-klagomål mail.docx", "A 12505-2026")</f>
        <v/>
      </c>
      <c r="X535">
        <f>HYPERLINK("https://klasma.github.io/Logging_0513/tillsyn/A 12505-2026 tillsynsbegäran.docx", "A 12505-2026")</f>
        <v/>
      </c>
      <c r="Y535">
        <f>HYPERLINK("https://klasma.github.io/Logging_0513/tillsynsmail/A 12505-2026 tillsynsbegäran mail.docx", "A 12505-2026")</f>
        <v/>
      </c>
    </row>
    <row r="536" ht="15" customHeight="1">
      <c r="A536" t="inlineStr">
        <is>
          <t>A 46671-2024</t>
        </is>
      </c>
      <c r="B536" s="1" t="n">
        <v>45583</v>
      </c>
      <c r="C536" s="1" t="n">
        <v>46093</v>
      </c>
      <c r="D536" t="inlineStr">
        <is>
          <t>ÖSTERGÖTLANDS LÄN</t>
        </is>
      </c>
      <c r="E536" t="inlineStr">
        <is>
          <t>NORRKÖPING</t>
        </is>
      </c>
      <c r="F536" t="inlineStr">
        <is>
          <t>Holmen skog AB</t>
        </is>
      </c>
      <c r="G536" t="n">
        <v>1.2</v>
      </c>
      <c r="H536" t="n">
        <v>0</v>
      </c>
      <c r="I536" t="n">
        <v>1</v>
      </c>
      <c r="J536" t="n">
        <v>0</v>
      </c>
      <c r="K536" t="n">
        <v>0</v>
      </c>
      <c r="L536" t="n">
        <v>0</v>
      </c>
      <c r="M536" t="n">
        <v>0</v>
      </c>
      <c r="N536" t="n">
        <v>0</v>
      </c>
      <c r="O536" t="n">
        <v>0</v>
      </c>
      <c r="P536" t="n">
        <v>0</v>
      </c>
      <c r="Q536" t="n">
        <v>1</v>
      </c>
      <c r="R536" s="2" t="inlineStr">
        <is>
          <t>Kattfotslav</t>
        </is>
      </c>
      <c r="S536">
        <f>HYPERLINK("https://klasma.github.io/Logging_0581/artfynd/A 46671-2024 artfynd.xlsx", "A 46671-2024")</f>
        <v/>
      </c>
      <c r="T536">
        <f>HYPERLINK("https://klasma.github.io/Logging_0581/kartor/A 46671-2024 karta.png", "A 46671-2024")</f>
        <v/>
      </c>
      <c r="V536">
        <f>HYPERLINK("https://klasma.github.io/Logging_0581/klagomål/A 46671-2024 FSC-klagomål.docx", "A 46671-2024")</f>
        <v/>
      </c>
      <c r="W536">
        <f>HYPERLINK("https://klasma.github.io/Logging_0581/klagomålsmail/A 46671-2024 FSC-klagomål mail.docx", "A 46671-2024")</f>
        <v/>
      </c>
      <c r="X536">
        <f>HYPERLINK("https://klasma.github.io/Logging_0581/tillsyn/A 46671-2024 tillsynsbegäran.docx", "A 46671-2024")</f>
        <v/>
      </c>
      <c r="Y536">
        <f>HYPERLINK("https://klasma.github.io/Logging_0581/tillsynsmail/A 46671-2024 tillsynsbegäran mail.docx", "A 46671-2024")</f>
        <v/>
      </c>
    </row>
    <row r="537" ht="15" customHeight="1">
      <c r="A537" t="inlineStr">
        <is>
          <t>A 388-2025</t>
        </is>
      </c>
      <c r="B537" s="1" t="n">
        <v>45662.71215277778</v>
      </c>
      <c r="C537" s="1" t="n">
        <v>46093</v>
      </c>
      <c r="D537" t="inlineStr">
        <is>
          <t>ÖSTERGÖTLANDS LÄN</t>
        </is>
      </c>
      <c r="E537" t="inlineStr">
        <is>
          <t>ÅTVIDABERG</t>
        </is>
      </c>
      <c r="G537" t="n">
        <v>6.8</v>
      </c>
      <c r="H537" t="n">
        <v>0</v>
      </c>
      <c r="I537" t="n">
        <v>0</v>
      </c>
      <c r="J537" t="n">
        <v>1</v>
      </c>
      <c r="K537" t="n">
        <v>0</v>
      </c>
      <c r="L537" t="n">
        <v>0</v>
      </c>
      <c r="M537" t="n">
        <v>0</v>
      </c>
      <c r="N537" t="n">
        <v>0</v>
      </c>
      <c r="O537" t="n">
        <v>1</v>
      </c>
      <c r="P537" t="n">
        <v>0</v>
      </c>
      <c r="Q537" t="n">
        <v>1</v>
      </c>
      <c r="R537" s="2" t="inlineStr">
        <is>
          <t>Bergjohannesört</t>
        </is>
      </c>
      <c r="S537">
        <f>HYPERLINK("https://klasma.github.io/Logging_0561/artfynd/A 388-2025 artfynd.xlsx", "A 388-2025")</f>
        <v/>
      </c>
      <c r="T537">
        <f>HYPERLINK("https://klasma.github.io/Logging_0561/kartor/A 388-2025 karta.png", "A 388-2025")</f>
        <v/>
      </c>
      <c r="V537">
        <f>HYPERLINK("https://klasma.github.io/Logging_0561/klagomål/A 388-2025 FSC-klagomål.docx", "A 388-2025")</f>
        <v/>
      </c>
      <c r="W537">
        <f>HYPERLINK("https://klasma.github.io/Logging_0561/klagomålsmail/A 388-2025 FSC-klagomål mail.docx", "A 388-2025")</f>
        <v/>
      </c>
      <c r="X537">
        <f>HYPERLINK("https://klasma.github.io/Logging_0561/tillsyn/A 388-2025 tillsynsbegäran.docx", "A 388-2025")</f>
        <v/>
      </c>
      <c r="Y537">
        <f>HYPERLINK("https://klasma.github.io/Logging_0561/tillsynsmail/A 388-2025 tillsynsbegäran mail.docx", "A 388-2025")</f>
        <v/>
      </c>
    </row>
    <row r="538" ht="15" customHeight="1">
      <c r="A538" t="inlineStr">
        <is>
          <t>A 29393-2025</t>
        </is>
      </c>
      <c r="B538" s="1" t="n">
        <v>45824.6057175926</v>
      </c>
      <c r="C538" s="1" t="n">
        <v>46093</v>
      </c>
      <c r="D538" t="inlineStr">
        <is>
          <t>ÖSTERGÖTLANDS LÄN</t>
        </is>
      </c>
      <c r="E538" t="inlineStr">
        <is>
          <t>LINKÖPING</t>
        </is>
      </c>
      <c r="F538" t="inlineStr">
        <is>
          <t>Sveaskog</t>
        </is>
      </c>
      <c r="G538" t="n">
        <v>24.6</v>
      </c>
      <c r="H538" t="n">
        <v>1</v>
      </c>
      <c r="I538" t="n">
        <v>0</v>
      </c>
      <c r="J538" t="n">
        <v>0</v>
      </c>
      <c r="K538" t="n">
        <v>1</v>
      </c>
      <c r="L538" t="n">
        <v>0</v>
      </c>
      <c r="M538" t="n">
        <v>0</v>
      </c>
      <c r="N538" t="n">
        <v>0</v>
      </c>
      <c r="O538" t="n">
        <v>1</v>
      </c>
      <c r="P538" t="n">
        <v>1</v>
      </c>
      <c r="Q538" t="n">
        <v>1</v>
      </c>
      <c r="R538" s="2" t="inlineStr">
        <is>
          <t>Skogsgås</t>
        </is>
      </c>
      <c r="S538">
        <f>HYPERLINK("https://klasma.github.io/Logging_0580/artfynd/A 29393-2025 artfynd.xlsx", "A 29393-2025")</f>
        <v/>
      </c>
      <c r="T538">
        <f>HYPERLINK("https://klasma.github.io/Logging_0580/kartor/A 29393-2025 karta.png", "A 29393-2025")</f>
        <v/>
      </c>
      <c r="V538">
        <f>HYPERLINK("https://klasma.github.io/Logging_0580/klagomål/A 29393-2025 FSC-klagomål.docx", "A 29393-2025")</f>
        <v/>
      </c>
      <c r="W538">
        <f>HYPERLINK("https://klasma.github.io/Logging_0580/klagomålsmail/A 29393-2025 FSC-klagomål mail.docx", "A 29393-2025")</f>
        <v/>
      </c>
      <c r="X538">
        <f>HYPERLINK("https://klasma.github.io/Logging_0580/tillsyn/A 29393-2025 tillsynsbegäran.docx", "A 29393-2025")</f>
        <v/>
      </c>
      <c r="Y538">
        <f>HYPERLINK("https://klasma.github.io/Logging_0580/tillsynsmail/A 29393-2025 tillsynsbegäran mail.docx", "A 29393-2025")</f>
        <v/>
      </c>
      <c r="Z538">
        <f>HYPERLINK("https://klasma.github.io/Logging_0580/fåglar/A 29393-2025 prioriterade fågelarter.docx", "A 29393-2025")</f>
        <v/>
      </c>
    </row>
    <row r="539" ht="15" customHeight="1">
      <c r="A539" t="inlineStr">
        <is>
          <t>A 28988-2025</t>
        </is>
      </c>
      <c r="B539" s="1" t="n">
        <v>45821.36956018519</v>
      </c>
      <c r="C539" s="1" t="n">
        <v>46093</v>
      </c>
      <c r="D539" t="inlineStr">
        <is>
          <t>ÖSTERGÖTLANDS LÄN</t>
        </is>
      </c>
      <c r="E539" t="inlineStr">
        <is>
          <t>MJÖLBY</t>
        </is>
      </c>
      <c r="F539" t="inlineStr">
        <is>
          <t>Kommuner</t>
        </is>
      </c>
      <c r="G539" t="n">
        <v>4.2</v>
      </c>
      <c r="H539" t="n">
        <v>1</v>
      </c>
      <c r="I539" t="n">
        <v>1</v>
      </c>
      <c r="J539" t="n">
        <v>0</v>
      </c>
      <c r="K539" t="n">
        <v>0</v>
      </c>
      <c r="L539" t="n">
        <v>0</v>
      </c>
      <c r="M539" t="n">
        <v>0</v>
      </c>
      <c r="N539" t="n">
        <v>0</v>
      </c>
      <c r="O539" t="n">
        <v>0</v>
      </c>
      <c r="P539" t="n">
        <v>0</v>
      </c>
      <c r="Q539" t="n">
        <v>1</v>
      </c>
      <c r="R539" s="2" t="inlineStr">
        <is>
          <t>Skogsknipprot</t>
        </is>
      </c>
      <c r="S539">
        <f>HYPERLINK("https://klasma.github.io/Logging_0586/artfynd/A 28988-2025 artfynd.xlsx", "A 28988-2025")</f>
        <v/>
      </c>
      <c r="T539">
        <f>HYPERLINK("https://klasma.github.io/Logging_0586/kartor/A 28988-2025 karta.png", "A 28988-2025")</f>
        <v/>
      </c>
      <c r="V539">
        <f>HYPERLINK("https://klasma.github.io/Logging_0586/klagomål/A 28988-2025 FSC-klagomål.docx", "A 28988-2025")</f>
        <v/>
      </c>
      <c r="W539">
        <f>HYPERLINK("https://klasma.github.io/Logging_0586/klagomålsmail/A 28988-2025 FSC-klagomål mail.docx", "A 28988-2025")</f>
        <v/>
      </c>
      <c r="X539">
        <f>HYPERLINK("https://klasma.github.io/Logging_0586/tillsyn/A 28988-2025 tillsynsbegäran.docx", "A 28988-2025")</f>
        <v/>
      </c>
      <c r="Y539">
        <f>HYPERLINK("https://klasma.github.io/Logging_0586/tillsynsmail/A 28988-2025 tillsynsbegäran mail.docx", "A 28988-2025")</f>
        <v/>
      </c>
    </row>
    <row r="540" ht="15" customHeight="1">
      <c r="A540" t="inlineStr">
        <is>
          <t>A 32605-2025</t>
        </is>
      </c>
      <c r="B540" s="1" t="n">
        <v>45838.62688657407</v>
      </c>
      <c r="C540" s="1" t="n">
        <v>46093</v>
      </c>
      <c r="D540" t="inlineStr">
        <is>
          <t>ÖSTERGÖTLANDS LÄN</t>
        </is>
      </c>
      <c r="E540" t="inlineStr">
        <is>
          <t>VADSTENA</t>
        </is>
      </c>
      <c r="G540" t="n">
        <v>8.6</v>
      </c>
      <c r="H540" t="n">
        <v>0</v>
      </c>
      <c r="I540" t="n">
        <v>0</v>
      </c>
      <c r="J540" t="n">
        <v>1</v>
      </c>
      <c r="K540" t="n">
        <v>0</v>
      </c>
      <c r="L540" t="n">
        <v>0</v>
      </c>
      <c r="M540" t="n">
        <v>0</v>
      </c>
      <c r="N540" t="n">
        <v>0</v>
      </c>
      <c r="O540" t="n">
        <v>1</v>
      </c>
      <c r="P540" t="n">
        <v>0</v>
      </c>
      <c r="Q540" t="n">
        <v>1</v>
      </c>
      <c r="R540" s="2" t="inlineStr">
        <is>
          <t>Kalkkärrsgrynsnäcka</t>
        </is>
      </c>
      <c r="S540">
        <f>HYPERLINK("https://klasma.github.io/Logging_0584/artfynd/A 32605-2025 artfynd.xlsx", "A 32605-2025")</f>
        <v/>
      </c>
      <c r="T540">
        <f>HYPERLINK("https://klasma.github.io/Logging_0584/kartor/A 32605-2025 karta.png", "A 32605-2025")</f>
        <v/>
      </c>
      <c r="V540">
        <f>HYPERLINK("https://klasma.github.io/Logging_0584/klagomål/A 32605-2025 FSC-klagomål.docx", "A 32605-2025")</f>
        <v/>
      </c>
      <c r="W540">
        <f>HYPERLINK("https://klasma.github.io/Logging_0584/klagomålsmail/A 32605-2025 FSC-klagomål mail.docx", "A 32605-2025")</f>
        <v/>
      </c>
      <c r="X540">
        <f>HYPERLINK("https://klasma.github.io/Logging_0584/tillsyn/A 32605-2025 tillsynsbegäran.docx", "A 32605-2025")</f>
        <v/>
      </c>
      <c r="Y540">
        <f>HYPERLINK("https://klasma.github.io/Logging_0584/tillsynsmail/A 32605-2025 tillsynsbegäran mail.docx", "A 32605-2025")</f>
        <v/>
      </c>
    </row>
    <row r="541" ht="15" customHeight="1">
      <c r="A541" t="inlineStr">
        <is>
          <t>A 32630-2025</t>
        </is>
      </c>
      <c r="B541" s="1" t="n">
        <v>45838.65465277778</v>
      </c>
      <c r="C541" s="1" t="n">
        <v>46093</v>
      </c>
      <c r="D541" t="inlineStr">
        <is>
          <t>ÖSTERGÖTLANDS LÄN</t>
        </is>
      </c>
      <c r="E541" t="inlineStr">
        <is>
          <t>SÖDERKÖPING</t>
        </is>
      </c>
      <c r="G541" t="n">
        <v>2</v>
      </c>
      <c r="H541" t="n">
        <v>1</v>
      </c>
      <c r="I541" t="n">
        <v>0</v>
      </c>
      <c r="J541" t="n">
        <v>0</v>
      </c>
      <c r="K541" t="n">
        <v>0</v>
      </c>
      <c r="L541" t="n">
        <v>0</v>
      </c>
      <c r="M541" t="n">
        <v>0</v>
      </c>
      <c r="N541" t="n">
        <v>0</v>
      </c>
      <c r="O541" t="n">
        <v>0</v>
      </c>
      <c r="P541" t="n">
        <v>0</v>
      </c>
      <c r="Q541" t="n">
        <v>1</v>
      </c>
      <c r="R541" s="2" t="inlineStr">
        <is>
          <t>Nattviol</t>
        </is>
      </c>
      <c r="S541">
        <f>HYPERLINK("https://klasma.github.io/Logging_0582/artfynd/A 32630-2025 artfynd.xlsx", "A 32630-2025")</f>
        <v/>
      </c>
      <c r="T541">
        <f>HYPERLINK("https://klasma.github.io/Logging_0582/kartor/A 32630-2025 karta.png", "A 32630-2025")</f>
        <v/>
      </c>
      <c r="V541">
        <f>HYPERLINK("https://klasma.github.io/Logging_0582/klagomål/A 32630-2025 FSC-klagomål.docx", "A 32630-2025")</f>
        <v/>
      </c>
      <c r="W541">
        <f>HYPERLINK("https://klasma.github.io/Logging_0582/klagomålsmail/A 32630-2025 FSC-klagomål mail.docx", "A 32630-2025")</f>
        <v/>
      </c>
      <c r="X541">
        <f>HYPERLINK("https://klasma.github.io/Logging_0582/tillsyn/A 32630-2025 tillsynsbegäran.docx", "A 32630-2025")</f>
        <v/>
      </c>
      <c r="Y541">
        <f>HYPERLINK("https://klasma.github.io/Logging_0582/tillsynsmail/A 32630-2025 tillsynsbegäran mail.docx", "A 32630-2025")</f>
        <v/>
      </c>
    </row>
    <row r="542" ht="15" customHeight="1">
      <c r="A542" t="inlineStr">
        <is>
          <t>A 28567-2021</t>
        </is>
      </c>
      <c r="B542" s="1" t="n">
        <v>44356.70517361111</v>
      </c>
      <c r="C542" s="1" t="n">
        <v>46093</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46093</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46093</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49824-2022</t>
        </is>
      </c>
      <c r="B545" s="1" t="n">
        <v>44862.72539351852</v>
      </c>
      <c r="C545" s="1" t="n">
        <v>46093</v>
      </c>
      <c r="D545" t="inlineStr">
        <is>
          <t>ÖSTERGÖTLANDS LÄN</t>
        </is>
      </c>
      <c r="E545" t="inlineStr">
        <is>
          <t>SÖDERKÖPING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52197-2022</t>
        </is>
      </c>
      <c r="B546" s="1" t="n">
        <v>44873.55592592592</v>
      </c>
      <c r="C546" s="1" t="n">
        <v>46093</v>
      </c>
      <c r="D546" t="inlineStr">
        <is>
          <t>ÖSTERGÖTLANDS LÄN</t>
        </is>
      </c>
      <c r="E546" t="inlineStr">
        <is>
          <t>BOXHOLM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16258-2021</t>
        </is>
      </c>
      <c r="B547" s="1" t="n">
        <v>44292</v>
      </c>
      <c r="C547" s="1" t="n">
        <v>46093</v>
      </c>
      <c r="D547" t="inlineStr">
        <is>
          <t>ÖSTERGÖTLANDS LÄN</t>
        </is>
      </c>
      <c r="E547" t="inlineStr">
        <is>
          <t>ÅTVIDABERG</t>
        </is>
      </c>
      <c r="G547" t="n">
        <v>0.6</v>
      </c>
      <c r="H547" t="n">
        <v>0</v>
      </c>
      <c r="I547" t="n">
        <v>0</v>
      </c>
      <c r="J547" t="n">
        <v>0</v>
      </c>
      <c r="K547" t="n">
        <v>0</v>
      </c>
      <c r="L547" t="n">
        <v>0</v>
      </c>
      <c r="M547" t="n">
        <v>0</v>
      </c>
      <c r="N547" t="n">
        <v>0</v>
      </c>
      <c r="O547" t="n">
        <v>0</v>
      </c>
      <c r="P547" t="n">
        <v>0</v>
      </c>
      <c r="Q547" t="n">
        <v>0</v>
      </c>
      <c r="R547" s="2" t="inlineStr"/>
    </row>
    <row r="548" ht="15" customHeight="1">
      <c r="A548" t="inlineStr">
        <is>
          <t>A 38881-2021</t>
        </is>
      </c>
      <c r="B548" s="1" t="n">
        <v>44411.46893518518</v>
      </c>
      <c r="C548" s="1" t="n">
        <v>46093</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46093</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33868-2021</t>
        </is>
      </c>
      <c r="B550" s="1" t="n">
        <v>44378</v>
      </c>
      <c r="C550" s="1" t="n">
        <v>46093</v>
      </c>
      <c r="D550" t="inlineStr">
        <is>
          <t>ÖSTERGÖTLANDS LÄN</t>
        </is>
      </c>
      <c r="E550" t="inlineStr">
        <is>
          <t>VALDEMARSVIK</t>
        </is>
      </c>
      <c r="G550" t="n">
        <v>1.2</v>
      </c>
      <c r="H550" t="n">
        <v>0</v>
      </c>
      <c r="I550" t="n">
        <v>0</v>
      </c>
      <c r="J550" t="n">
        <v>0</v>
      </c>
      <c r="K550" t="n">
        <v>0</v>
      </c>
      <c r="L550" t="n">
        <v>0</v>
      </c>
      <c r="M550" t="n">
        <v>0</v>
      </c>
      <c r="N550" t="n">
        <v>0</v>
      </c>
      <c r="O550" t="n">
        <v>0</v>
      </c>
      <c r="P550" t="n">
        <v>0</v>
      </c>
      <c r="Q550" t="n">
        <v>0</v>
      </c>
      <c r="R550" s="2" t="inlineStr"/>
    </row>
    <row r="551" ht="15" customHeight="1">
      <c r="A551" t="inlineStr">
        <is>
          <t>A 38796-2021</t>
        </is>
      </c>
      <c r="B551" s="1" t="n">
        <v>44410</v>
      </c>
      <c r="C551" s="1" t="n">
        <v>46093</v>
      </c>
      <c r="D551" t="inlineStr">
        <is>
          <t>ÖSTERGÖTLANDS LÄN</t>
        </is>
      </c>
      <c r="E551" t="inlineStr">
        <is>
          <t>VALDEMARSVIK</t>
        </is>
      </c>
      <c r="G551" t="n">
        <v>1.3</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46093</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46093</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38474-2021</t>
        </is>
      </c>
      <c r="B554" s="1" t="n">
        <v>44406</v>
      </c>
      <c r="C554" s="1" t="n">
        <v>46093</v>
      </c>
      <c r="D554" t="inlineStr">
        <is>
          <t>ÖSTERGÖTLANDS LÄN</t>
        </is>
      </c>
      <c r="E554" t="inlineStr">
        <is>
          <t>FINSPÅNG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17901-2021</t>
        </is>
      </c>
      <c r="B555" s="1" t="n">
        <v>44301</v>
      </c>
      <c r="C555" s="1" t="n">
        <v>46093</v>
      </c>
      <c r="D555" t="inlineStr">
        <is>
          <t>ÖSTERGÖTLANDS LÄN</t>
        </is>
      </c>
      <c r="E555" t="inlineStr">
        <is>
          <t>NORRKÖPING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18765-2021</t>
        </is>
      </c>
      <c r="B556" s="1" t="n">
        <v>44307</v>
      </c>
      <c r="C556" s="1" t="n">
        <v>46093</v>
      </c>
      <c r="D556" t="inlineStr">
        <is>
          <t>ÖSTERGÖTLANDS LÄN</t>
        </is>
      </c>
      <c r="E556" t="inlineStr">
        <is>
          <t>NORRKÖPING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40046-2021</t>
        </is>
      </c>
      <c r="B557" s="1" t="n">
        <v>44418</v>
      </c>
      <c r="C557" s="1" t="n">
        <v>46093</v>
      </c>
      <c r="D557" t="inlineStr">
        <is>
          <t>ÖSTERGÖTLANDS LÄN</t>
        </is>
      </c>
      <c r="E557" t="inlineStr">
        <is>
          <t>ÅTVIDABERG</t>
        </is>
      </c>
      <c r="G557" t="n">
        <v>4</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46093</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15434-2021</t>
        </is>
      </c>
      <c r="B559" s="1" t="n">
        <v>44285</v>
      </c>
      <c r="C559" s="1" t="n">
        <v>46093</v>
      </c>
      <c r="D559" t="inlineStr">
        <is>
          <t>ÖSTERGÖTLANDS LÄN</t>
        </is>
      </c>
      <c r="E559" t="inlineStr">
        <is>
          <t>FINSPÅNG</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46093</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3066-2022</t>
        </is>
      </c>
      <c r="B561" s="1" t="n">
        <v>44582</v>
      </c>
      <c r="C561" s="1" t="n">
        <v>46093</v>
      </c>
      <c r="D561" t="inlineStr">
        <is>
          <t>ÖSTERGÖTLANDS LÄN</t>
        </is>
      </c>
      <c r="E561" t="inlineStr">
        <is>
          <t>YDRE</t>
        </is>
      </c>
      <c r="G561" t="n">
        <v>0.7</v>
      </c>
      <c r="H561" t="n">
        <v>0</v>
      </c>
      <c r="I561" t="n">
        <v>0</v>
      </c>
      <c r="J561" t="n">
        <v>0</v>
      </c>
      <c r="K561" t="n">
        <v>0</v>
      </c>
      <c r="L561" t="n">
        <v>0</v>
      </c>
      <c r="M561" t="n">
        <v>0</v>
      </c>
      <c r="N561" t="n">
        <v>0</v>
      </c>
      <c r="O561" t="n">
        <v>0</v>
      </c>
      <c r="P561" t="n">
        <v>0</v>
      </c>
      <c r="Q561" t="n">
        <v>0</v>
      </c>
      <c r="R561" s="2" t="inlineStr"/>
    </row>
    <row r="562" ht="15" customHeight="1">
      <c r="A562" t="inlineStr">
        <is>
          <t>A 3108-2022</t>
        </is>
      </c>
      <c r="B562" s="1" t="n">
        <v>44582.4696875</v>
      </c>
      <c r="C562" s="1" t="n">
        <v>46093</v>
      </c>
      <c r="D562" t="inlineStr">
        <is>
          <t>ÖSTERGÖTLANDS LÄN</t>
        </is>
      </c>
      <c r="E562" t="inlineStr">
        <is>
          <t>NORRKÖPING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44109-2021</t>
        </is>
      </c>
      <c r="B563" s="1" t="n">
        <v>44434</v>
      </c>
      <c r="C563" s="1" t="n">
        <v>46093</v>
      </c>
      <c r="D563" t="inlineStr">
        <is>
          <t>ÖSTERGÖTLANDS LÄN</t>
        </is>
      </c>
      <c r="E563" t="inlineStr">
        <is>
          <t>FINSPÅNG</t>
        </is>
      </c>
      <c r="G563" t="n">
        <v>0.7</v>
      </c>
      <c r="H563" t="n">
        <v>0</v>
      </c>
      <c r="I563" t="n">
        <v>0</v>
      </c>
      <c r="J563" t="n">
        <v>0</v>
      </c>
      <c r="K563" t="n">
        <v>0</v>
      </c>
      <c r="L563" t="n">
        <v>0</v>
      </c>
      <c r="M563" t="n">
        <v>0</v>
      </c>
      <c r="N563" t="n">
        <v>0</v>
      </c>
      <c r="O563" t="n">
        <v>0</v>
      </c>
      <c r="P563" t="n">
        <v>0</v>
      </c>
      <c r="Q563" t="n">
        <v>0</v>
      </c>
      <c r="R563" s="2" t="inlineStr"/>
    </row>
    <row r="564" ht="15" customHeight="1">
      <c r="A564" t="inlineStr">
        <is>
          <t>A 44129-2021</t>
        </is>
      </c>
      <c r="B564" s="1" t="n">
        <v>44434</v>
      </c>
      <c r="C564" s="1" t="n">
        <v>46093</v>
      </c>
      <c r="D564" t="inlineStr">
        <is>
          <t>ÖSTERGÖTLANDS LÄN</t>
        </is>
      </c>
      <c r="E564" t="inlineStr">
        <is>
          <t>ÅTVIDABERG</t>
        </is>
      </c>
      <c r="G564" t="n">
        <v>0.4</v>
      </c>
      <c r="H564" t="n">
        <v>0</v>
      </c>
      <c r="I564" t="n">
        <v>0</v>
      </c>
      <c r="J564" t="n">
        <v>0</v>
      </c>
      <c r="K564" t="n">
        <v>0</v>
      </c>
      <c r="L564" t="n">
        <v>0</v>
      </c>
      <c r="M564" t="n">
        <v>0</v>
      </c>
      <c r="N564" t="n">
        <v>0</v>
      </c>
      <c r="O564" t="n">
        <v>0</v>
      </c>
      <c r="P564" t="n">
        <v>0</v>
      </c>
      <c r="Q564" t="n">
        <v>0</v>
      </c>
      <c r="R564" s="2" t="inlineStr"/>
    </row>
    <row r="565" ht="15" customHeight="1">
      <c r="A565" t="inlineStr">
        <is>
          <t>A 3143-2022</t>
        </is>
      </c>
      <c r="B565" s="1" t="n">
        <v>44582.54748842592</v>
      </c>
      <c r="C565" s="1" t="n">
        <v>46093</v>
      </c>
      <c r="D565" t="inlineStr">
        <is>
          <t>ÖSTERGÖTLANDS LÄN</t>
        </is>
      </c>
      <c r="E565" t="inlineStr">
        <is>
          <t>ÅTVIDABERG</t>
        </is>
      </c>
      <c r="G565" t="n">
        <v>3.2</v>
      </c>
      <c r="H565" t="n">
        <v>0</v>
      </c>
      <c r="I565" t="n">
        <v>0</v>
      </c>
      <c r="J565" t="n">
        <v>0</v>
      </c>
      <c r="K565" t="n">
        <v>0</v>
      </c>
      <c r="L565" t="n">
        <v>0</v>
      </c>
      <c r="M565" t="n">
        <v>0</v>
      </c>
      <c r="N565" t="n">
        <v>0</v>
      </c>
      <c r="O565" t="n">
        <v>0</v>
      </c>
      <c r="P565" t="n">
        <v>0</v>
      </c>
      <c r="Q565" t="n">
        <v>0</v>
      </c>
      <c r="R565" s="2" t="inlineStr"/>
    </row>
    <row r="566" ht="15" customHeight="1">
      <c r="A566" t="inlineStr">
        <is>
          <t>A 53574-2021</t>
        </is>
      </c>
      <c r="B566" s="1" t="n">
        <v>44468</v>
      </c>
      <c r="C566" s="1" t="n">
        <v>46093</v>
      </c>
      <c r="D566" t="inlineStr">
        <is>
          <t>ÖSTERGÖTLANDS LÄN</t>
        </is>
      </c>
      <c r="E566" t="inlineStr">
        <is>
          <t>MOTALA</t>
        </is>
      </c>
      <c r="G566" t="n">
        <v>6.4</v>
      </c>
      <c r="H566" t="n">
        <v>0</v>
      </c>
      <c r="I566" t="n">
        <v>0</v>
      </c>
      <c r="J566" t="n">
        <v>0</v>
      </c>
      <c r="K566" t="n">
        <v>0</v>
      </c>
      <c r="L566" t="n">
        <v>0</v>
      </c>
      <c r="M566" t="n">
        <v>0</v>
      </c>
      <c r="N566" t="n">
        <v>0</v>
      </c>
      <c r="O566" t="n">
        <v>0</v>
      </c>
      <c r="P566" t="n">
        <v>0</v>
      </c>
      <c r="Q566" t="n">
        <v>0</v>
      </c>
      <c r="R566" s="2" t="inlineStr"/>
    </row>
    <row r="567" ht="15" customHeight="1">
      <c r="A567" t="inlineStr">
        <is>
          <t>A 1554-2022</t>
        </is>
      </c>
      <c r="B567" s="1" t="n">
        <v>44573</v>
      </c>
      <c r="C567" s="1" t="n">
        <v>46093</v>
      </c>
      <c r="D567" t="inlineStr">
        <is>
          <t>ÖSTERGÖTLANDS LÄN</t>
        </is>
      </c>
      <c r="E567" t="inlineStr">
        <is>
          <t>MJÖLBY</t>
        </is>
      </c>
      <c r="G567" t="n">
        <v>0.3</v>
      </c>
      <c r="H567" t="n">
        <v>0</v>
      </c>
      <c r="I567" t="n">
        <v>0</v>
      </c>
      <c r="J567" t="n">
        <v>0</v>
      </c>
      <c r="K567" t="n">
        <v>0</v>
      </c>
      <c r="L567" t="n">
        <v>0</v>
      </c>
      <c r="M567" t="n">
        <v>0</v>
      </c>
      <c r="N567" t="n">
        <v>0</v>
      </c>
      <c r="O567" t="n">
        <v>0</v>
      </c>
      <c r="P567" t="n">
        <v>0</v>
      </c>
      <c r="Q567" t="n">
        <v>0</v>
      </c>
      <c r="R567" s="2" t="inlineStr"/>
    </row>
    <row r="568" ht="15" customHeight="1">
      <c r="A568" t="inlineStr">
        <is>
          <t>A 1211-2022</t>
        </is>
      </c>
      <c r="B568" s="1" t="n">
        <v>44572.54736111111</v>
      </c>
      <c r="C568" s="1" t="n">
        <v>46093</v>
      </c>
      <c r="D568" t="inlineStr">
        <is>
          <t>ÖSTERGÖTLANDS LÄN</t>
        </is>
      </c>
      <c r="E568" t="inlineStr">
        <is>
          <t>MOTALA</t>
        </is>
      </c>
      <c r="G568" t="n">
        <v>0.8</v>
      </c>
      <c r="H568" t="n">
        <v>0</v>
      </c>
      <c r="I568" t="n">
        <v>0</v>
      </c>
      <c r="J568" t="n">
        <v>0</v>
      </c>
      <c r="K568" t="n">
        <v>0</v>
      </c>
      <c r="L568" t="n">
        <v>0</v>
      </c>
      <c r="M568" t="n">
        <v>0</v>
      </c>
      <c r="N568" t="n">
        <v>0</v>
      </c>
      <c r="O568" t="n">
        <v>0</v>
      </c>
      <c r="P568" t="n">
        <v>0</v>
      </c>
      <c r="Q568" t="n">
        <v>0</v>
      </c>
      <c r="R568" s="2" t="inlineStr"/>
    </row>
    <row r="569" ht="15" customHeight="1">
      <c r="A569" t="inlineStr">
        <is>
          <t>A 57981-2021</t>
        </is>
      </c>
      <c r="B569" s="1" t="n">
        <v>44487</v>
      </c>
      <c r="C569" s="1" t="n">
        <v>46093</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40813-2021</t>
        </is>
      </c>
      <c r="B570" s="1" t="n">
        <v>44421.37502314815</v>
      </c>
      <c r="C570" s="1" t="n">
        <v>46093</v>
      </c>
      <c r="D570" t="inlineStr">
        <is>
          <t>ÖSTERGÖTLANDS LÄN</t>
        </is>
      </c>
      <c r="E570" t="inlineStr">
        <is>
          <t>ÖDESHÖG</t>
        </is>
      </c>
      <c r="G570" t="n">
        <v>0.7</v>
      </c>
      <c r="H570" t="n">
        <v>0</v>
      </c>
      <c r="I570" t="n">
        <v>0</v>
      </c>
      <c r="J570" t="n">
        <v>0</v>
      </c>
      <c r="K570" t="n">
        <v>0</v>
      </c>
      <c r="L570" t="n">
        <v>0</v>
      </c>
      <c r="M570" t="n">
        <v>0</v>
      </c>
      <c r="N570" t="n">
        <v>0</v>
      </c>
      <c r="O570" t="n">
        <v>0</v>
      </c>
      <c r="P570" t="n">
        <v>0</v>
      </c>
      <c r="Q570" t="n">
        <v>0</v>
      </c>
      <c r="R570" s="2" t="inlineStr"/>
    </row>
    <row r="571" ht="15" customHeight="1">
      <c r="A571" t="inlineStr">
        <is>
          <t>A 66195-2021</t>
        </is>
      </c>
      <c r="B571" s="1" t="n">
        <v>44518.32188657407</v>
      </c>
      <c r="C571" s="1" t="n">
        <v>46093</v>
      </c>
      <c r="D571" t="inlineStr">
        <is>
          <t>ÖSTERGÖTLANDS LÄN</t>
        </is>
      </c>
      <c r="E571" t="inlineStr">
        <is>
          <t>MOTALA</t>
        </is>
      </c>
      <c r="G571" t="n">
        <v>4.1</v>
      </c>
      <c r="H571" t="n">
        <v>0</v>
      </c>
      <c r="I571" t="n">
        <v>0</v>
      </c>
      <c r="J571" t="n">
        <v>0</v>
      </c>
      <c r="K571" t="n">
        <v>0</v>
      </c>
      <c r="L571" t="n">
        <v>0</v>
      </c>
      <c r="M571" t="n">
        <v>0</v>
      </c>
      <c r="N571" t="n">
        <v>0</v>
      </c>
      <c r="O571" t="n">
        <v>0</v>
      </c>
      <c r="P571" t="n">
        <v>0</v>
      </c>
      <c r="Q571" t="n">
        <v>0</v>
      </c>
      <c r="R571" s="2" t="inlineStr"/>
    </row>
    <row r="572" ht="15" customHeight="1">
      <c r="A572" t="inlineStr">
        <is>
          <t>A 63384-2021</t>
        </is>
      </c>
      <c r="B572" s="1" t="n">
        <v>44508.52543981482</v>
      </c>
      <c r="C572" s="1" t="n">
        <v>46093</v>
      </c>
      <c r="D572" t="inlineStr">
        <is>
          <t>ÖSTERGÖTLANDS LÄN</t>
        </is>
      </c>
      <c r="E572" t="inlineStr">
        <is>
          <t>YDRE</t>
        </is>
      </c>
      <c r="G572" t="n">
        <v>0.6</v>
      </c>
      <c r="H572" t="n">
        <v>0</v>
      </c>
      <c r="I572" t="n">
        <v>0</v>
      </c>
      <c r="J572" t="n">
        <v>0</v>
      </c>
      <c r="K572" t="n">
        <v>0</v>
      </c>
      <c r="L572" t="n">
        <v>0</v>
      </c>
      <c r="M572" t="n">
        <v>0</v>
      </c>
      <c r="N572" t="n">
        <v>0</v>
      </c>
      <c r="O572" t="n">
        <v>0</v>
      </c>
      <c r="P572" t="n">
        <v>0</v>
      </c>
      <c r="Q572" t="n">
        <v>0</v>
      </c>
      <c r="R572" s="2" t="inlineStr"/>
    </row>
    <row r="573" ht="15" customHeight="1">
      <c r="A573" t="inlineStr">
        <is>
          <t>A 34858-2021</t>
        </is>
      </c>
      <c r="B573" s="1" t="n">
        <v>44383.42700231481</v>
      </c>
      <c r="C573" s="1" t="n">
        <v>46093</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12655-2022</t>
        </is>
      </c>
      <c r="B574" s="1" t="n">
        <v>44641</v>
      </c>
      <c r="C574" s="1" t="n">
        <v>46093</v>
      </c>
      <c r="D574" t="inlineStr">
        <is>
          <t>ÖSTERGÖTLANDS LÄN</t>
        </is>
      </c>
      <c r="E574" t="inlineStr">
        <is>
          <t>ÅTVIDABERG</t>
        </is>
      </c>
      <c r="G574" t="n">
        <v>1.6</v>
      </c>
      <c r="H574" t="n">
        <v>0</v>
      </c>
      <c r="I574" t="n">
        <v>0</v>
      </c>
      <c r="J574" t="n">
        <v>0</v>
      </c>
      <c r="K574" t="n">
        <v>0</v>
      </c>
      <c r="L574" t="n">
        <v>0</v>
      </c>
      <c r="M574" t="n">
        <v>0</v>
      </c>
      <c r="N574" t="n">
        <v>0</v>
      </c>
      <c r="O574" t="n">
        <v>0</v>
      </c>
      <c r="P574" t="n">
        <v>0</v>
      </c>
      <c r="Q574" t="n">
        <v>0</v>
      </c>
      <c r="R574" s="2" t="inlineStr"/>
    </row>
    <row r="575" ht="15" customHeight="1">
      <c r="A575" t="inlineStr">
        <is>
          <t>A 52207-2021</t>
        </is>
      </c>
      <c r="B575" s="1" t="n">
        <v>44463</v>
      </c>
      <c r="C575" s="1" t="n">
        <v>46093</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70407-2021</t>
        </is>
      </c>
      <c r="B576" s="1" t="n">
        <v>44536</v>
      </c>
      <c r="C576" s="1" t="n">
        <v>46093</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16868-2022</t>
        </is>
      </c>
      <c r="B577" s="1" t="n">
        <v>44675</v>
      </c>
      <c r="C577" s="1" t="n">
        <v>46093</v>
      </c>
      <c r="D577" t="inlineStr">
        <is>
          <t>ÖSTERGÖTLANDS LÄN</t>
        </is>
      </c>
      <c r="E577" t="inlineStr">
        <is>
          <t>FINSPÅNG</t>
        </is>
      </c>
      <c r="G577" t="n">
        <v>0.8</v>
      </c>
      <c r="H577" t="n">
        <v>0</v>
      </c>
      <c r="I577" t="n">
        <v>0</v>
      </c>
      <c r="J577" t="n">
        <v>0</v>
      </c>
      <c r="K577" t="n">
        <v>0</v>
      </c>
      <c r="L577" t="n">
        <v>0</v>
      </c>
      <c r="M577" t="n">
        <v>0</v>
      </c>
      <c r="N577" t="n">
        <v>0</v>
      </c>
      <c r="O577" t="n">
        <v>0</v>
      </c>
      <c r="P577" t="n">
        <v>0</v>
      </c>
      <c r="Q577" t="n">
        <v>0</v>
      </c>
      <c r="R577" s="2" t="inlineStr"/>
    </row>
    <row r="578" ht="15" customHeight="1">
      <c r="A578" t="inlineStr">
        <is>
          <t>A 16901-2022</t>
        </is>
      </c>
      <c r="B578" s="1" t="n">
        <v>44676</v>
      </c>
      <c r="C578" s="1" t="n">
        <v>46093</v>
      </c>
      <c r="D578" t="inlineStr">
        <is>
          <t>ÖSTERGÖTLANDS LÄN</t>
        </is>
      </c>
      <c r="E578" t="inlineStr">
        <is>
          <t>FINSPÅNG</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71791-2021</t>
        </is>
      </c>
      <c r="B579" s="1" t="n">
        <v>44539</v>
      </c>
      <c r="C579" s="1" t="n">
        <v>46093</v>
      </c>
      <c r="D579" t="inlineStr">
        <is>
          <t>ÖSTERGÖTLANDS LÄN</t>
        </is>
      </c>
      <c r="E579" t="inlineStr">
        <is>
          <t>ÅTVIDABERG</t>
        </is>
      </c>
      <c r="G579" t="n">
        <v>2.3</v>
      </c>
      <c r="H579" t="n">
        <v>0</v>
      </c>
      <c r="I579" t="n">
        <v>0</v>
      </c>
      <c r="J579" t="n">
        <v>0</v>
      </c>
      <c r="K579" t="n">
        <v>0</v>
      </c>
      <c r="L579" t="n">
        <v>0</v>
      </c>
      <c r="M579" t="n">
        <v>0</v>
      </c>
      <c r="N579" t="n">
        <v>0</v>
      </c>
      <c r="O579" t="n">
        <v>0</v>
      </c>
      <c r="P579" t="n">
        <v>0</v>
      </c>
      <c r="Q579" t="n">
        <v>0</v>
      </c>
      <c r="R579" s="2" t="inlineStr"/>
    </row>
    <row r="580" ht="15" customHeight="1">
      <c r="A580" t="inlineStr">
        <is>
          <t>A 49877-2022</t>
        </is>
      </c>
      <c r="B580" s="1" t="n">
        <v>44864</v>
      </c>
      <c r="C580" s="1" t="n">
        <v>46093</v>
      </c>
      <c r="D580" t="inlineStr">
        <is>
          <t>ÖSTERGÖTLANDS LÄN</t>
        </is>
      </c>
      <c r="E580" t="inlineStr">
        <is>
          <t>FINSPÅNG</t>
        </is>
      </c>
      <c r="G580" t="n">
        <v>0.6</v>
      </c>
      <c r="H580" t="n">
        <v>0</v>
      </c>
      <c r="I580" t="n">
        <v>0</v>
      </c>
      <c r="J580" t="n">
        <v>0</v>
      </c>
      <c r="K580" t="n">
        <v>0</v>
      </c>
      <c r="L580" t="n">
        <v>0</v>
      </c>
      <c r="M580" t="n">
        <v>0</v>
      </c>
      <c r="N580" t="n">
        <v>0</v>
      </c>
      <c r="O580" t="n">
        <v>0</v>
      </c>
      <c r="P580" t="n">
        <v>0</v>
      </c>
      <c r="Q580" t="n">
        <v>0</v>
      </c>
      <c r="R580" s="2" t="inlineStr"/>
    </row>
    <row r="581" ht="15" customHeight="1">
      <c r="A581" t="inlineStr">
        <is>
          <t>A 6410-2022</t>
        </is>
      </c>
      <c r="B581" s="1" t="n">
        <v>44600.72219907407</v>
      </c>
      <c r="C581" s="1" t="n">
        <v>46093</v>
      </c>
      <c r="D581" t="inlineStr">
        <is>
          <t>ÖSTERGÖTLANDS LÄN</t>
        </is>
      </c>
      <c r="E581" t="inlineStr">
        <is>
          <t>FINSPÅNG</t>
        </is>
      </c>
      <c r="G581" t="n">
        <v>1.1</v>
      </c>
      <c r="H581" t="n">
        <v>0</v>
      </c>
      <c r="I581" t="n">
        <v>0</v>
      </c>
      <c r="J581" t="n">
        <v>0</v>
      </c>
      <c r="K581" t="n">
        <v>0</v>
      </c>
      <c r="L581" t="n">
        <v>0</v>
      </c>
      <c r="M581" t="n">
        <v>0</v>
      </c>
      <c r="N581" t="n">
        <v>0</v>
      </c>
      <c r="O581" t="n">
        <v>0</v>
      </c>
      <c r="P581" t="n">
        <v>0</v>
      </c>
      <c r="Q581" t="n">
        <v>0</v>
      </c>
      <c r="R581" s="2" t="inlineStr"/>
    </row>
    <row r="582" ht="15" customHeight="1">
      <c r="A582" t="inlineStr">
        <is>
          <t>A 63202-2021</t>
        </is>
      </c>
      <c r="B582" s="1" t="n">
        <v>44507</v>
      </c>
      <c r="C582" s="1" t="n">
        <v>46093</v>
      </c>
      <c r="D582" t="inlineStr">
        <is>
          <t>ÖSTERGÖTLANDS LÄN</t>
        </is>
      </c>
      <c r="E582" t="inlineStr">
        <is>
          <t>BOXHOLM</t>
        </is>
      </c>
      <c r="G582" t="n">
        <v>1.6</v>
      </c>
      <c r="H582" t="n">
        <v>0</v>
      </c>
      <c r="I582" t="n">
        <v>0</v>
      </c>
      <c r="J582" t="n">
        <v>0</v>
      </c>
      <c r="K582" t="n">
        <v>0</v>
      </c>
      <c r="L582" t="n">
        <v>0</v>
      </c>
      <c r="M582" t="n">
        <v>0</v>
      </c>
      <c r="N582" t="n">
        <v>0</v>
      </c>
      <c r="O582" t="n">
        <v>0</v>
      </c>
      <c r="P582" t="n">
        <v>0</v>
      </c>
      <c r="Q582" t="n">
        <v>0</v>
      </c>
      <c r="R582" s="2" t="inlineStr"/>
    </row>
    <row r="583" ht="15" customHeight="1">
      <c r="A583" t="inlineStr">
        <is>
          <t>A 55182-2022</t>
        </is>
      </c>
      <c r="B583" s="1" t="n">
        <v>44886.84512731482</v>
      </c>
      <c r="C583" s="1" t="n">
        <v>46093</v>
      </c>
      <c r="D583" t="inlineStr">
        <is>
          <t>ÖSTERGÖTLANDS LÄN</t>
        </is>
      </c>
      <c r="E583" t="inlineStr">
        <is>
          <t>BOXHOLM</t>
        </is>
      </c>
      <c r="G583" t="n">
        <v>0.4</v>
      </c>
      <c r="H583" t="n">
        <v>0</v>
      </c>
      <c r="I583" t="n">
        <v>0</v>
      </c>
      <c r="J583" t="n">
        <v>0</v>
      </c>
      <c r="K583" t="n">
        <v>0</v>
      </c>
      <c r="L583" t="n">
        <v>0</v>
      </c>
      <c r="M583" t="n">
        <v>0</v>
      </c>
      <c r="N583" t="n">
        <v>0</v>
      </c>
      <c r="O583" t="n">
        <v>0</v>
      </c>
      <c r="P583" t="n">
        <v>0</v>
      </c>
      <c r="Q583" t="n">
        <v>0</v>
      </c>
      <c r="R583" s="2" t="inlineStr"/>
    </row>
    <row r="584" ht="15" customHeight="1">
      <c r="A584" t="inlineStr">
        <is>
          <t>A 41364-2022</t>
        </is>
      </c>
      <c r="B584" s="1" t="n">
        <v>44826</v>
      </c>
      <c r="C584" s="1" t="n">
        <v>46093</v>
      </c>
      <c r="D584" t="inlineStr">
        <is>
          <t>ÖSTERGÖTLANDS LÄN</t>
        </is>
      </c>
      <c r="E584" t="inlineStr">
        <is>
          <t>ÅTVIDABERG</t>
        </is>
      </c>
      <c r="G584" t="n">
        <v>1.3</v>
      </c>
      <c r="H584" t="n">
        <v>0</v>
      </c>
      <c r="I584" t="n">
        <v>0</v>
      </c>
      <c r="J584" t="n">
        <v>0</v>
      </c>
      <c r="K584" t="n">
        <v>0</v>
      </c>
      <c r="L584" t="n">
        <v>0</v>
      </c>
      <c r="M584" t="n">
        <v>0</v>
      </c>
      <c r="N584" t="n">
        <v>0</v>
      </c>
      <c r="O584" t="n">
        <v>0</v>
      </c>
      <c r="P584" t="n">
        <v>0</v>
      </c>
      <c r="Q584" t="n">
        <v>0</v>
      </c>
      <c r="R584" s="2" t="inlineStr"/>
    </row>
    <row r="585" ht="15" customHeight="1">
      <c r="A585" t="inlineStr">
        <is>
          <t>A 44898-2022</t>
        </is>
      </c>
      <c r="B585" s="1" t="n">
        <v>44841</v>
      </c>
      <c r="C585" s="1" t="n">
        <v>46093</v>
      </c>
      <c r="D585" t="inlineStr">
        <is>
          <t>ÖSTERGÖTLANDS LÄN</t>
        </is>
      </c>
      <c r="E585" t="inlineStr">
        <is>
          <t>BOXHOLM</t>
        </is>
      </c>
      <c r="G585" t="n">
        <v>0.8</v>
      </c>
      <c r="H585" t="n">
        <v>0</v>
      </c>
      <c r="I585" t="n">
        <v>0</v>
      </c>
      <c r="J585" t="n">
        <v>0</v>
      </c>
      <c r="K585" t="n">
        <v>0</v>
      </c>
      <c r="L585" t="n">
        <v>0</v>
      </c>
      <c r="M585" t="n">
        <v>0</v>
      </c>
      <c r="N585" t="n">
        <v>0</v>
      </c>
      <c r="O585" t="n">
        <v>0</v>
      </c>
      <c r="P585" t="n">
        <v>0</v>
      </c>
      <c r="Q585" t="n">
        <v>0</v>
      </c>
      <c r="R585" s="2" t="inlineStr"/>
    </row>
    <row r="586" ht="15" customHeight="1">
      <c r="A586" t="inlineStr">
        <is>
          <t>A 40822-2022</t>
        </is>
      </c>
      <c r="B586" s="1" t="n">
        <v>44824.88344907408</v>
      </c>
      <c r="C586" s="1" t="n">
        <v>46093</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29556-2021</t>
        </is>
      </c>
      <c r="B587" s="1" t="n">
        <v>44361.87231481481</v>
      </c>
      <c r="C587" s="1" t="n">
        <v>46093</v>
      </c>
      <c r="D587" t="inlineStr">
        <is>
          <t>ÖSTERGÖTLANDS LÄN</t>
        </is>
      </c>
      <c r="E587" t="inlineStr">
        <is>
          <t>KINDA</t>
        </is>
      </c>
      <c r="G587" t="n">
        <v>4</v>
      </c>
      <c r="H587" t="n">
        <v>0</v>
      </c>
      <c r="I587" t="n">
        <v>0</v>
      </c>
      <c r="J587" t="n">
        <v>0</v>
      </c>
      <c r="K587" t="n">
        <v>0</v>
      </c>
      <c r="L587" t="n">
        <v>0</v>
      </c>
      <c r="M587" t="n">
        <v>0</v>
      </c>
      <c r="N587" t="n">
        <v>0</v>
      </c>
      <c r="O587" t="n">
        <v>0</v>
      </c>
      <c r="P587" t="n">
        <v>0</v>
      </c>
      <c r="Q587" t="n">
        <v>0</v>
      </c>
      <c r="R587" s="2" t="inlineStr"/>
    </row>
    <row r="588" ht="15" customHeight="1">
      <c r="A588" t="inlineStr">
        <is>
          <t>A 40309-2021</t>
        </is>
      </c>
      <c r="B588" s="1" t="n">
        <v>44419</v>
      </c>
      <c r="C588" s="1" t="n">
        <v>46093</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8718-2022</t>
        </is>
      </c>
      <c r="B589" s="1" t="n">
        <v>44613.79927083333</v>
      </c>
      <c r="C589" s="1" t="n">
        <v>46093</v>
      </c>
      <c r="D589" t="inlineStr">
        <is>
          <t>ÖSTERGÖTLANDS LÄN</t>
        </is>
      </c>
      <c r="E589" t="inlineStr">
        <is>
          <t>VALDEMARSVIK</t>
        </is>
      </c>
      <c r="G589" t="n">
        <v>0.9</v>
      </c>
      <c r="H589" t="n">
        <v>0</v>
      </c>
      <c r="I589" t="n">
        <v>0</v>
      </c>
      <c r="J589" t="n">
        <v>0</v>
      </c>
      <c r="K589" t="n">
        <v>0</v>
      </c>
      <c r="L589" t="n">
        <v>0</v>
      </c>
      <c r="M589" t="n">
        <v>0</v>
      </c>
      <c r="N589" t="n">
        <v>0</v>
      </c>
      <c r="O589" t="n">
        <v>0</v>
      </c>
      <c r="P589" t="n">
        <v>0</v>
      </c>
      <c r="Q589" t="n">
        <v>0</v>
      </c>
      <c r="R589" s="2" t="inlineStr"/>
    </row>
    <row r="590" ht="15" customHeight="1">
      <c r="A590" t="inlineStr">
        <is>
          <t>A 19610-2022</t>
        </is>
      </c>
      <c r="B590" s="1" t="n">
        <v>44693</v>
      </c>
      <c r="C590" s="1" t="n">
        <v>46093</v>
      </c>
      <c r="D590" t="inlineStr">
        <is>
          <t>ÖSTERGÖTLANDS LÄN</t>
        </is>
      </c>
      <c r="E590" t="inlineStr">
        <is>
          <t>YDRE</t>
        </is>
      </c>
      <c r="G590" t="n">
        <v>2.4</v>
      </c>
      <c r="H590" t="n">
        <v>0</v>
      </c>
      <c r="I590" t="n">
        <v>0</v>
      </c>
      <c r="J590" t="n">
        <v>0</v>
      </c>
      <c r="K590" t="n">
        <v>0</v>
      </c>
      <c r="L590" t="n">
        <v>0</v>
      </c>
      <c r="M590" t="n">
        <v>0</v>
      </c>
      <c r="N590" t="n">
        <v>0</v>
      </c>
      <c r="O590" t="n">
        <v>0</v>
      </c>
      <c r="P590" t="n">
        <v>0</v>
      </c>
      <c r="Q590" t="n">
        <v>0</v>
      </c>
      <c r="R590" s="2" t="inlineStr"/>
    </row>
    <row r="591" ht="15" customHeight="1">
      <c r="A591" t="inlineStr">
        <is>
          <t>A 44859-2021</t>
        </is>
      </c>
      <c r="B591" s="1" t="n">
        <v>44438</v>
      </c>
      <c r="C591" s="1" t="n">
        <v>46093</v>
      </c>
      <c r="D591" t="inlineStr">
        <is>
          <t>ÖSTERGÖTLANDS LÄN</t>
        </is>
      </c>
      <c r="E591" t="inlineStr">
        <is>
          <t>YDRE</t>
        </is>
      </c>
      <c r="G591" t="n">
        <v>2.7</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46093</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37578-2022</t>
        </is>
      </c>
      <c r="B593" s="1" t="n">
        <v>44809</v>
      </c>
      <c r="C593" s="1" t="n">
        <v>46093</v>
      </c>
      <c r="D593" t="inlineStr">
        <is>
          <t>ÖSTERGÖTLANDS LÄN</t>
        </is>
      </c>
      <c r="E593" t="inlineStr">
        <is>
          <t>BOXHOLM</t>
        </is>
      </c>
      <c r="G593" t="n">
        <v>2.4</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46093</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46093</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16753-2022</t>
        </is>
      </c>
      <c r="B596" s="1" t="n">
        <v>44673.46701388889</v>
      </c>
      <c r="C596" s="1" t="n">
        <v>46093</v>
      </c>
      <c r="D596" t="inlineStr">
        <is>
          <t>ÖSTERGÖTLANDS LÄN</t>
        </is>
      </c>
      <c r="E596" t="inlineStr">
        <is>
          <t>BOXHOLM</t>
        </is>
      </c>
      <c r="G596" t="n">
        <v>0.5</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46093</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46093</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35714-2022</t>
        </is>
      </c>
      <c r="B599" s="1" t="n">
        <v>44799.66334490741</v>
      </c>
      <c r="C599" s="1" t="n">
        <v>46093</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41531-2022</t>
        </is>
      </c>
      <c r="B600" s="1" t="n">
        <v>44827</v>
      </c>
      <c r="C600" s="1" t="n">
        <v>46093</v>
      </c>
      <c r="D600" t="inlineStr">
        <is>
          <t>ÖSTERGÖTLANDS LÄN</t>
        </is>
      </c>
      <c r="E600" t="inlineStr">
        <is>
          <t>YDRE</t>
        </is>
      </c>
      <c r="F600" t="inlineStr">
        <is>
          <t>Sveaskog</t>
        </is>
      </c>
      <c r="G600" t="n">
        <v>4.2</v>
      </c>
      <c r="H600" t="n">
        <v>0</v>
      </c>
      <c r="I600" t="n">
        <v>0</v>
      </c>
      <c r="J600" t="n">
        <v>0</v>
      </c>
      <c r="K600" t="n">
        <v>0</v>
      </c>
      <c r="L600" t="n">
        <v>0</v>
      </c>
      <c r="M600" t="n">
        <v>0</v>
      </c>
      <c r="N600" t="n">
        <v>0</v>
      </c>
      <c r="O600" t="n">
        <v>0</v>
      </c>
      <c r="P600" t="n">
        <v>0</v>
      </c>
      <c r="Q600" t="n">
        <v>0</v>
      </c>
      <c r="R600" s="2" t="inlineStr"/>
    </row>
    <row r="601" ht="15" customHeight="1">
      <c r="A601" t="inlineStr">
        <is>
          <t>A 34776-2022</t>
        </is>
      </c>
      <c r="B601" s="1" t="n">
        <v>44795</v>
      </c>
      <c r="C601" s="1" t="n">
        <v>46093</v>
      </c>
      <c r="D601" t="inlineStr">
        <is>
          <t>ÖSTERGÖTLANDS LÄN</t>
        </is>
      </c>
      <c r="E601" t="inlineStr">
        <is>
          <t>FINSPÅNG</t>
        </is>
      </c>
      <c r="G601" t="n">
        <v>1.8</v>
      </c>
      <c r="H601" t="n">
        <v>0</v>
      </c>
      <c r="I601" t="n">
        <v>0</v>
      </c>
      <c r="J601" t="n">
        <v>0</v>
      </c>
      <c r="K601" t="n">
        <v>0</v>
      </c>
      <c r="L601" t="n">
        <v>0</v>
      </c>
      <c r="M601" t="n">
        <v>0</v>
      </c>
      <c r="N601" t="n">
        <v>0</v>
      </c>
      <c r="O601" t="n">
        <v>0</v>
      </c>
      <c r="P601" t="n">
        <v>0</v>
      </c>
      <c r="Q601" t="n">
        <v>0</v>
      </c>
      <c r="R601" s="2" t="inlineStr"/>
    </row>
    <row r="602" ht="15" customHeight="1">
      <c r="A602" t="inlineStr">
        <is>
          <t>A 10001-2022</t>
        </is>
      </c>
      <c r="B602" s="1" t="n">
        <v>44621</v>
      </c>
      <c r="C602" s="1" t="n">
        <v>46093</v>
      </c>
      <c r="D602" t="inlineStr">
        <is>
          <t>ÖSTERGÖTLANDS LÄN</t>
        </is>
      </c>
      <c r="E602" t="inlineStr">
        <is>
          <t>YDRE</t>
        </is>
      </c>
      <c r="G602" t="n">
        <v>6.5</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46093</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20935-2021</t>
        </is>
      </c>
      <c r="B604" s="1" t="n">
        <v>44319.48951388889</v>
      </c>
      <c r="C604" s="1" t="n">
        <v>46093</v>
      </c>
      <c r="D604" t="inlineStr">
        <is>
          <t>ÖSTERGÖTLANDS LÄN</t>
        </is>
      </c>
      <c r="E604" t="inlineStr">
        <is>
          <t>MJÖLBY</t>
        </is>
      </c>
      <c r="F604" t="inlineStr">
        <is>
          <t>Kommuner</t>
        </is>
      </c>
      <c r="G604" t="n">
        <v>3.5</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46093</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39776-2021</t>
        </is>
      </c>
      <c r="B606" s="1" t="n">
        <v>44417</v>
      </c>
      <c r="C606" s="1" t="n">
        <v>46093</v>
      </c>
      <c r="D606" t="inlineStr">
        <is>
          <t>ÖSTERGÖTLANDS LÄN</t>
        </is>
      </c>
      <c r="E606" t="inlineStr">
        <is>
          <t>ÅTVIDABERG</t>
        </is>
      </c>
      <c r="G606" t="n">
        <v>6.2</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46093</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46093</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46093</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56239-2021</t>
        </is>
      </c>
      <c r="B610" s="1" t="n">
        <v>44478</v>
      </c>
      <c r="C610" s="1" t="n">
        <v>46093</v>
      </c>
      <c r="D610" t="inlineStr">
        <is>
          <t>ÖSTERGÖTLANDS LÄN</t>
        </is>
      </c>
      <c r="E610" t="inlineStr">
        <is>
          <t>LINKÖPING</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44665-2021</t>
        </is>
      </c>
      <c r="B611" s="1" t="n">
        <v>44438</v>
      </c>
      <c r="C611" s="1" t="n">
        <v>46093</v>
      </c>
      <c r="D611" t="inlineStr">
        <is>
          <t>ÖSTERGÖTLANDS LÄN</t>
        </is>
      </c>
      <c r="E611" t="inlineStr">
        <is>
          <t>FINSPÅNG</t>
        </is>
      </c>
      <c r="G611" t="n">
        <v>0.5</v>
      </c>
      <c r="H611" t="n">
        <v>0</v>
      </c>
      <c r="I611" t="n">
        <v>0</v>
      </c>
      <c r="J611" t="n">
        <v>0</v>
      </c>
      <c r="K611" t="n">
        <v>0</v>
      </c>
      <c r="L611" t="n">
        <v>0</v>
      </c>
      <c r="M611" t="n">
        <v>0</v>
      </c>
      <c r="N611" t="n">
        <v>0</v>
      </c>
      <c r="O611" t="n">
        <v>0</v>
      </c>
      <c r="P611" t="n">
        <v>0</v>
      </c>
      <c r="Q611" t="n">
        <v>0</v>
      </c>
      <c r="R611" s="2" t="inlineStr"/>
    </row>
    <row r="612" ht="15" customHeight="1">
      <c r="A612" t="inlineStr">
        <is>
          <t>A 55761-2021</t>
        </is>
      </c>
      <c r="B612" s="1" t="n">
        <v>44476</v>
      </c>
      <c r="C612" s="1" t="n">
        <v>46093</v>
      </c>
      <c r="D612" t="inlineStr">
        <is>
          <t>ÖSTERGÖTLANDS LÄN</t>
        </is>
      </c>
      <c r="E612" t="inlineStr">
        <is>
          <t>YDRE</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46093</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46093</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46093</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46093</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46093</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3967-2022</t>
        </is>
      </c>
      <c r="B618" s="1" t="n">
        <v>44586</v>
      </c>
      <c r="C618" s="1" t="n">
        <v>46093</v>
      </c>
      <c r="D618" t="inlineStr">
        <is>
          <t>ÖSTERGÖTLANDS LÄN</t>
        </is>
      </c>
      <c r="E618" t="inlineStr">
        <is>
          <t>MOTALA</t>
        </is>
      </c>
      <c r="G618" t="n">
        <v>5.4</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46093</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72716-2021</t>
        </is>
      </c>
      <c r="B620" s="1" t="n">
        <v>44546</v>
      </c>
      <c r="C620" s="1" t="n">
        <v>46093</v>
      </c>
      <c r="D620" t="inlineStr">
        <is>
          <t>ÖSTERGÖTLANDS LÄN</t>
        </is>
      </c>
      <c r="E620" t="inlineStr">
        <is>
          <t>ÅTVIDABERG</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46093</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46093</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46093</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46093</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62406-2021</t>
        </is>
      </c>
      <c r="B625" s="1" t="n">
        <v>44502</v>
      </c>
      <c r="C625" s="1" t="n">
        <v>46093</v>
      </c>
      <c r="D625" t="inlineStr">
        <is>
          <t>ÖSTERGÖTLANDS LÄN</t>
        </is>
      </c>
      <c r="E625" t="inlineStr">
        <is>
          <t>NORRKÖPING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38508-2021</t>
        </is>
      </c>
      <c r="B626" s="1" t="n">
        <v>44407</v>
      </c>
      <c r="C626" s="1" t="n">
        <v>46093</v>
      </c>
      <c r="D626" t="inlineStr">
        <is>
          <t>ÖSTERGÖTLANDS LÄN</t>
        </is>
      </c>
      <c r="E626" t="inlineStr">
        <is>
          <t>SÖDERKÖPING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46093</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46093</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46093</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46093</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46093</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46093</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46093</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46093</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46093</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46093</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46093</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47632-2022</t>
        </is>
      </c>
      <c r="B638" s="1" t="n">
        <v>44852</v>
      </c>
      <c r="C638" s="1" t="n">
        <v>46093</v>
      </c>
      <c r="D638" t="inlineStr">
        <is>
          <t>ÖSTERGÖTLANDS LÄN</t>
        </is>
      </c>
      <c r="E638" t="inlineStr">
        <is>
          <t>VALDEMARSVIK</t>
        </is>
      </c>
      <c r="G638" t="n">
        <v>4.8</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46093</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46093</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46093</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46093</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46093</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46093</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46093</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46093</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46093</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46093</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46093</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46093</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46093</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46093</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46093</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46093</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46093</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46093</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46093</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46093</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46093</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46093</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46093</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40776-2022</t>
        </is>
      </c>
      <c r="B662" s="1" t="n">
        <v>44824</v>
      </c>
      <c r="C662" s="1" t="n">
        <v>46093</v>
      </c>
      <c r="D662" t="inlineStr">
        <is>
          <t>ÖSTERGÖTLANDS LÄN</t>
        </is>
      </c>
      <c r="E662" t="inlineStr">
        <is>
          <t>MOTALA</t>
        </is>
      </c>
      <c r="G662" t="n">
        <v>1</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46093</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46093</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46093</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46093</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46093</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46093</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46093</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29718-2021</t>
        </is>
      </c>
      <c r="B670" s="1" t="n">
        <v>44362</v>
      </c>
      <c r="C670" s="1" t="n">
        <v>46093</v>
      </c>
      <c r="D670" t="inlineStr">
        <is>
          <t>ÖSTERGÖTLANDS LÄN</t>
        </is>
      </c>
      <c r="E670" t="inlineStr">
        <is>
          <t>FINSPÅNG</t>
        </is>
      </c>
      <c r="F670" t="inlineStr">
        <is>
          <t>Holmen skog AB</t>
        </is>
      </c>
      <c r="G670" t="n">
        <v>0.8</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46093</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46093</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53082-2021</t>
        </is>
      </c>
      <c r="B673" s="1" t="n">
        <v>44467</v>
      </c>
      <c r="C673" s="1" t="n">
        <v>46093</v>
      </c>
      <c r="D673" t="inlineStr">
        <is>
          <t>ÖSTERGÖTLANDS LÄN</t>
        </is>
      </c>
      <c r="E673" t="inlineStr">
        <is>
          <t>ÅTVIDABERG</t>
        </is>
      </c>
      <c r="G673" t="n">
        <v>1</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46093</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46093</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46093</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46093</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22378-2021</t>
        </is>
      </c>
      <c r="B678" s="1" t="n">
        <v>44322</v>
      </c>
      <c r="C678" s="1" t="n">
        <v>46093</v>
      </c>
      <c r="D678" t="inlineStr">
        <is>
          <t>ÖSTERGÖTLANDS LÄN</t>
        </is>
      </c>
      <c r="E678" t="inlineStr">
        <is>
          <t>KINDA</t>
        </is>
      </c>
      <c r="G678" t="n">
        <v>5.7</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46093</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46093</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46093</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46093</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40642-2021</t>
        </is>
      </c>
      <c r="B683" s="1" t="n">
        <v>44420</v>
      </c>
      <c r="C683" s="1" t="n">
        <v>46093</v>
      </c>
      <c r="D683" t="inlineStr">
        <is>
          <t>ÖSTERGÖTLANDS LÄN</t>
        </is>
      </c>
      <c r="E683" t="inlineStr">
        <is>
          <t>SÖDERKÖPING</t>
        </is>
      </c>
      <c r="G683" t="n">
        <v>0.4</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46093</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46093</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46093</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49018-2022</t>
        </is>
      </c>
      <c r="B687" s="1" t="n">
        <v>44855</v>
      </c>
      <c r="C687" s="1" t="n">
        <v>46093</v>
      </c>
      <c r="D687" t="inlineStr">
        <is>
          <t>ÖSTERGÖTLANDS LÄN</t>
        </is>
      </c>
      <c r="E687" t="inlineStr">
        <is>
          <t>LINKÖPING</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46093</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46093</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46093</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46093</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46093</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46093</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52451-2022</t>
        </is>
      </c>
      <c r="B694" s="1" t="n">
        <v>44874.46519675926</v>
      </c>
      <c r="C694" s="1" t="n">
        <v>46093</v>
      </c>
      <c r="D694" t="inlineStr">
        <is>
          <t>ÖSTERGÖTLANDS LÄN</t>
        </is>
      </c>
      <c r="E694" t="inlineStr">
        <is>
          <t>SÖDERKÖPING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49600-2021</t>
        </is>
      </c>
      <c r="B695" s="1" t="n">
        <v>44455.4068287037</v>
      </c>
      <c r="C695" s="1" t="n">
        <v>46093</v>
      </c>
      <c r="D695" t="inlineStr">
        <is>
          <t>ÖSTERGÖTLANDS LÄN</t>
        </is>
      </c>
      <c r="E695" t="inlineStr">
        <is>
          <t>FINSPÅNG</t>
        </is>
      </c>
      <c r="G695" t="n">
        <v>0.3</v>
      </c>
      <c r="H695" t="n">
        <v>0</v>
      </c>
      <c r="I695" t="n">
        <v>0</v>
      </c>
      <c r="J695" t="n">
        <v>0</v>
      </c>
      <c r="K695" t="n">
        <v>0</v>
      </c>
      <c r="L695" t="n">
        <v>0</v>
      </c>
      <c r="M695" t="n">
        <v>0</v>
      </c>
      <c r="N695" t="n">
        <v>0</v>
      </c>
      <c r="O695" t="n">
        <v>0</v>
      </c>
      <c r="P695" t="n">
        <v>0</v>
      </c>
      <c r="Q695" t="n">
        <v>0</v>
      </c>
      <c r="R695" s="2" t="inlineStr"/>
    </row>
    <row r="696" ht="15" customHeight="1">
      <c r="A696" t="inlineStr">
        <is>
          <t>A 49612-2021</t>
        </is>
      </c>
      <c r="B696" s="1" t="n">
        <v>44455</v>
      </c>
      <c r="C696" s="1" t="n">
        <v>46093</v>
      </c>
      <c r="D696" t="inlineStr">
        <is>
          <t>ÖSTERGÖTLANDS LÄN</t>
        </is>
      </c>
      <c r="E696" t="inlineStr">
        <is>
          <t>FINSPÅNG</t>
        </is>
      </c>
      <c r="G696" t="n">
        <v>2.4</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46093</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46093</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46093</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46093</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67372-2021</t>
        </is>
      </c>
      <c r="B701" s="1" t="n">
        <v>44523.87792824074</v>
      </c>
      <c r="C701" s="1" t="n">
        <v>46093</v>
      </c>
      <c r="D701" t="inlineStr">
        <is>
          <t>ÖSTERGÖTLANDS LÄN</t>
        </is>
      </c>
      <c r="E701" t="inlineStr">
        <is>
          <t>BOXHOLM</t>
        </is>
      </c>
      <c r="G701" t="n">
        <v>1.3</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46093</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46093</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46093</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1722-2022</t>
        </is>
      </c>
      <c r="B705" s="1" t="n">
        <v>44574</v>
      </c>
      <c r="C705" s="1" t="n">
        <v>46093</v>
      </c>
      <c r="D705" t="inlineStr">
        <is>
          <t>ÖSTERGÖTLANDS LÄN</t>
        </is>
      </c>
      <c r="E705" t="inlineStr">
        <is>
          <t>FINSPÅNG</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46093</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46093</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46093</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46093</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46093</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50455-2022</t>
        </is>
      </c>
      <c r="B711" s="1" t="n">
        <v>44866</v>
      </c>
      <c r="C711" s="1" t="n">
        <v>46093</v>
      </c>
      <c r="D711" t="inlineStr">
        <is>
          <t>ÖSTERGÖTLANDS LÄN</t>
        </is>
      </c>
      <c r="E711" t="inlineStr">
        <is>
          <t>BOXHOLM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46093</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46093</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46093</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46093</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46093</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46093</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46093</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46093</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46093</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46093</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46093</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46093</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56725-2021</t>
        </is>
      </c>
      <c r="B724" s="1" t="n">
        <v>44481</v>
      </c>
      <c r="C724" s="1" t="n">
        <v>46093</v>
      </c>
      <c r="D724" t="inlineStr">
        <is>
          <t>ÖSTERGÖTLANDS LÄN</t>
        </is>
      </c>
      <c r="E724" t="inlineStr">
        <is>
          <t>KINDA</t>
        </is>
      </c>
      <c r="G724" t="n">
        <v>1.5</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46093</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46093</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46093</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46093</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46093</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46093</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46093</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46093</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67767-2021</t>
        </is>
      </c>
      <c r="B733" s="1" t="n">
        <v>44525</v>
      </c>
      <c r="C733" s="1" t="n">
        <v>46093</v>
      </c>
      <c r="D733" t="inlineStr">
        <is>
          <t>ÖSTERGÖTLANDS LÄN</t>
        </is>
      </c>
      <c r="E733" t="inlineStr">
        <is>
          <t>FINSPÅNG</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46093</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46093</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46093</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46093</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46093</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46093</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46093</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46093</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46093</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51881-2021</t>
        </is>
      </c>
      <c r="B743" s="1" t="n">
        <v>44462</v>
      </c>
      <c r="C743" s="1" t="n">
        <v>46093</v>
      </c>
      <c r="D743" t="inlineStr">
        <is>
          <t>ÖSTERGÖTLANDS LÄN</t>
        </is>
      </c>
      <c r="E743" t="inlineStr">
        <is>
          <t>ÅTVIDABERG</t>
        </is>
      </c>
      <c r="G743" t="n">
        <v>3.6</v>
      </c>
      <c r="H743" t="n">
        <v>0</v>
      </c>
      <c r="I743" t="n">
        <v>0</v>
      </c>
      <c r="J743" t="n">
        <v>0</v>
      </c>
      <c r="K743" t="n">
        <v>0</v>
      </c>
      <c r="L743" t="n">
        <v>0</v>
      </c>
      <c r="M743" t="n">
        <v>0</v>
      </c>
      <c r="N743" t="n">
        <v>0</v>
      </c>
      <c r="O743" t="n">
        <v>0</v>
      </c>
      <c r="P743" t="n">
        <v>0</v>
      </c>
      <c r="Q743" t="n">
        <v>0</v>
      </c>
      <c r="R743" s="2" t="inlineStr"/>
    </row>
    <row r="744" ht="15" customHeight="1">
      <c r="A744" t="inlineStr">
        <is>
          <t>A 52773-2021</t>
        </is>
      </c>
      <c r="B744" s="1" t="n">
        <v>44467</v>
      </c>
      <c r="C744" s="1" t="n">
        <v>46093</v>
      </c>
      <c r="D744" t="inlineStr">
        <is>
          <t>ÖSTERGÖTLANDS LÄN</t>
        </is>
      </c>
      <c r="E744" t="inlineStr">
        <is>
          <t>ÅTVIDABERG</t>
        </is>
      </c>
      <c r="G744" t="n">
        <v>0.8</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46093</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46093</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46093</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46093</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46093</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32000-2021</t>
        </is>
      </c>
      <c r="B750" s="1" t="n">
        <v>44370</v>
      </c>
      <c r="C750" s="1" t="n">
        <v>46093</v>
      </c>
      <c r="D750" t="inlineStr">
        <is>
          <t>ÖSTERGÖTLANDS LÄN</t>
        </is>
      </c>
      <c r="E750" t="inlineStr">
        <is>
          <t>NORRKÖPING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14312-2021</t>
        </is>
      </c>
      <c r="B751" s="1" t="n">
        <v>44278.7549537037</v>
      </c>
      <c r="C751" s="1" t="n">
        <v>46093</v>
      </c>
      <c r="D751" t="inlineStr">
        <is>
          <t>ÖSTERGÖTLANDS LÄN</t>
        </is>
      </c>
      <c r="E751" t="inlineStr">
        <is>
          <t>VALDEMARSVIK</t>
        </is>
      </c>
      <c r="G751" t="n">
        <v>0.6</v>
      </c>
      <c r="H751" t="n">
        <v>0</v>
      </c>
      <c r="I751" t="n">
        <v>0</v>
      </c>
      <c r="J751" t="n">
        <v>0</v>
      </c>
      <c r="K751" t="n">
        <v>0</v>
      </c>
      <c r="L751" t="n">
        <v>0</v>
      </c>
      <c r="M751" t="n">
        <v>0</v>
      </c>
      <c r="N751" t="n">
        <v>0</v>
      </c>
      <c r="O751" t="n">
        <v>0</v>
      </c>
      <c r="P751" t="n">
        <v>0</v>
      </c>
      <c r="Q751" t="n">
        <v>0</v>
      </c>
      <c r="R751" s="2" t="inlineStr"/>
    </row>
    <row r="752" ht="15" customHeight="1">
      <c r="A752" t="inlineStr">
        <is>
          <t>A 50212-2022</t>
        </is>
      </c>
      <c r="B752" s="1" t="n">
        <v>44865</v>
      </c>
      <c r="C752" s="1" t="n">
        <v>46093</v>
      </c>
      <c r="D752" t="inlineStr">
        <is>
          <t>ÖSTERGÖTLANDS LÄN</t>
        </is>
      </c>
      <c r="E752" t="inlineStr">
        <is>
          <t>NORRKÖPING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46093</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46093</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46093</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24350-2022</t>
        </is>
      </c>
      <c r="B756" s="1" t="n">
        <v>44726</v>
      </c>
      <c r="C756" s="1" t="n">
        <v>46093</v>
      </c>
      <c r="D756" t="inlineStr">
        <is>
          <t>ÖSTERGÖTLANDS LÄN</t>
        </is>
      </c>
      <c r="E756" t="inlineStr">
        <is>
          <t>VALDEMARSVIK</t>
        </is>
      </c>
      <c r="G756" t="n">
        <v>0.8</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46093</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46093</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46093</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46093</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38948-2021</t>
        </is>
      </c>
      <c r="B761" s="1" t="n">
        <v>44411</v>
      </c>
      <c r="C761" s="1" t="n">
        <v>46093</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52675-2022</t>
        </is>
      </c>
      <c r="B762" s="1" t="n">
        <v>44874</v>
      </c>
      <c r="C762" s="1" t="n">
        <v>46093</v>
      </c>
      <c r="D762" t="inlineStr">
        <is>
          <t>ÖSTERGÖTLANDS LÄN</t>
        </is>
      </c>
      <c r="E762" t="inlineStr">
        <is>
          <t>FINSPÅNG</t>
        </is>
      </c>
      <c r="G762" t="n">
        <v>5.6</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46093</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15420-2021</t>
        </is>
      </c>
      <c r="B764" s="1" t="n">
        <v>44284</v>
      </c>
      <c r="C764" s="1" t="n">
        <v>46093</v>
      </c>
      <c r="D764" t="inlineStr">
        <is>
          <t>ÖSTERGÖTLANDS LÄN</t>
        </is>
      </c>
      <c r="E764" t="inlineStr">
        <is>
          <t>KINDA</t>
        </is>
      </c>
      <c r="G764" t="n">
        <v>4.1</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46093</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46093</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46093</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46093</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46093</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22767-2021</t>
        </is>
      </c>
      <c r="B770" s="1" t="n">
        <v>44327</v>
      </c>
      <c r="C770" s="1" t="n">
        <v>46093</v>
      </c>
      <c r="D770" t="inlineStr">
        <is>
          <t>ÖSTERGÖTLANDS LÄN</t>
        </is>
      </c>
      <c r="E770" t="inlineStr">
        <is>
          <t>MOTALA</t>
        </is>
      </c>
      <c r="G770" t="n">
        <v>2.9</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46093</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46093</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46093</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46093</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46093</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46093</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46093</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46093</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46093</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46093</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46093</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46093</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46093</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46093</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46093</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46093</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46093</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46093</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46093</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46093</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19837-2022</t>
        </is>
      </c>
      <c r="B791" s="1" t="n">
        <v>44696.775</v>
      </c>
      <c r="C791" s="1" t="n">
        <v>46093</v>
      </c>
      <c r="D791" t="inlineStr">
        <is>
          <t>ÖSTERGÖTLANDS LÄN</t>
        </is>
      </c>
      <c r="E791" t="inlineStr">
        <is>
          <t>NORRKÖPING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46093</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46093</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36281-2021</t>
        </is>
      </c>
      <c r="B794" s="1" t="n">
        <v>44390</v>
      </c>
      <c r="C794" s="1" t="n">
        <v>46093</v>
      </c>
      <c r="D794" t="inlineStr">
        <is>
          <t>ÖSTERGÖTLANDS LÄN</t>
        </is>
      </c>
      <c r="E794" t="inlineStr">
        <is>
          <t>NORRKÖPING</t>
        </is>
      </c>
      <c r="G794" t="n">
        <v>3.8</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46093</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46093</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46093</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46093</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46093</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46093</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46093</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43508-2021</t>
        </is>
      </c>
      <c r="B802" s="1" t="n">
        <v>44433</v>
      </c>
      <c r="C802" s="1" t="n">
        <v>46093</v>
      </c>
      <c r="D802" t="inlineStr">
        <is>
          <t>ÖSTERGÖTLANDS LÄN</t>
        </is>
      </c>
      <c r="E802" t="inlineStr">
        <is>
          <t>KINDA</t>
        </is>
      </c>
      <c r="G802" t="n">
        <v>1.6</v>
      </c>
      <c r="H802" t="n">
        <v>0</v>
      </c>
      <c r="I802" t="n">
        <v>0</v>
      </c>
      <c r="J802" t="n">
        <v>0</v>
      </c>
      <c r="K802" t="n">
        <v>0</v>
      </c>
      <c r="L802" t="n">
        <v>0</v>
      </c>
      <c r="M802" t="n">
        <v>0</v>
      </c>
      <c r="N802" t="n">
        <v>0</v>
      </c>
      <c r="O802" t="n">
        <v>0</v>
      </c>
      <c r="P802" t="n">
        <v>0</v>
      </c>
      <c r="Q802" t="n">
        <v>0</v>
      </c>
      <c r="R802" s="2" t="inlineStr"/>
    </row>
    <row r="803" ht="15" customHeight="1">
      <c r="A803" t="inlineStr">
        <is>
          <t>A 49831-2021</t>
        </is>
      </c>
      <c r="B803" s="1" t="n">
        <v>44455</v>
      </c>
      <c r="C803" s="1" t="n">
        <v>46093</v>
      </c>
      <c r="D803" t="inlineStr">
        <is>
          <t>ÖSTERGÖTLANDS LÄN</t>
        </is>
      </c>
      <c r="E803" t="inlineStr">
        <is>
          <t>FINSPÅNG</t>
        </is>
      </c>
      <c r="G803" t="n">
        <v>1.8</v>
      </c>
      <c r="H803" t="n">
        <v>0</v>
      </c>
      <c r="I803" t="n">
        <v>0</v>
      </c>
      <c r="J803" t="n">
        <v>0</v>
      </c>
      <c r="K803" t="n">
        <v>0</v>
      </c>
      <c r="L803" t="n">
        <v>0</v>
      </c>
      <c r="M803" t="n">
        <v>0</v>
      </c>
      <c r="N803" t="n">
        <v>0</v>
      </c>
      <c r="O803" t="n">
        <v>0</v>
      </c>
      <c r="P803" t="n">
        <v>0</v>
      </c>
      <c r="Q803" t="n">
        <v>0</v>
      </c>
      <c r="R803" s="2" t="inlineStr"/>
    </row>
    <row r="804" ht="15" customHeight="1">
      <c r="A804" t="inlineStr">
        <is>
          <t>A 42698-2022</t>
        </is>
      </c>
      <c r="B804" s="1" t="n">
        <v>44832.36969907407</v>
      </c>
      <c r="C804" s="1" t="n">
        <v>46093</v>
      </c>
      <c r="D804" t="inlineStr">
        <is>
          <t>ÖSTERGÖTLANDS LÄN</t>
        </is>
      </c>
      <c r="E804" t="inlineStr">
        <is>
          <t>BOXHOLM</t>
        </is>
      </c>
      <c r="F804" t="inlineStr">
        <is>
          <t>Övriga Aktiebolag</t>
        </is>
      </c>
      <c r="G804" t="n">
        <v>0.5</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46093</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46093</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31703-2022</t>
        </is>
      </c>
      <c r="B807" s="1" t="n">
        <v>44776</v>
      </c>
      <c r="C807" s="1" t="n">
        <v>46093</v>
      </c>
      <c r="D807" t="inlineStr">
        <is>
          <t>ÖSTERGÖTLANDS LÄN</t>
        </is>
      </c>
      <c r="E807" t="inlineStr">
        <is>
          <t>LINKÖPING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44054-2021</t>
        </is>
      </c>
      <c r="B808" s="1" t="n">
        <v>44434</v>
      </c>
      <c r="C808" s="1" t="n">
        <v>46093</v>
      </c>
      <c r="D808" t="inlineStr">
        <is>
          <t>ÖSTERGÖTLANDS LÄN</t>
        </is>
      </c>
      <c r="E808" t="inlineStr">
        <is>
          <t>LINKÖPING</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46093</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46093</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51808-2021</t>
        </is>
      </c>
      <c r="B811" s="1" t="n">
        <v>44462</v>
      </c>
      <c r="C811" s="1" t="n">
        <v>46093</v>
      </c>
      <c r="D811" t="inlineStr">
        <is>
          <t>ÖSTERGÖTLANDS LÄN</t>
        </is>
      </c>
      <c r="E811" t="inlineStr">
        <is>
          <t>FINSPÅNG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65715-2021</t>
        </is>
      </c>
      <c r="B812" s="1" t="n">
        <v>44516.65936342593</v>
      </c>
      <c r="C812" s="1" t="n">
        <v>46093</v>
      </c>
      <c r="D812" t="inlineStr">
        <is>
          <t>ÖSTERGÖTLANDS LÄN</t>
        </is>
      </c>
      <c r="E812" t="inlineStr">
        <is>
          <t>KINDA</t>
        </is>
      </c>
      <c r="G812" t="n">
        <v>1.4</v>
      </c>
      <c r="H812" t="n">
        <v>0</v>
      </c>
      <c r="I812" t="n">
        <v>0</v>
      </c>
      <c r="J812" t="n">
        <v>0</v>
      </c>
      <c r="K812" t="n">
        <v>0</v>
      </c>
      <c r="L812" t="n">
        <v>0</v>
      </c>
      <c r="M812" t="n">
        <v>0</v>
      </c>
      <c r="N812" t="n">
        <v>0</v>
      </c>
      <c r="O812" t="n">
        <v>0</v>
      </c>
      <c r="P812" t="n">
        <v>0</v>
      </c>
      <c r="Q812" t="n">
        <v>0</v>
      </c>
      <c r="R812" s="2" t="inlineStr"/>
    </row>
    <row r="813" ht="15" customHeight="1">
      <c r="A813" t="inlineStr">
        <is>
          <t>A 53146-2021</t>
        </is>
      </c>
      <c r="B813" s="1" t="n">
        <v>44466</v>
      </c>
      <c r="C813" s="1" t="n">
        <v>46093</v>
      </c>
      <c r="D813" t="inlineStr">
        <is>
          <t>ÖSTERGÖTLANDS LÄN</t>
        </is>
      </c>
      <c r="E813" t="inlineStr">
        <is>
          <t>LINKÖPING</t>
        </is>
      </c>
      <c r="G813" t="n">
        <v>1.2</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46093</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46093</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35653-2022</t>
        </is>
      </c>
      <c r="B816" s="1" t="n">
        <v>44799.57587962963</v>
      </c>
      <c r="C816" s="1" t="n">
        <v>46093</v>
      </c>
      <c r="D816" t="inlineStr">
        <is>
          <t>ÖSTERGÖTLANDS LÄN</t>
        </is>
      </c>
      <c r="E816" t="inlineStr">
        <is>
          <t>KINDA</t>
        </is>
      </c>
      <c r="G816" t="n">
        <v>0.6</v>
      </c>
      <c r="H816" t="n">
        <v>0</v>
      </c>
      <c r="I816" t="n">
        <v>0</v>
      </c>
      <c r="J816" t="n">
        <v>0</v>
      </c>
      <c r="K816" t="n">
        <v>0</v>
      </c>
      <c r="L816" t="n">
        <v>0</v>
      </c>
      <c r="M816" t="n">
        <v>0</v>
      </c>
      <c r="N816" t="n">
        <v>0</v>
      </c>
      <c r="O816" t="n">
        <v>0</v>
      </c>
      <c r="P816" t="n">
        <v>0</v>
      </c>
      <c r="Q816" t="n">
        <v>0</v>
      </c>
      <c r="R816" s="2" t="inlineStr"/>
    </row>
    <row r="817" ht="15" customHeight="1">
      <c r="A817" t="inlineStr">
        <is>
          <t>A 34996-2022</t>
        </is>
      </c>
      <c r="B817" s="1" t="n">
        <v>44796</v>
      </c>
      <c r="C817" s="1" t="n">
        <v>46093</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32472-2022</t>
        </is>
      </c>
      <c r="B818" s="1" t="n">
        <v>44782.5928587963</v>
      </c>
      <c r="C818" s="1" t="n">
        <v>46093</v>
      </c>
      <c r="D818" t="inlineStr">
        <is>
          <t>ÖSTERGÖTLANDS LÄN</t>
        </is>
      </c>
      <c r="E818" t="inlineStr">
        <is>
          <t>FINSPÅNG</t>
        </is>
      </c>
      <c r="G818" t="n">
        <v>1.9</v>
      </c>
      <c r="H818" t="n">
        <v>0</v>
      </c>
      <c r="I818" t="n">
        <v>0</v>
      </c>
      <c r="J818" t="n">
        <v>0</v>
      </c>
      <c r="K818" t="n">
        <v>0</v>
      </c>
      <c r="L818" t="n">
        <v>0</v>
      </c>
      <c r="M818" t="n">
        <v>0</v>
      </c>
      <c r="N818" t="n">
        <v>0</v>
      </c>
      <c r="O818" t="n">
        <v>0</v>
      </c>
      <c r="P818" t="n">
        <v>0</v>
      </c>
      <c r="Q818" t="n">
        <v>0</v>
      </c>
      <c r="R818" s="2" t="inlineStr"/>
    </row>
    <row r="819" ht="15" customHeight="1">
      <c r="A819" t="inlineStr">
        <is>
          <t>A 43832-2022</t>
        </is>
      </c>
      <c r="B819" s="1" t="n">
        <v>44837</v>
      </c>
      <c r="C819" s="1" t="n">
        <v>46093</v>
      </c>
      <c r="D819" t="inlineStr">
        <is>
          <t>ÖSTERGÖTLANDS LÄN</t>
        </is>
      </c>
      <c r="E819" t="inlineStr">
        <is>
          <t>MOTALA</t>
        </is>
      </c>
      <c r="G819" t="n">
        <v>3.7</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46093</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46093</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32497-2022</t>
        </is>
      </c>
      <c r="B822" s="1" t="n">
        <v>44782</v>
      </c>
      <c r="C822" s="1" t="n">
        <v>46093</v>
      </c>
      <c r="D822" t="inlineStr">
        <is>
          <t>ÖSTERGÖTLANDS LÄN</t>
        </is>
      </c>
      <c r="E822" t="inlineStr">
        <is>
          <t>KINDA</t>
        </is>
      </c>
      <c r="G822" t="n">
        <v>1.5</v>
      </c>
      <c r="H822" t="n">
        <v>0</v>
      </c>
      <c r="I822" t="n">
        <v>0</v>
      </c>
      <c r="J822" t="n">
        <v>0</v>
      </c>
      <c r="K822" t="n">
        <v>0</v>
      </c>
      <c r="L822" t="n">
        <v>0</v>
      </c>
      <c r="M822" t="n">
        <v>0</v>
      </c>
      <c r="N822" t="n">
        <v>0</v>
      </c>
      <c r="O822" t="n">
        <v>0</v>
      </c>
      <c r="P822" t="n">
        <v>0</v>
      </c>
      <c r="Q822" t="n">
        <v>0</v>
      </c>
      <c r="R822" s="2" t="inlineStr"/>
    </row>
    <row r="823" ht="15" customHeight="1">
      <c r="A823" t="inlineStr">
        <is>
          <t>A 47257-2021</t>
        </is>
      </c>
      <c r="B823" s="1" t="n">
        <v>44447</v>
      </c>
      <c r="C823" s="1" t="n">
        <v>46093</v>
      </c>
      <c r="D823" t="inlineStr">
        <is>
          <t>ÖSTERGÖTLANDS LÄN</t>
        </is>
      </c>
      <c r="E823" t="inlineStr">
        <is>
          <t>NORRKÖPING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3567-2022</t>
        </is>
      </c>
      <c r="B824" s="1" t="n">
        <v>44586</v>
      </c>
      <c r="C824" s="1" t="n">
        <v>46093</v>
      </c>
      <c r="D824" t="inlineStr">
        <is>
          <t>ÖSTERGÖTLANDS LÄN</t>
        </is>
      </c>
      <c r="E824" t="inlineStr">
        <is>
          <t>ÅTVIDABERG</t>
        </is>
      </c>
      <c r="G824" t="n">
        <v>0.8</v>
      </c>
      <c r="H824" t="n">
        <v>0</v>
      </c>
      <c r="I824" t="n">
        <v>0</v>
      </c>
      <c r="J824" t="n">
        <v>0</v>
      </c>
      <c r="K824" t="n">
        <v>0</v>
      </c>
      <c r="L824" t="n">
        <v>0</v>
      </c>
      <c r="M824" t="n">
        <v>0</v>
      </c>
      <c r="N824" t="n">
        <v>0</v>
      </c>
      <c r="O824" t="n">
        <v>0</v>
      </c>
      <c r="P824" t="n">
        <v>0</v>
      </c>
      <c r="Q824" t="n">
        <v>0</v>
      </c>
      <c r="R824" s="2" t="inlineStr"/>
    </row>
    <row r="825" ht="15" customHeight="1">
      <c r="A825" t="inlineStr">
        <is>
          <t>A 20287-2021</t>
        </is>
      </c>
      <c r="B825" s="1" t="n">
        <v>44314</v>
      </c>
      <c r="C825" s="1" t="n">
        <v>46093</v>
      </c>
      <c r="D825" t="inlineStr">
        <is>
          <t>ÖSTERGÖTLANDS LÄN</t>
        </is>
      </c>
      <c r="E825" t="inlineStr">
        <is>
          <t>FINSPÅNG</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62548-2021</t>
        </is>
      </c>
      <c r="B826" s="1" t="n">
        <v>44503</v>
      </c>
      <c r="C826" s="1" t="n">
        <v>46093</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46093</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23569-2021</t>
        </is>
      </c>
      <c r="B828" s="1" t="n">
        <v>44333</v>
      </c>
      <c r="C828" s="1" t="n">
        <v>46093</v>
      </c>
      <c r="D828" t="inlineStr">
        <is>
          <t>ÖSTERGÖTLANDS LÄN</t>
        </is>
      </c>
      <c r="E828" t="inlineStr">
        <is>
          <t>NORRKÖPING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23603-2021</t>
        </is>
      </c>
      <c r="B829" s="1" t="n">
        <v>44334</v>
      </c>
      <c r="C829" s="1" t="n">
        <v>46093</v>
      </c>
      <c r="D829" t="inlineStr">
        <is>
          <t>ÖSTERGÖTLANDS LÄN</t>
        </is>
      </c>
      <c r="E829" t="inlineStr">
        <is>
          <t>MOTALA</t>
        </is>
      </c>
      <c r="G829" t="n">
        <v>2.3</v>
      </c>
      <c r="H829" t="n">
        <v>0</v>
      </c>
      <c r="I829" t="n">
        <v>0</v>
      </c>
      <c r="J829" t="n">
        <v>0</v>
      </c>
      <c r="K829" t="n">
        <v>0</v>
      </c>
      <c r="L829" t="n">
        <v>0</v>
      </c>
      <c r="M829" t="n">
        <v>0</v>
      </c>
      <c r="N829" t="n">
        <v>0</v>
      </c>
      <c r="O829" t="n">
        <v>0</v>
      </c>
      <c r="P829" t="n">
        <v>0</v>
      </c>
      <c r="Q829" t="n">
        <v>0</v>
      </c>
      <c r="R829" s="2" t="inlineStr"/>
    </row>
    <row r="830" ht="15" customHeight="1">
      <c r="A830" t="inlineStr">
        <is>
          <t>A 25171-2022</t>
        </is>
      </c>
      <c r="B830" s="1" t="n">
        <v>44729.58247685185</v>
      </c>
      <c r="C830" s="1" t="n">
        <v>46093</v>
      </c>
      <c r="D830" t="inlineStr">
        <is>
          <t>ÖSTERGÖTLANDS LÄN</t>
        </is>
      </c>
      <c r="E830" t="inlineStr">
        <is>
          <t>ÅTVIDABERG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51034-2021</t>
        </is>
      </c>
      <c r="B831" s="1" t="n">
        <v>44460.97055555556</v>
      </c>
      <c r="C831" s="1" t="n">
        <v>46093</v>
      </c>
      <c r="D831" t="inlineStr">
        <is>
          <t>ÖSTERGÖTLANDS LÄN</t>
        </is>
      </c>
      <c r="E831" t="inlineStr">
        <is>
          <t>FINSPÅNG</t>
        </is>
      </c>
      <c r="G831" t="n">
        <v>1.9</v>
      </c>
      <c r="H831" t="n">
        <v>0</v>
      </c>
      <c r="I831" t="n">
        <v>0</v>
      </c>
      <c r="J831" t="n">
        <v>0</v>
      </c>
      <c r="K831" t="n">
        <v>0</v>
      </c>
      <c r="L831" t="n">
        <v>0</v>
      </c>
      <c r="M831" t="n">
        <v>0</v>
      </c>
      <c r="N831" t="n">
        <v>0</v>
      </c>
      <c r="O831" t="n">
        <v>0</v>
      </c>
      <c r="P831" t="n">
        <v>0</v>
      </c>
      <c r="Q831" t="n">
        <v>0</v>
      </c>
      <c r="R831" s="2" t="inlineStr"/>
    </row>
    <row r="832" ht="15" customHeight="1">
      <c r="A832" t="inlineStr">
        <is>
          <t>A 4666-2022</t>
        </is>
      </c>
      <c r="B832" s="1" t="n">
        <v>44592</v>
      </c>
      <c r="C832" s="1" t="n">
        <v>46093</v>
      </c>
      <c r="D832" t="inlineStr">
        <is>
          <t>ÖSTERGÖTLANDS LÄN</t>
        </is>
      </c>
      <c r="E832" t="inlineStr">
        <is>
          <t>SÖDERKÖPING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24766-2021</t>
        </is>
      </c>
      <c r="B833" s="1" t="n">
        <v>44340</v>
      </c>
      <c r="C833" s="1" t="n">
        <v>46093</v>
      </c>
      <c r="D833" t="inlineStr">
        <is>
          <t>ÖSTERGÖTLANDS LÄN</t>
        </is>
      </c>
      <c r="E833" t="inlineStr">
        <is>
          <t>NORRKÖPING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16417-2022</t>
        </is>
      </c>
      <c r="B834" s="1" t="n">
        <v>44671</v>
      </c>
      <c r="C834" s="1" t="n">
        <v>46093</v>
      </c>
      <c r="D834" t="inlineStr">
        <is>
          <t>ÖSTERGÖTLANDS LÄN</t>
        </is>
      </c>
      <c r="E834" t="inlineStr">
        <is>
          <t>NORRKÖPING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22463-2022</t>
        </is>
      </c>
      <c r="B835" s="1" t="n">
        <v>44713</v>
      </c>
      <c r="C835" s="1" t="n">
        <v>46093</v>
      </c>
      <c r="D835" t="inlineStr">
        <is>
          <t>ÖSTERGÖTLANDS LÄN</t>
        </is>
      </c>
      <c r="E835" t="inlineStr">
        <is>
          <t>NORRKÖPING</t>
        </is>
      </c>
      <c r="G835" t="n">
        <v>0.9</v>
      </c>
      <c r="H835" t="n">
        <v>0</v>
      </c>
      <c r="I835" t="n">
        <v>0</v>
      </c>
      <c r="J835" t="n">
        <v>0</v>
      </c>
      <c r="K835" t="n">
        <v>0</v>
      </c>
      <c r="L835" t="n">
        <v>0</v>
      </c>
      <c r="M835" t="n">
        <v>0</v>
      </c>
      <c r="N835" t="n">
        <v>0</v>
      </c>
      <c r="O835" t="n">
        <v>0</v>
      </c>
      <c r="P835" t="n">
        <v>0</v>
      </c>
      <c r="Q835" t="n">
        <v>0</v>
      </c>
      <c r="R835" s="2" t="inlineStr"/>
    </row>
    <row r="836" ht="15" customHeight="1">
      <c r="A836" t="inlineStr">
        <is>
          <t>A 41787-2021</t>
        </is>
      </c>
      <c r="B836" s="1" t="n">
        <v>44425.66618055556</v>
      </c>
      <c r="C836" s="1" t="n">
        <v>46093</v>
      </c>
      <c r="D836" t="inlineStr">
        <is>
          <t>ÖSTERGÖTLANDS LÄN</t>
        </is>
      </c>
      <c r="E836" t="inlineStr">
        <is>
          <t>MOTALA</t>
        </is>
      </c>
      <c r="G836" t="n">
        <v>5.8</v>
      </c>
      <c r="H836" t="n">
        <v>0</v>
      </c>
      <c r="I836" t="n">
        <v>0</v>
      </c>
      <c r="J836" t="n">
        <v>0</v>
      </c>
      <c r="K836" t="n">
        <v>0</v>
      </c>
      <c r="L836" t="n">
        <v>0</v>
      </c>
      <c r="M836" t="n">
        <v>0</v>
      </c>
      <c r="N836" t="n">
        <v>0</v>
      </c>
      <c r="O836" t="n">
        <v>0</v>
      </c>
      <c r="P836" t="n">
        <v>0</v>
      </c>
      <c r="Q836" t="n">
        <v>0</v>
      </c>
      <c r="R836" s="2" t="inlineStr"/>
    </row>
    <row r="837" ht="15" customHeight="1">
      <c r="A837" t="inlineStr">
        <is>
          <t>A 27162-2022</t>
        </is>
      </c>
      <c r="B837" s="1" t="n">
        <v>44741</v>
      </c>
      <c r="C837" s="1" t="n">
        <v>46093</v>
      </c>
      <c r="D837" t="inlineStr">
        <is>
          <t>ÖSTERGÖTLANDS LÄN</t>
        </is>
      </c>
      <c r="E837" t="inlineStr">
        <is>
          <t>FINSPÅNG</t>
        </is>
      </c>
      <c r="G837" t="n">
        <v>0.7</v>
      </c>
      <c r="H837" t="n">
        <v>0</v>
      </c>
      <c r="I837" t="n">
        <v>0</v>
      </c>
      <c r="J837" t="n">
        <v>0</v>
      </c>
      <c r="K837" t="n">
        <v>0</v>
      </c>
      <c r="L837" t="n">
        <v>0</v>
      </c>
      <c r="M837" t="n">
        <v>0</v>
      </c>
      <c r="N837" t="n">
        <v>0</v>
      </c>
      <c r="O837" t="n">
        <v>0</v>
      </c>
      <c r="P837" t="n">
        <v>0</v>
      </c>
      <c r="Q837" t="n">
        <v>0</v>
      </c>
      <c r="R837" s="2" t="inlineStr"/>
    </row>
    <row r="838" ht="15" customHeight="1">
      <c r="A838" t="inlineStr">
        <is>
          <t>A 44083-2021</t>
        </is>
      </c>
      <c r="B838" s="1" t="n">
        <v>44434</v>
      </c>
      <c r="C838" s="1" t="n">
        <v>46093</v>
      </c>
      <c r="D838" t="inlineStr">
        <is>
          <t>ÖSTERGÖTLANDS LÄN</t>
        </is>
      </c>
      <c r="E838" t="inlineStr">
        <is>
          <t>ÅTVIDABERG</t>
        </is>
      </c>
      <c r="G838" t="n">
        <v>4.2</v>
      </c>
      <c r="H838" t="n">
        <v>0</v>
      </c>
      <c r="I838" t="n">
        <v>0</v>
      </c>
      <c r="J838" t="n">
        <v>0</v>
      </c>
      <c r="K838" t="n">
        <v>0</v>
      </c>
      <c r="L838" t="n">
        <v>0</v>
      </c>
      <c r="M838" t="n">
        <v>0</v>
      </c>
      <c r="N838" t="n">
        <v>0</v>
      </c>
      <c r="O838" t="n">
        <v>0</v>
      </c>
      <c r="P838" t="n">
        <v>0</v>
      </c>
      <c r="Q838" t="n">
        <v>0</v>
      </c>
      <c r="R838" s="2" t="inlineStr"/>
    </row>
    <row r="839" ht="15" customHeight="1">
      <c r="A839" t="inlineStr">
        <is>
          <t>A 42432-2022</t>
        </is>
      </c>
      <c r="B839" s="1" t="n">
        <v>44831</v>
      </c>
      <c r="C839" s="1" t="n">
        <v>46093</v>
      </c>
      <c r="D839" t="inlineStr">
        <is>
          <t>ÖSTERGÖTLANDS LÄN</t>
        </is>
      </c>
      <c r="E839" t="inlineStr">
        <is>
          <t>SÖDERKÖPING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48670-2022</t>
        </is>
      </c>
      <c r="B840" s="1" t="n">
        <v>44859</v>
      </c>
      <c r="C840" s="1" t="n">
        <v>46093</v>
      </c>
      <c r="D840" t="inlineStr">
        <is>
          <t>ÖSTERGÖTLANDS LÄN</t>
        </is>
      </c>
      <c r="E840" t="inlineStr">
        <is>
          <t>FINSPÅNG</t>
        </is>
      </c>
      <c r="G840" t="n">
        <v>0.4</v>
      </c>
      <c r="H840" t="n">
        <v>0</v>
      </c>
      <c r="I840" t="n">
        <v>0</v>
      </c>
      <c r="J840" t="n">
        <v>0</v>
      </c>
      <c r="K840" t="n">
        <v>0</v>
      </c>
      <c r="L840" t="n">
        <v>0</v>
      </c>
      <c r="M840" t="n">
        <v>0</v>
      </c>
      <c r="N840" t="n">
        <v>0</v>
      </c>
      <c r="O840" t="n">
        <v>0</v>
      </c>
      <c r="P840" t="n">
        <v>0</v>
      </c>
      <c r="Q840" t="n">
        <v>0</v>
      </c>
      <c r="R840" s="2" t="inlineStr"/>
    </row>
    <row r="841" ht="15" customHeight="1">
      <c r="A841" t="inlineStr">
        <is>
          <t>A 49150-2022</t>
        </is>
      </c>
      <c r="B841" s="1" t="n">
        <v>44860.805625</v>
      </c>
      <c r="C841" s="1" t="n">
        <v>46093</v>
      </c>
      <c r="D841" t="inlineStr">
        <is>
          <t>ÖSTERGÖTLANDS LÄN</t>
        </is>
      </c>
      <c r="E841" t="inlineStr">
        <is>
          <t>MOTALA</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26614-2022</t>
        </is>
      </c>
      <c r="B842" s="1" t="n">
        <v>44739.56701388889</v>
      </c>
      <c r="C842" s="1" t="n">
        <v>46093</v>
      </c>
      <c r="D842" t="inlineStr">
        <is>
          <t>ÖSTERGÖTLANDS LÄN</t>
        </is>
      </c>
      <c r="E842" t="inlineStr">
        <is>
          <t>KINDA</t>
        </is>
      </c>
      <c r="G842" t="n">
        <v>1.8</v>
      </c>
      <c r="H842" t="n">
        <v>0</v>
      </c>
      <c r="I842" t="n">
        <v>0</v>
      </c>
      <c r="J842" t="n">
        <v>0</v>
      </c>
      <c r="K842" t="n">
        <v>0</v>
      </c>
      <c r="L842" t="n">
        <v>0</v>
      </c>
      <c r="M842" t="n">
        <v>0</v>
      </c>
      <c r="N842" t="n">
        <v>0</v>
      </c>
      <c r="O842" t="n">
        <v>0</v>
      </c>
      <c r="P842" t="n">
        <v>0</v>
      </c>
      <c r="Q842" t="n">
        <v>0</v>
      </c>
      <c r="R842" s="2" t="inlineStr"/>
    </row>
    <row r="843" ht="15" customHeight="1">
      <c r="A843" t="inlineStr">
        <is>
          <t>A 41926-2022</t>
        </is>
      </c>
      <c r="B843" s="1" t="n">
        <v>44830.3705787037</v>
      </c>
      <c r="C843" s="1" t="n">
        <v>46093</v>
      </c>
      <c r="D843" t="inlineStr">
        <is>
          <t>ÖSTERGÖTLANDS LÄN</t>
        </is>
      </c>
      <c r="E843" t="inlineStr">
        <is>
          <t>MOTALA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17071-2022</t>
        </is>
      </c>
      <c r="B844" s="1" t="n">
        <v>44677</v>
      </c>
      <c r="C844" s="1" t="n">
        <v>46093</v>
      </c>
      <c r="D844" t="inlineStr">
        <is>
          <t>ÖSTERGÖTLANDS LÄN</t>
        </is>
      </c>
      <c r="E844" t="inlineStr">
        <is>
          <t>MOTALA</t>
        </is>
      </c>
      <c r="G844" t="n">
        <v>1.2</v>
      </c>
      <c r="H844" t="n">
        <v>0</v>
      </c>
      <c r="I844" t="n">
        <v>0</v>
      </c>
      <c r="J844" t="n">
        <v>0</v>
      </c>
      <c r="K844" t="n">
        <v>0</v>
      </c>
      <c r="L844" t="n">
        <v>0</v>
      </c>
      <c r="M844" t="n">
        <v>0</v>
      </c>
      <c r="N844" t="n">
        <v>0</v>
      </c>
      <c r="O844" t="n">
        <v>0</v>
      </c>
      <c r="P844" t="n">
        <v>0</v>
      </c>
      <c r="Q844" t="n">
        <v>0</v>
      </c>
      <c r="R844" s="2" t="inlineStr"/>
    </row>
    <row r="845" ht="15" customHeight="1">
      <c r="A845" t="inlineStr">
        <is>
          <t>A 17497-2022</t>
        </is>
      </c>
      <c r="B845" s="1" t="n">
        <v>44679</v>
      </c>
      <c r="C845" s="1" t="n">
        <v>46093</v>
      </c>
      <c r="D845" t="inlineStr">
        <is>
          <t>ÖSTERGÖTLANDS LÄN</t>
        </is>
      </c>
      <c r="E845" t="inlineStr">
        <is>
          <t>LINKÖPING</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17500-2022</t>
        </is>
      </c>
      <c r="B846" s="1" t="n">
        <v>44679</v>
      </c>
      <c r="C846" s="1" t="n">
        <v>46093</v>
      </c>
      <c r="D846" t="inlineStr">
        <is>
          <t>ÖSTERGÖTLANDS LÄN</t>
        </is>
      </c>
      <c r="E846" t="inlineStr">
        <is>
          <t>LINKÖPING</t>
        </is>
      </c>
      <c r="F846" t="inlineStr">
        <is>
          <t>Kommuner</t>
        </is>
      </c>
      <c r="G846" t="n">
        <v>1.8</v>
      </c>
      <c r="H846" t="n">
        <v>0</v>
      </c>
      <c r="I846" t="n">
        <v>0</v>
      </c>
      <c r="J846" t="n">
        <v>0</v>
      </c>
      <c r="K846" t="n">
        <v>0</v>
      </c>
      <c r="L846" t="n">
        <v>0</v>
      </c>
      <c r="M846" t="n">
        <v>0</v>
      </c>
      <c r="N846" t="n">
        <v>0</v>
      </c>
      <c r="O846" t="n">
        <v>0</v>
      </c>
      <c r="P846" t="n">
        <v>0</v>
      </c>
      <c r="Q846" t="n">
        <v>0</v>
      </c>
      <c r="R846" s="2" t="inlineStr"/>
    </row>
    <row r="847" ht="15" customHeight="1">
      <c r="A847" t="inlineStr">
        <is>
          <t>A 40538-2022</t>
        </is>
      </c>
      <c r="B847" s="1" t="n">
        <v>44819</v>
      </c>
      <c r="C847" s="1" t="n">
        <v>46093</v>
      </c>
      <c r="D847" t="inlineStr">
        <is>
          <t>ÖSTERGÖTLANDS LÄN</t>
        </is>
      </c>
      <c r="E847" t="inlineStr">
        <is>
          <t>MOTALA</t>
        </is>
      </c>
      <c r="G847" t="n">
        <v>1.8</v>
      </c>
      <c r="H847" t="n">
        <v>0</v>
      </c>
      <c r="I847" t="n">
        <v>0</v>
      </c>
      <c r="J847" t="n">
        <v>0</v>
      </c>
      <c r="K847" t="n">
        <v>0</v>
      </c>
      <c r="L847" t="n">
        <v>0</v>
      </c>
      <c r="M847" t="n">
        <v>0</v>
      </c>
      <c r="N847" t="n">
        <v>0</v>
      </c>
      <c r="O847" t="n">
        <v>0</v>
      </c>
      <c r="P847" t="n">
        <v>0</v>
      </c>
      <c r="Q847" t="n">
        <v>0</v>
      </c>
      <c r="R847" s="2" t="inlineStr"/>
    </row>
    <row r="848" ht="15" customHeight="1">
      <c r="A848" t="inlineStr">
        <is>
          <t>A 17412-2022</t>
        </is>
      </c>
      <c r="B848" s="1" t="n">
        <v>44678.86717592592</v>
      </c>
      <c r="C848" s="1" t="n">
        <v>46093</v>
      </c>
      <c r="D848" t="inlineStr">
        <is>
          <t>ÖSTERGÖTLANDS LÄN</t>
        </is>
      </c>
      <c r="E848" t="inlineStr">
        <is>
          <t>FINSPÅNG</t>
        </is>
      </c>
      <c r="G848" t="n">
        <v>1.8</v>
      </c>
      <c r="H848" t="n">
        <v>0</v>
      </c>
      <c r="I848" t="n">
        <v>0</v>
      </c>
      <c r="J848" t="n">
        <v>0</v>
      </c>
      <c r="K848" t="n">
        <v>0</v>
      </c>
      <c r="L848" t="n">
        <v>0</v>
      </c>
      <c r="M848" t="n">
        <v>0</v>
      </c>
      <c r="N848" t="n">
        <v>0</v>
      </c>
      <c r="O848" t="n">
        <v>0</v>
      </c>
      <c r="P848" t="n">
        <v>0</v>
      </c>
      <c r="Q848" t="n">
        <v>0</v>
      </c>
      <c r="R848" s="2" t="inlineStr"/>
    </row>
    <row r="849" ht="15" customHeight="1">
      <c r="A849" t="inlineStr">
        <is>
          <t>A 8615-2022</t>
        </is>
      </c>
      <c r="B849" s="1" t="n">
        <v>44613</v>
      </c>
      <c r="C849" s="1" t="n">
        <v>46093</v>
      </c>
      <c r="D849" t="inlineStr">
        <is>
          <t>ÖSTERGÖTLANDS LÄN</t>
        </is>
      </c>
      <c r="E849" t="inlineStr">
        <is>
          <t>FINSPÅNG</t>
        </is>
      </c>
      <c r="F849" t="inlineStr">
        <is>
          <t>Holmen skog AB</t>
        </is>
      </c>
      <c r="G849" t="n">
        <v>0.5</v>
      </c>
      <c r="H849" t="n">
        <v>0</v>
      </c>
      <c r="I849" t="n">
        <v>0</v>
      </c>
      <c r="J849" t="n">
        <v>0</v>
      </c>
      <c r="K849" t="n">
        <v>0</v>
      </c>
      <c r="L849" t="n">
        <v>0</v>
      </c>
      <c r="M849" t="n">
        <v>0</v>
      </c>
      <c r="N849" t="n">
        <v>0</v>
      </c>
      <c r="O849" t="n">
        <v>0</v>
      </c>
      <c r="P849" t="n">
        <v>0</v>
      </c>
      <c r="Q849" t="n">
        <v>0</v>
      </c>
      <c r="R849" s="2" t="inlineStr"/>
    </row>
    <row r="850" ht="15" customHeight="1">
      <c r="A850" t="inlineStr">
        <is>
          <t>A 32000-2022</t>
        </is>
      </c>
      <c r="B850" s="1" t="n">
        <v>44777</v>
      </c>
      <c r="C850" s="1" t="n">
        <v>46093</v>
      </c>
      <c r="D850" t="inlineStr">
        <is>
          <t>ÖSTERGÖTLANDS LÄN</t>
        </is>
      </c>
      <c r="E850" t="inlineStr">
        <is>
          <t>LINKÖPING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3122-2022</t>
        </is>
      </c>
      <c r="B851" s="1" t="n">
        <v>44582</v>
      </c>
      <c r="C851" s="1" t="n">
        <v>46093</v>
      </c>
      <c r="D851" t="inlineStr">
        <is>
          <t>ÖSTERGÖTLANDS LÄN</t>
        </is>
      </c>
      <c r="E851" t="inlineStr">
        <is>
          <t>ÖDESHÖG</t>
        </is>
      </c>
      <c r="G851" t="n">
        <v>0.1</v>
      </c>
      <c r="H851" t="n">
        <v>0</v>
      </c>
      <c r="I851" t="n">
        <v>0</v>
      </c>
      <c r="J851" t="n">
        <v>0</v>
      </c>
      <c r="K851" t="n">
        <v>0</v>
      </c>
      <c r="L851" t="n">
        <v>0</v>
      </c>
      <c r="M851" t="n">
        <v>0</v>
      </c>
      <c r="N851" t="n">
        <v>0</v>
      </c>
      <c r="O851" t="n">
        <v>0</v>
      </c>
      <c r="P851" t="n">
        <v>0</v>
      </c>
      <c r="Q851" t="n">
        <v>0</v>
      </c>
      <c r="R851" s="2" t="inlineStr"/>
    </row>
    <row r="852" ht="15" customHeight="1">
      <c r="A852" t="inlineStr">
        <is>
          <t>A 28315-2022</t>
        </is>
      </c>
      <c r="B852" s="1" t="n">
        <v>44747.36435185185</v>
      </c>
      <c r="C852" s="1" t="n">
        <v>46093</v>
      </c>
      <c r="D852" t="inlineStr">
        <is>
          <t>ÖSTERGÖTLANDS LÄN</t>
        </is>
      </c>
      <c r="E852" t="inlineStr">
        <is>
          <t>BOXHOLM</t>
        </is>
      </c>
      <c r="F852" t="inlineStr">
        <is>
          <t>Övriga Aktiebolag</t>
        </is>
      </c>
      <c r="G852" t="n">
        <v>1.8</v>
      </c>
      <c r="H852" t="n">
        <v>0</v>
      </c>
      <c r="I852" t="n">
        <v>0</v>
      </c>
      <c r="J852" t="n">
        <v>0</v>
      </c>
      <c r="K852" t="n">
        <v>0</v>
      </c>
      <c r="L852" t="n">
        <v>0</v>
      </c>
      <c r="M852" t="n">
        <v>0</v>
      </c>
      <c r="N852" t="n">
        <v>0</v>
      </c>
      <c r="O852" t="n">
        <v>0</v>
      </c>
      <c r="P852" t="n">
        <v>0</v>
      </c>
      <c r="Q852" t="n">
        <v>0</v>
      </c>
      <c r="R852" s="2" t="inlineStr"/>
    </row>
    <row r="853" ht="15" customHeight="1">
      <c r="A853" t="inlineStr">
        <is>
          <t>A 52743-2021</t>
        </is>
      </c>
      <c r="B853" s="1" t="n">
        <v>44467</v>
      </c>
      <c r="C853" s="1" t="n">
        <v>46093</v>
      </c>
      <c r="D853" t="inlineStr">
        <is>
          <t>ÖSTERGÖTLANDS LÄN</t>
        </is>
      </c>
      <c r="E853" t="inlineStr">
        <is>
          <t>ÅTVIDABERG</t>
        </is>
      </c>
      <c r="G853" t="n">
        <v>0.5</v>
      </c>
      <c r="H853" t="n">
        <v>0</v>
      </c>
      <c r="I853" t="n">
        <v>0</v>
      </c>
      <c r="J853" t="n">
        <v>0</v>
      </c>
      <c r="K853" t="n">
        <v>0</v>
      </c>
      <c r="L853" t="n">
        <v>0</v>
      </c>
      <c r="M853" t="n">
        <v>0</v>
      </c>
      <c r="N853" t="n">
        <v>0</v>
      </c>
      <c r="O853" t="n">
        <v>0</v>
      </c>
      <c r="P853" t="n">
        <v>0</v>
      </c>
      <c r="Q853" t="n">
        <v>0</v>
      </c>
      <c r="R853" s="2" t="inlineStr"/>
    </row>
    <row r="854" ht="15" customHeight="1">
      <c r="A854" t="inlineStr">
        <is>
          <t>A 47899-2022</t>
        </is>
      </c>
      <c r="B854" s="1" t="n">
        <v>44855</v>
      </c>
      <c r="C854" s="1" t="n">
        <v>46093</v>
      </c>
      <c r="D854" t="inlineStr">
        <is>
          <t>ÖSTERGÖTLANDS LÄN</t>
        </is>
      </c>
      <c r="E854" t="inlineStr">
        <is>
          <t>FINSPÅNG</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61156-2021</t>
        </is>
      </c>
      <c r="B855" s="1" t="n">
        <v>44497</v>
      </c>
      <c r="C855" s="1" t="n">
        <v>46093</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55355-2022</t>
        </is>
      </c>
      <c r="B856" s="1" t="n">
        <v>44887.488125</v>
      </c>
      <c r="C856" s="1" t="n">
        <v>46093</v>
      </c>
      <c r="D856" t="inlineStr">
        <is>
          <t>ÖSTERGÖTLANDS LÄN</t>
        </is>
      </c>
      <c r="E856" t="inlineStr">
        <is>
          <t>FINSPÅNG</t>
        </is>
      </c>
      <c r="G856" t="n">
        <v>8.9</v>
      </c>
      <c r="H856" t="n">
        <v>0</v>
      </c>
      <c r="I856" t="n">
        <v>0</v>
      </c>
      <c r="J856" t="n">
        <v>0</v>
      </c>
      <c r="K856" t="n">
        <v>0</v>
      </c>
      <c r="L856" t="n">
        <v>0</v>
      </c>
      <c r="M856" t="n">
        <v>0</v>
      </c>
      <c r="N856" t="n">
        <v>0</v>
      </c>
      <c r="O856" t="n">
        <v>0</v>
      </c>
      <c r="P856" t="n">
        <v>0</v>
      </c>
      <c r="Q856" t="n">
        <v>0</v>
      </c>
      <c r="R856" s="2" t="inlineStr"/>
    </row>
    <row r="857" ht="15" customHeight="1">
      <c r="A857" t="inlineStr">
        <is>
          <t>A 38626-2022</t>
        </is>
      </c>
      <c r="B857" s="1" t="n">
        <v>44813</v>
      </c>
      <c r="C857" s="1" t="n">
        <v>46093</v>
      </c>
      <c r="D857" t="inlineStr">
        <is>
          <t>ÖSTERGÖTLANDS LÄN</t>
        </is>
      </c>
      <c r="E857" t="inlineStr">
        <is>
          <t>NORRKÖPING</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69261-2021</t>
        </is>
      </c>
      <c r="B858" s="1" t="n">
        <v>44531</v>
      </c>
      <c r="C858" s="1" t="n">
        <v>46093</v>
      </c>
      <c r="D858" t="inlineStr">
        <is>
          <t>ÖSTERGÖTLANDS LÄN</t>
        </is>
      </c>
      <c r="E858" t="inlineStr">
        <is>
          <t>VALDEMARSVIK</t>
        </is>
      </c>
      <c r="G858" t="n">
        <v>1.1</v>
      </c>
      <c r="H858" t="n">
        <v>0</v>
      </c>
      <c r="I858" t="n">
        <v>0</v>
      </c>
      <c r="J858" t="n">
        <v>0</v>
      </c>
      <c r="K858" t="n">
        <v>0</v>
      </c>
      <c r="L858" t="n">
        <v>0</v>
      </c>
      <c r="M858" t="n">
        <v>0</v>
      </c>
      <c r="N858" t="n">
        <v>0</v>
      </c>
      <c r="O858" t="n">
        <v>0</v>
      </c>
      <c r="P858" t="n">
        <v>0</v>
      </c>
      <c r="Q858" t="n">
        <v>0</v>
      </c>
      <c r="R858" s="2" t="inlineStr"/>
    </row>
    <row r="859" ht="15" customHeight="1">
      <c r="A859" t="inlineStr">
        <is>
          <t>A 50077-2022</t>
        </is>
      </c>
      <c r="B859" s="1" t="n">
        <v>44860</v>
      </c>
      <c r="C859" s="1" t="n">
        <v>46093</v>
      </c>
      <c r="D859" t="inlineStr">
        <is>
          <t>ÖSTERGÖTLANDS LÄN</t>
        </is>
      </c>
      <c r="E859" t="inlineStr">
        <is>
          <t>FINSPÅNG</t>
        </is>
      </c>
      <c r="G859" t="n">
        <v>0.8</v>
      </c>
      <c r="H859" t="n">
        <v>0</v>
      </c>
      <c r="I859" t="n">
        <v>0</v>
      </c>
      <c r="J859" t="n">
        <v>0</v>
      </c>
      <c r="K859" t="n">
        <v>0</v>
      </c>
      <c r="L859" t="n">
        <v>0</v>
      </c>
      <c r="M859" t="n">
        <v>0</v>
      </c>
      <c r="N859" t="n">
        <v>0</v>
      </c>
      <c r="O859" t="n">
        <v>0</v>
      </c>
      <c r="P859" t="n">
        <v>0</v>
      </c>
      <c r="Q859" t="n">
        <v>0</v>
      </c>
      <c r="R859" s="2" t="inlineStr"/>
    </row>
    <row r="860" ht="15" customHeight="1">
      <c r="A860" t="inlineStr">
        <is>
          <t>A 54231-2022</t>
        </is>
      </c>
      <c r="B860" s="1" t="n">
        <v>44881.90741898148</v>
      </c>
      <c r="C860" s="1" t="n">
        <v>46093</v>
      </c>
      <c r="D860" t="inlineStr">
        <is>
          <t>ÖSTERGÖTLANDS LÄN</t>
        </is>
      </c>
      <c r="E860" t="inlineStr">
        <is>
          <t>VALDEMARSVIK</t>
        </is>
      </c>
      <c r="G860" t="n">
        <v>0.6</v>
      </c>
      <c r="H860" t="n">
        <v>0</v>
      </c>
      <c r="I860" t="n">
        <v>0</v>
      </c>
      <c r="J860" t="n">
        <v>0</v>
      </c>
      <c r="K860" t="n">
        <v>0</v>
      </c>
      <c r="L860" t="n">
        <v>0</v>
      </c>
      <c r="M860" t="n">
        <v>0</v>
      </c>
      <c r="N860" t="n">
        <v>0</v>
      </c>
      <c r="O860" t="n">
        <v>0</v>
      </c>
      <c r="P860" t="n">
        <v>0</v>
      </c>
      <c r="Q860" t="n">
        <v>0</v>
      </c>
      <c r="R860" s="2" t="inlineStr"/>
    </row>
    <row r="861" ht="15" customHeight="1">
      <c r="A861" t="inlineStr">
        <is>
          <t>A 54324-2022</t>
        </is>
      </c>
      <c r="B861" s="1" t="n">
        <v>44882</v>
      </c>
      <c r="C861" s="1" t="n">
        <v>46093</v>
      </c>
      <c r="D861" t="inlineStr">
        <is>
          <t>ÖSTERGÖTLANDS LÄN</t>
        </is>
      </c>
      <c r="E861" t="inlineStr">
        <is>
          <t>SÖDERKÖPING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69065-2021</t>
        </is>
      </c>
      <c r="B862" s="1" t="n">
        <v>44530</v>
      </c>
      <c r="C862" s="1" t="n">
        <v>46093</v>
      </c>
      <c r="D862" t="inlineStr">
        <is>
          <t>ÖSTERGÖTLANDS LÄN</t>
        </is>
      </c>
      <c r="E862" t="inlineStr">
        <is>
          <t>NORRKÖPING</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3877-2022</t>
        </is>
      </c>
      <c r="B863" s="1" t="n">
        <v>44587</v>
      </c>
      <c r="C863" s="1" t="n">
        <v>46093</v>
      </c>
      <c r="D863" t="inlineStr">
        <is>
          <t>ÖSTERGÖTLANDS LÄN</t>
        </is>
      </c>
      <c r="E863" t="inlineStr">
        <is>
          <t>KINDA</t>
        </is>
      </c>
      <c r="G863" t="n">
        <v>1.7</v>
      </c>
      <c r="H863" t="n">
        <v>0</v>
      </c>
      <c r="I863" t="n">
        <v>0</v>
      </c>
      <c r="J863" t="n">
        <v>0</v>
      </c>
      <c r="K863" t="n">
        <v>0</v>
      </c>
      <c r="L863" t="n">
        <v>0</v>
      </c>
      <c r="M863" t="n">
        <v>0</v>
      </c>
      <c r="N863" t="n">
        <v>0</v>
      </c>
      <c r="O863" t="n">
        <v>0</v>
      </c>
      <c r="P863" t="n">
        <v>0</v>
      </c>
      <c r="Q863" t="n">
        <v>0</v>
      </c>
      <c r="R863" s="2" t="inlineStr"/>
    </row>
    <row r="864" ht="15" customHeight="1">
      <c r="A864" t="inlineStr">
        <is>
          <t>A 22276-2021</t>
        </is>
      </c>
      <c r="B864" s="1" t="n">
        <v>44326</v>
      </c>
      <c r="C864" s="1" t="n">
        <v>46093</v>
      </c>
      <c r="D864" t="inlineStr">
        <is>
          <t>ÖSTERGÖTLANDS LÄN</t>
        </is>
      </c>
      <c r="E864" t="inlineStr">
        <is>
          <t>KINDA</t>
        </is>
      </c>
      <c r="G864" t="n">
        <v>0.1</v>
      </c>
      <c r="H864" t="n">
        <v>0</v>
      </c>
      <c r="I864" t="n">
        <v>0</v>
      </c>
      <c r="J864" t="n">
        <v>0</v>
      </c>
      <c r="K864" t="n">
        <v>0</v>
      </c>
      <c r="L864" t="n">
        <v>0</v>
      </c>
      <c r="M864" t="n">
        <v>0</v>
      </c>
      <c r="N864" t="n">
        <v>0</v>
      </c>
      <c r="O864" t="n">
        <v>0</v>
      </c>
      <c r="P864" t="n">
        <v>0</v>
      </c>
      <c r="Q864" t="n">
        <v>0</v>
      </c>
      <c r="R864" s="2" t="inlineStr"/>
    </row>
    <row r="865" ht="15" customHeight="1">
      <c r="A865" t="inlineStr">
        <is>
          <t>A 26046-2021</t>
        </is>
      </c>
      <c r="B865" s="1" t="n">
        <v>44344</v>
      </c>
      <c r="C865" s="1" t="n">
        <v>46093</v>
      </c>
      <c r="D865" t="inlineStr">
        <is>
          <t>ÖSTERGÖTLANDS LÄN</t>
        </is>
      </c>
      <c r="E865" t="inlineStr">
        <is>
          <t>YDRE</t>
        </is>
      </c>
      <c r="G865" t="n">
        <v>2.6</v>
      </c>
      <c r="H865" t="n">
        <v>0</v>
      </c>
      <c r="I865" t="n">
        <v>0</v>
      </c>
      <c r="J865" t="n">
        <v>0</v>
      </c>
      <c r="K865" t="n">
        <v>0</v>
      </c>
      <c r="L865" t="n">
        <v>0</v>
      </c>
      <c r="M865" t="n">
        <v>0</v>
      </c>
      <c r="N865" t="n">
        <v>0</v>
      </c>
      <c r="O865" t="n">
        <v>0</v>
      </c>
      <c r="P865" t="n">
        <v>0</v>
      </c>
      <c r="Q865" t="n">
        <v>0</v>
      </c>
      <c r="R865" s="2" t="inlineStr"/>
    </row>
    <row r="866" ht="15" customHeight="1">
      <c r="A866" t="inlineStr">
        <is>
          <t>A 22882-2021</t>
        </is>
      </c>
      <c r="B866" s="1" t="n">
        <v>44328.46116898148</v>
      </c>
      <c r="C866" s="1" t="n">
        <v>46093</v>
      </c>
      <c r="D866" t="inlineStr">
        <is>
          <t>ÖSTERGÖTLANDS LÄN</t>
        </is>
      </c>
      <c r="E866" t="inlineStr">
        <is>
          <t>MOTALA</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22884-2021</t>
        </is>
      </c>
      <c r="B867" s="1" t="n">
        <v>44328.46275462963</v>
      </c>
      <c r="C867" s="1" t="n">
        <v>46093</v>
      </c>
      <c r="D867" t="inlineStr">
        <is>
          <t>ÖSTERGÖTLANDS LÄN</t>
        </is>
      </c>
      <c r="E867" t="inlineStr">
        <is>
          <t>MOTALA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47579-2021</t>
        </is>
      </c>
      <c r="B868" s="1" t="n">
        <v>44447</v>
      </c>
      <c r="C868" s="1" t="n">
        <v>46093</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72847-2021</t>
        </is>
      </c>
      <c r="B869" s="1" t="n">
        <v>44547</v>
      </c>
      <c r="C869" s="1" t="n">
        <v>46093</v>
      </c>
      <c r="D869" t="inlineStr">
        <is>
          <t>ÖSTERGÖTLANDS LÄN</t>
        </is>
      </c>
      <c r="E869" t="inlineStr">
        <is>
          <t>MOTALA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13767-2021</t>
        </is>
      </c>
      <c r="B870" s="1" t="n">
        <v>44274.7391087963</v>
      </c>
      <c r="C870" s="1" t="n">
        <v>46093</v>
      </c>
      <c r="D870" t="inlineStr">
        <is>
          <t>ÖSTERGÖTLANDS LÄN</t>
        </is>
      </c>
      <c r="E870" t="inlineStr">
        <is>
          <t>MOTALA</t>
        </is>
      </c>
      <c r="G870" t="n">
        <v>3.4</v>
      </c>
      <c r="H870" t="n">
        <v>0</v>
      </c>
      <c r="I870" t="n">
        <v>0</v>
      </c>
      <c r="J870" t="n">
        <v>0</v>
      </c>
      <c r="K870" t="n">
        <v>0</v>
      </c>
      <c r="L870" t="n">
        <v>0</v>
      </c>
      <c r="M870" t="n">
        <v>0</v>
      </c>
      <c r="N870" t="n">
        <v>0</v>
      </c>
      <c r="O870" t="n">
        <v>0</v>
      </c>
      <c r="P870" t="n">
        <v>0</v>
      </c>
      <c r="Q870" t="n">
        <v>0</v>
      </c>
      <c r="R870" s="2" t="inlineStr"/>
    </row>
    <row r="871" ht="15" customHeight="1">
      <c r="A871" t="inlineStr">
        <is>
          <t>A 13772-2021</t>
        </is>
      </c>
      <c r="B871" s="1" t="n">
        <v>44274</v>
      </c>
      <c r="C871" s="1" t="n">
        <v>46093</v>
      </c>
      <c r="D871" t="inlineStr">
        <is>
          <t>ÖSTERGÖTLANDS LÄN</t>
        </is>
      </c>
      <c r="E871" t="inlineStr">
        <is>
          <t>MOTALA</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13776-2021</t>
        </is>
      </c>
      <c r="B872" s="1" t="n">
        <v>44274</v>
      </c>
      <c r="C872" s="1" t="n">
        <v>46093</v>
      </c>
      <c r="D872" t="inlineStr">
        <is>
          <t>ÖSTERGÖTLANDS LÄN</t>
        </is>
      </c>
      <c r="E872" t="inlineStr">
        <is>
          <t>MOTALA</t>
        </is>
      </c>
      <c r="G872" t="n">
        <v>3</v>
      </c>
      <c r="H872" t="n">
        <v>0</v>
      </c>
      <c r="I872" t="n">
        <v>0</v>
      </c>
      <c r="J872" t="n">
        <v>0</v>
      </c>
      <c r="K872" t="n">
        <v>0</v>
      </c>
      <c r="L872" t="n">
        <v>0</v>
      </c>
      <c r="M872" t="n">
        <v>0</v>
      </c>
      <c r="N872" t="n">
        <v>0</v>
      </c>
      <c r="O872" t="n">
        <v>0</v>
      </c>
      <c r="P872" t="n">
        <v>0</v>
      </c>
      <c r="Q872" t="n">
        <v>0</v>
      </c>
      <c r="R872" s="2" t="inlineStr"/>
    </row>
    <row r="873" ht="15" customHeight="1">
      <c r="A873" t="inlineStr">
        <is>
          <t>A 611-2022</t>
        </is>
      </c>
      <c r="B873" s="1" t="n">
        <v>44567</v>
      </c>
      <c r="C873" s="1" t="n">
        <v>46093</v>
      </c>
      <c r="D873" t="inlineStr">
        <is>
          <t>ÖSTERGÖTLANDS LÄN</t>
        </is>
      </c>
      <c r="E873" t="inlineStr">
        <is>
          <t>SÖDERKÖPING</t>
        </is>
      </c>
      <c r="G873" t="n">
        <v>2.9</v>
      </c>
      <c r="H873" t="n">
        <v>0</v>
      </c>
      <c r="I873" t="n">
        <v>0</v>
      </c>
      <c r="J873" t="n">
        <v>0</v>
      </c>
      <c r="K873" t="n">
        <v>0</v>
      </c>
      <c r="L873" t="n">
        <v>0</v>
      </c>
      <c r="M873" t="n">
        <v>0</v>
      </c>
      <c r="N873" t="n">
        <v>0</v>
      </c>
      <c r="O873" t="n">
        <v>0</v>
      </c>
      <c r="P873" t="n">
        <v>0</v>
      </c>
      <c r="Q873" t="n">
        <v>0</v>
      </c>
      <c r="R873" s="2" t="inlineStr"/>
    </row>
    <row r="874" ht="15" customHeight="1">
      <c r="A874" t="inlineStr">
        <is>
          <t>A 65336-2021</t>
        </is>
      </c>
      <c r="B874" s="1" t="n">
        <v>44515</v>
      </c>
      <c r="C874" s="1" t="n">
        <v>46093</v>
      </c>
      <c r="D874" t="inlineStr">
        <is>
          <t>ÖSTERGÖTLANDS LÄN</t>
        </is>
      </c>
      <c r="E874" t="inlineStr">
        <is>
          <t>NORRKÖPING</t>
        </is>
      </c>
      <c r="F874" t="inlineStr">
        <is>
          <t>Holmen skog AB</t>
        </is>
      </c>
      <c r="G874" t="n">
        <v>0.8</v>
      </c>
      <c r="H874" t="n">
        <v>0</v>
      </c>
      <c r="I874" t="n">
        <v>0</v>
      </c>
      <c r="J874" t="n">
        <v>0</v>
      </c>
      <c r="K874" t="n">
        <v>0</v>
      </c>
      <c r="L874" t="n">
        <v>0</v>
      </c>
      <c r="M874" t="n">
        <v>0</v>
      </c>
      <c r="N874" t="n">
        <v>0</v>
      </c>
      <c r="O874" t="n">
        <v>0</v>
      </c>
      <c r="P874" t="n">
        <v>0</v>
      </c>
      <c r="Q874" t="n">
        <v>0</v>
      </c>
      <c r="R874" s="2" t="inlineStr"/>
    </row>
    <row r="875" ht="15" customHeight="1">
      <c r="A875" t="inlineStr">
        <is>
          <t>A 32370-2021</t>
        </is>
      </c>
      <c r="B875" s="1" t="n">
        <v>44371</v>
      </c>
      <c r="C875" s="1" t="n">
        <v>46093</v>
      </c>
      <c r="D875" t="inlineStr">
        <is>
          <t>ÖSTERGÖTLANDS LÄN</t>
        </is>
      </c>
      <c r="E875" t="inlineStr">
        <is>
          <t>BOXHOLM</t>
        </is>
      </c>
      <c r="G875" t="n">
        <v>1</v>
      </c>
      <c r="H875" t="n">
        <v>0</v>
      </c>
      <c r="I875" t="n">
        <v>0</v>
      </c>
      <c r="J875" t="n">
        <v>0</v>
      </c>
      <c r="K875" t="n">
        <v>0</v>
      </c>
      <c r="L875" t="n">
        <v>0</v>
      </c>
      <c r="M875" t="n">
        <v>0</v>
      </c>
      <c r="N875" t="n">
        <v>0</v>
      </c>
      <c r="O875" t="n">
        <v>0</v>
      </c>
      <c r="P875" t="n">
        <v>0</v>
      </c>
      <c r="Q875" t="n">
        <v>0</v>
      </c>
      <c r="R875" s="2" t="inlineStr"/>
    </row>
    <row r="876" ht="15" customHeight="1">
      <c r="A876" t="inlineStr">
        <is>
          <t>A 38662-2021</t>
        </is>
      </c>
      <c r="B876" s="1" t="n">
        <v>44410.37859953703</v>
      </c>
      <c r="C876" s="1" t="n">
        <v>46093</v>
      </c>
      <c r="D876" t="inlineStr">
        <is>
          <t>ÖSTERGÖTLANDS LÄN</t>
        </is>
      </c>
      <c r="E876" t="inlineStr">
        <is>
          <t>YDRE</t>
        </is>
      </c>
      <c r="G876" t="n">
        <v>1.3</v>
      </c>
      <c r="H876" t="n">
        <v>0</v>
      </c>
      <c r="I876" t="n">
        <v>0</v>
      </c>
      <c r="J876" t="n">
        <v>0</v>
      </c>
      <c r="K876" t="n">
        <v>0</v>
      </c>
      <c r="L876" t="n">
        <v>0</v>
      </c>
      <c r="M876" t="n">
        <v>0</v>
      </c>
      <c r="N876" t="n">
        <v>0</v>
      </c>
      <c r="O876" t="n">
        <v>0</v>
      </c>
      <c r="P876" t="n">
        <v>0</v>
      </c>
      <c r="Q876" t="n">
        <v>0</v>
      </c>
      <c r="R876" s="2" t="inlineStr"/>
    </row>
    <row r="877" ht="15" customHeight="1">
      <c r="A877" t="inlineStr">
        <is>
          <t>A 16057-2021</t>
        </is>
      </c>
      <c r="B877" s="1" t="n">
        <v>44287</v>
      </c>
      <c r="C877" s="1" t="n">
        <v>46093</v>
      </c>
      <c r="D877" t="inlineStr">
        <is>
          <t>ÖSTERGÖTLANDS LÄN</t>
        </is>
      </c>
      <c r="E877" t="inlineStr">
        <is>
          <t>VALDEMARSVIK</t>
        </is>
      </c>
      <c r="G877" t="n">
        <v>2.3</v>
      </c>
      <c r="H877" t="n">
        <v>0</v>
      </c>
      <c r="I877" t="n">
        <v>0</v>
      </c>
      <c r="J877" t="n">
        <v>0</v>
      </c>
      <c r="K877" t="n">
        <v>0</v>
      </c>
      <c r="L877" t="n">
        <v>0</v>
      </c>
      <c r="M877" t="n">
        <v>0</v>
      </c>
      <c r="N877" t="n">
        <v>0</v>
      </c>
      <c r="O877" t="n">
        <v>0</v>
      </c>
      <c r="P877" t="n">
        <v>0</v>
      </c>
      <c r="Q877" t="n">
        <v>0</v>
      </c>
      <c r="R877" s="2" t="inlineStr"/>
    </row>
    <row r="878" ht="15" customHeight="1">
      <c r="A878" t="inlineStr">
        <is>
          <t>A 1041-2022</t>
        </is>
      </c>
      <c r="B878" s="1" t="n">
        <v>44571</v>
      </c>
      <c r="C878" s="1" t="n">
        <v>46093</v>
      </c>
      <c r="D878" t="inlineStr">
        <is>
          <t>ÖSTERGÖTLANDS LÄN</t>
        </is>
      </c>
      <c r="E878" t="inlineStr">
        <is>
          <t>NORRKÖPING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13419-2021</t>
        </is>
      </c>
      <c r="B879" s="1" t="n">
        <v>44273</v>
      </c>
      <c r="C879" s="1" t="n">
        <v>46093</v>
      </c>
      <c r="D879" t="inlineStr">
        <is>
          <t>ÖSTERGÖTLANDS LÄN</t>
        </is>
      </c>
      <c r="E879" t="inlineStr">
        <is>
          <t>VALDEMARSVIK</t>
        </is>
      </c>
      <c r="G879" t="n">
        <v>0.5</v>
      </c>
      <c r="H879" t="n">
        <v>0</v>
      </c>
      <c r="I879" t="n">
        <v>0</v>
      </c>
      <c r="J879" t="n">
        <v>0</v>
      </c>
      <c r="K879" t="n">
        <v>0</v>
      </c>
      <c r="L879" t="n">
        <v>0</v>
      </c>
      <c r="M879" t="n">
        <v>0</v>
      </c>
      <c r="N879" t="n">
        <v>0</v>
      </c>
      <c r="O879" t="n">
        <v>0</v>
      </c>
      <c r="P879" t="n">
        <v>0</v>
      </c>
      <c r="Q879" t="n">
        <v>0</v>
      </c>
      <c r="R879" s="2" t="inlineStr"/>
    </row>
    <row r="880" ht="15" customHeight="1">
      <c r="A880" t="inlineStr">
        <is>
          <t>A 33876-2021</t>
        </is>
      </c>
      <c r="B880" s="1" t="n">
        <v>44378</v>
      </c>
      <c r="C880" s="1" t="n">
        <v>46093</v>
      </c>
      <c r="D880" t="inlineStr">
        <is>
          <t>ÖSTERGÖTLANDS LÄN</t>
        </is>
      </c>
      <c r="E880" t="inlineStr">
        <is>
          <t>LINKÖPING</t>
        </is>
      </c>
      <c r="G880" t="n">
        <v>6.3</v>
      </c>
      <c r="H880" t="n">
        <v>0</v>
      </c>
      <c r="I880" t="n">
        <v>0</v>
      </c>
      <c r="J880" t="n">
        <v>0</v>
      </c>
      <c r="K880" t="n">
        <v>0</v>
      </c>
      <c r="L880" t="n">
        <v>0</v>
      </c>
      <c r="M880" t="n">
        <v>0</v>
      </c>
      <c r="N880" t="n">
        <v>0</v>
      </c>
      <c r="O880" t="n">
        <v>0</v>
      </c>
      <c r="P880" t="n">
        <v>0</v>
      </c>
      <c r="Q880" t="n">
        <v>0</v>
      </c>
      <c r="R880" s="2" t="inlineStr"/>
    </row>
    <row r="881" ht="15" customHeight="1">
      <c r="A881" t="inlineStr">
        <is>
          <t>A 29946-2021</t>
        </is>
      </c>
      <c r="B881" s="1" t="n">
        <v>44362</v>
      </c>
      <c r="C881" s="1" t="n">
        <v>46093</v>
      </c>
      <c r="D881" t="inlineStr">
        <is>
          <t>ÖSTERGÖTLANDS LÄN</t>
        </is>
      </c>
      <c r="E881" t="inlineStr">
        <is>
          <t>VALDEMARSVIK</t>
        </is>
      </c>
      <c r="G881" t="n">
        <v>1.8</v>
      </c>
      <c r="H881" t="n">
        <v>0</v>
      </c>
      <c r="I881" t="n">
        <v>0</v>
      </c>
      <c r="J881" t="n">
        <v>0</v>
      </c>
      <c r="K881" t="n">
        <v>0</v>
      </c>
      <c r="L881" t="n">
        <v>0</v>
      </c>
      <c r="M881" t="n">
        <v>0</v>
      </c>
      <c r="N881" t="n">
        <v>0</v>
      </c>
      <c r="O881" t="n">
        <v>0</v>
      </c>
      <c r="P881" t="n">
        <v>0</v>
      </c>
      <c r="Q881" t="n">
        <v>0</v>
      </c>
      <c r="R881" s="2" t="inlineStr"/>
    </row>
    <row r="882" ht="15" customHeight="1">
      <c r="A882" t="inlineStr">
        <is>
          <t>A 29716-2021</t>
        </is>
      </c>
      <c r="B882" s="1" t="n">
        <v>44362</v>
      </c>
      <c r="C882" s="1" t="n">
        <v>46093</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17882-2021</t>
        </is>
      </c>
      <c r="B883" s="1" t="n">
        <v>44301.39192129629</v>
      </c>
      <c r="C883" s="1" t="n">
        <v>46093</v>
      </c>
      <c r="D883" t="inlineStr">
        <is>
          <t>ÖSTERGÖTLANDS LÄN</t>
        </is>
      </c>
      <c r="E883" t="inlineStr">
        <is>
          <t>BOXHOLM</t>
        </is>
      </c>
      <c r="G883" t="n">
        <v>3.7</v>
      </c>
      <c r="H883" t="n">
        <v>0</v>
      </c>
      <c r="I883" t="n">
        <v>0</v>
      </c>
      <c r="J883" t="n">
        <v>0</v>
      </c>
      <c r="K883" t="n">
        <v>0</v>
      </c>
      <c r="L883" t="n">
        <v>0</v>
      </c>
      <c r="M883" t="n">
        <v>0</v>
      </c>
      <c r="N883" t="n">
        <v>0</v>
      </c>
      <c r="O883" t="n">
        <v>0</v>
      </c>
      <c r="P883" t="n">
        <v>0</v>
      </c>
      <c r="Q883" t="n">
        <v>0</v>
      </c>
      <c r="R883" s="2" t="inlineStr"/>
    </row>
    <row r="884" ht="15" customHeight="1">
      <c r="A884" t="inlineStr">
        <is>
          <t>A 46332-2021</t>
        </is>
      </c>
      <c r="B884" s="1" t="n">
        <v>44442.66228009259</v>
      </c>
      <c r="C884" s="1" t="n">
        <v>46093</v>
      </c>
      <c r="D884" t="inlineStr">
        <is>
          <t>ÖSTERGÖTLANDS LÄN</t>
        </is>
      </c>
      <c r="E884" t="inlineStr">
        <is>
          <t>NORRKÖPING</t>
        </is>
      </c>
      <c r="G884" t="n">
        <v>1.7</v>
      </c>
      <c r="H884" t="n">
        <v>0</v>
      </c>
      <c r="I884" t="n">
        <v>0</v>
      </c>
      <c r="J884" t="n">
        <v>0</v>
      </c>
      <c r="K884" t="n">
        <v>0</v>
      </c>
      <c r="L884" t="n">
        <v>0</v>
      </c>
      <c r="M884" t="n">
        <v>0</v>
      </c>
      <c r="N884" t="n">
        <v>0</v>
      </c>
      <c r="O884" t="n">
        <v>0</v>
      </c>
      <c r="P884" t="n">
        <v>0</v>
      </c>
      <c r="Q884" t="n">
        <v>0</v>
      </c>
      <c r="R884" s="2" t="inlineStr"/>
    </row>
    <row r="885" ht="15" customHeight="1">
      <c r="A885" t="inlineStr">
        <is>
          <t>A 16751-2022</t>
        </is>
      </c>
      <c r="B885" s="1" t="n">
        <v>44673.46445601852</v>
      </c>
      <c r="C885" s="1" t="n">
        <v>46093</v>
      </c>
      <c r="D885" t="inlineStr">
        <is>
          <t>ÖSTERGÖTLANDS LÄN</t>
        </is>
      </c>
      <c r="E885" t="inlineStr">
        <is>
          <t>BOXHOLM</t>
        </is>
      </c>
      <c r="G885" t="n">
        <v>2.5</v>
      </c>
      <c r="H885" t="n">
        <v>0</v>
      </c>
      <c r="I885" t="n">
        <v>0</v>
      </c>
      <c r="J885" t="n">
        <v>0</v>
      </c>
      <c r="K885" t="n">
        <v>0</v>
      </c>
      <c r="L885" t="n">
        <v>0</v>
      </c>
      <c r="M885" t="n">
        <v>0</v>
      </c>
      <c r="N885" t="n">
        <v>0</v>
      </c>
      <c r="O885" t="n">
        <v>0</v>
      </c>
      <c r="P885" t="n">
        <v>0</v>
      </c>
      <c r="Q885" t="n">
        <v>0</v>
      </c>
      <c r="R885" s="2" t="inlineStr"/>
    </row>
    <row r="886" ht="15" customHeight="1">
      <c r="A886" t="inlineStr">
        <is>
          <t>A 14572-2021</t>
        </is>
      </c>
      <c r="B886" s="1" t="n">
        <v>44279.87453703704</v>
      </c>
      <c r="C886" s="1" t="n">
        <v>46093</v>
      </c>
      <c r="D886" t="inlineStr">
        <is>
          <t>ÖSTERGÖTLANDS LÄN</t>
        </is>
      </c>
      <c r="E886" t="inlineStr">
        <is>
          <t>ÅTVIDABERG</t>
        </is>
      </c>
      <c r="G886" t="n">
        <v>0.6</v>
      </c>
      <c r="H886" t="n">
        <v>0</v>
      </c>
      <c r="I886" t="n">
        <v>0</v>
      </c>
      <c r="J886" t="n">
        <v>0</v>
      </c>
      <c r="K886" t="n">
        <v>0</v>
      </c>
      <c r="L886" t="n">
        <v>0</v>
      </c>
      <c r="M886" t="n">
        <v>0</v>
      </c>
      <c r="N886" t="n">
        <v>0</v>
      </c>
      <c r="O886" t="n">
        <v>0</v>
      </c>
      <c r="P886" t="n">
        <v>0</v>
      </c>
      <c r="Q886" t="n">
        <v>0</v>
      </c>
      <c r="R886" s="2" t="inlineStr"/>
    </row>
    <row r="887" ht="15" customHeight="1">
      <c r="A887" t="inlineStr">
        <is>
          <t>A 14606-2021</t>
        </is>
      </c>
      <c r="B887" s="1" t="n">
        <v>44280.25524305556</v>
      </c>
      <c r="C887" s="1" t="n">
        <v>46093</v>
      </c>
      <c r="D887" t="inlineStr">
        <is>
          <t>ÖSTERGÖTLANDS LÄN</t>
        </is>
      </c>
      <c r="E887" t="inlineStr">
        <is>
          <t>ÅTVIDABERG</t>
        </is>
      </c>
      <c r="G887" t="n">
        <v>2.1</v>
      </c>
      <c r="H887" t="n">
        <v>0</v>
      </c>
      <c r="I887" t="n">
        <v>0</v>
      </c>
      <c r="J887" t="n">
        <v>0</v>
      </c>
      <c r="K887" t="n">
        <v>0</v>
      </c>
      <c r="L887" t="n">
        <v>0</v>
      </c>
      <c r="M887" t="n">
        <v>0</v>
      </c>
      <c r="N887" t="n">
        <v>0</v>
      </c>
      <c r="O887" t="n">
        <v>0</v>
      </c>
      <c r="P887" t="n">
        <v>0</v>
      </c>
      <c r="Q887" t="n">
        <v>0</v>
      </c>
      <c r="R887" s="2" t="inlineStr"/>
    </row>
    <row r="888" ht="15" customHeight="1">
      <c r="A888" t="inlineStr">
        <is>
          <t>A 39007-2021</t>
        </is>
      </c>
      <c r="B888" s="1" t="n">
        <v>44412</v>
      </c>
      <c r="C888" s="1" t="n">
        <v>46093</v>
      </c>
      <c r="D888" t="inlineStr">
        <is>
          <t>ÖSTERGÖTLANDS LÄN</t>
        </is>
      </c>
      <c r="E888" t="inlineStr">
        <is>
          <t>FINSPÅNG</t>
        </is>
      </c>
      <c r="F888" t="inlineStr">
        <is>
          <t>Holmen skog AB</t>
        </is>
      </c>
      <c r="G888" t="n">
        <v>3</v>
      </c>
      <c r="H888" t="n">
        <v>0</v>
      </c>
      <c r="I888" t="n">
        <v>0</v>
      </c>
      <c r="J888" t="n">
        <v>0</v>
      </c>
      <c r="K888" t="n">
        <v>0</v>
      </c>
      <c r="L888" t="n">
        <v>0</v>
      </c>
      <c r="M888" t="n">
        <v>0</v>
      </c>
      <c r="N888" t="n">
        <v>0</v>
      </c>
      <c r="O888" t="n">
        <v>0</v>
      </c>
      <c r="P888" t="n">
        <v>0</v>
      </c>
      <c r="Q888" t="n">
        <v>0</v>
      </c>
      <c r="R888" s="2" t="inlineStr"/>
    </row>
    <row r="889" ht="15" customHeight="1">
      <c r="A889" t="inlineStr">
        <is>
          <t>A 53621-2022</t>
        </is>
      </c>
      <c r="B889" s="1" t="n">
        <v>44879.81780092593</v>
      </c>
      <c r="C889" s="1" t="n">
        <v>46093</v>
      </c>
      <c r="D889" t="inlineStr">
        <is>
          <t>ÖSTERGÖTLANDS LÄN</t>
        </is>
      </c>
      <c r="E889" t="inlineStr">
        <is>
          <t>ÅTVIDABERG</t>
        </is>
      </c>
      <c r="G889" t="n">
        <v>1.4</v>
      </c>
      <c r="H889" t="n">
        <v>0</v>
      </c>
      <c r="I889" t="n">
        <v>0</v>
      </c>
      <c r="J889" t="n">
        <v>0</v>
      </c>
      <c r="K889" t="n">
        <v>0</v>
      </c>
      <c r="L889" t="n">
        <v>0</v>
      </c>
      <c r="M889" t="n">
        <v>0</v>
      </c>
      <c r="N889" t="n">
        <v>0</v>
      </c>
      <c r="O889" t="n">
        <v>0</v>
      </c>
      <c r="P889" t="n">
        <v>0</v>
      </c>
      <c r="Q889" t="n">
        <v>0</v>
      </c>
      <c r="R889" s="2" t="inlineStr"/>
    </row>
    <row r="890" ht="15" customHeight="1">
      <c r="A890" t="inlineStr">
        <is>
          <t>A 42974-2021</t>
        </is>
      </c>
      <c r="B890" s="1" t="n">
        <v>44431</v>
      </c>
      <c r="C890" s="1" t="n">
        <v>46093</v>
      </c>
      <c r="D890" t="inlineStr">
        <is>
          <t>ÖSTERGÖTLANDS LÄN</t>
        </is>
      </c>
      <c r="E890" t="inlineStr">
        <is>
          <t>MOTALA</t>
        </is>
      </c>
      <c r="G890" t="n">
        <v>1.7</v>
      </c>
      <c r="H890" t="n">
        <v>0</v>
      </c>
      <c r="I890" t="n">
        <v>0</v>
      </c>
      <c r="J890" t="n">
        <v>0</v>
      </c>
      <c r="K890" t="n">
        <v>0</v>
      </c>
      <c r="L890" t="n">
        <v>0</v>
      </c>
      <c r="M890" t="n">
        <v>0</v>
      </c>
      <c r="N890" t="n">
        <v>0</v>
      </c>
      <c r="O890" t="n">
        <v>0</v>
      </c>
      <c r="P890" t="n">
        <v>0</v>
      </c>
      <c r="Q890" t="n">
        <v>0</v>
      </c>
      <c r="R890" s="2" t="inlineStr"/>
    </row>
    <row r="891" ht="15" customHeight="1">
      <c r="A891" t="inlineStr">
        <is>
          <t>A 48799-2021</t>
        </is>
      </c>
      <c r="B891" s="1" t="n">
        <v>44452.69899305556</v>
      </c>
      <c r="C891" s="1" t="n">
        <v>46093</v>
      </c>
      <c r="D891" t="inlineStr">
        <is>
          <t>ÖSTERGÖTLANDS LÄN</t>
        </is>
      </c>
      <c r="E891" t="inlineStr">
        <is>
          <t>MOTALA</t>
        </is>
      </c>
      <c r="G891" t="n">
        <v>1.3</v>
      </c>
      <c r="H891" t="n">
        <v>0</v>
      </c>
      <c r="I891" t="n">
        <v>0</v>
      </c>
      <c r="J891" t="n">
        <v>0</v>
      </c>
      <c r="K891" t="n">
        <v>0</v>
      </c>
      <c r="L891" t="n">
        <v>0</v>
      </c>
      <c r="M891" t="n">
        <v>0</v>
      </c>
      <c r="N891" t="n">
        <v>0</v>
      </c>
      <c r="O891" t="n">
        <v>0</v>
      </c>
      <c r="P891" t="n">
        <v>0</v>
      </c>
      <c r="Q891" t="n">
        <v>0</v>
      </c>
      <c r="R891" s="2" t="inlineStr"/>
    </row>
    <row r="892" ht="15" customHeight="1">
      <c r="A892" t="inlineStr">
        <is>
          <t>A 37012-2021</t>
        </is>
      </c>
      <c r="B892" s="1" t="n">
        <v>44393</v>
      </c>
      <c r="C892" s="1" t="n">
        <v>46093</v>
      </c>
      <c r="D892" t="inlineStr">
        <is>
          <t>ÖSTERGÖTLANDS LÄN</t>
        </is>
      </c>
      <c r="E892" t="inlineStr">
        <is>
          <t>LINKÖPING</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55488-2021</t>
        </is>
      </c>
      <c r="B893" s="1" t="n">
        <v>44475</v>
      </c>
      <c r="C893" s="1" t="n">
        <v>46093</v>
      </c>
      <c r="D893" t="inlineStr">
        <is>
          <t>ÖSTERGÖTLANDS LÄN</t>
        </is>
      </c>
      <c r="E893" t="inlineStr">
        <is>
          <t>NORRKÖPING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55494-2021</t>
        </is>
      </c>
      <c r="B894" s="1" t="n">
        <v>44475</v>
      </c>
      <c r="C894" s="1" t="n">
        <v>46093</v>
      </c>
      <c r="D894" t="inlineStr">
        <is>
          <t>ÖSTERGÖTLANDS LÄN</t>
        </is>
      </c>
      <c r="E894" t="inlineStr">
        <is>
          <t>NORRKÖPING</t>
        </is>
      </c>
      <c r="G894" t="n">
        <v>1.8</v>
      </c>
      <c r="H894" t="n">
        <v>0</v>
      </c>
      <c r="I894" t="n">
        <v>0</v>
      </c>
      <c r="J894" t="n">
        <v>0</v>
      </c>
      <c r="K894" t="n">
        <v>0</v>
      </c>
      <c r="L894" t="n">
        <v>0</v>
      </c>
      <c r="M894" t="n">
        <v>0</v>
      </c>
      <c r="N894" t="n">
        <v>0</v>
      </c>
      <c r="O894" t="n">
        <v>0</v>
      </c>
      <c r="P894" t="n">
        <v>0</v>
      </c>
      <c r="Q894" t="n">
        <v>0</v>
      </c>
      <c r="R894" s="2" t="inlineStr"/>
    </row>
    <row r="895" ht="15" customHeight="1">
      <c r="A895" t="inlineStr">
        <is>
          <t>A 49791-2021</t>
        </is>
      </c>
      <c r="B895" s="1" t="n">
        <v>44455.59368055555</v>
      </c>
      <c r="C895" s="1" t="n">
        <v>46093</v>
      </c>
      <c r="D895" t="inlineStr">
        <is>
          <t>ÖSTERGÖTLANDS LÄN</t>
        </is>
      </c>
      <c r="E895" t="inlineStr">
        <is>
          <t>LINKÖPING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36898-2021</t>
        </is>
      </c>
      <c r="B896" s="1" t="n">
        <v>44393</v>
      </c>
      <c r="C896" s="1" t="n">
        <v>46093</v>
      </c>
      <c r="D896" t="inlineStr">
        <is>
          <t>ÖSTERGÖTLANDS LÄN</t>
        </is>
      </c>
      <c r="E896" t="inlineStr">
        <is>
          <t>NORRKÖPING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13138-2021</t>
        </is>
      </c>
      <c r="B897" s="1" t="n">
        <v>44272</v>
      </c>
      <c r="C897" s="1" t="n">
        <v>46093</v>
      </c>
      <c r="D897" t="inlineStr">
        <is>
          <t>ÖSTERGÖTLANDS LÄN</t>
        </is>
      </c>
      <c r="E897" t="inlineStr">
        <is>
          <t>FINSPÅNG</t>
        </is>
      </c>
      <c r="G897" t="n">
        <v>1.2</v>
      </c>
      <c r="H897" t="n">
        <v>0</v>
      </c>
      <c r="I897" t="n">
        <v>0</v>
      </c>
      <c r="J897" t="n">
        <v>0</v>
      </c>
      <c r="K897" t="n">
        <v>0</v>
      </c>
      <c r="L897" t="n">
        <v>0</v>
      </c>
      <c r="M897" t="n">
        <v>0</v>
      </c>
      <c r="N897" t="n">
        <v>0</v>
      </c>
      <c r="O897" t="n">
        <v>0</v>
      </c>
      <c r="P897" t="n">
        <v>0</v>
      </c>
      <c r="Q897" t="n">
        <v>0</v>
      </c>
      <c r="R897" s="2" t="inlineStr"/>
    </row>
    <row r="898" ht="15" customHeight="1">
      <c r="A898" t="inlineStr">
        <is>
          <t>A 13163-2021</t>
        </is>
      </c>
      <c r="B898" s="1" t="n">
        <v>44272</v>
      </c>
      <c r="C898" s="1" t="n">
        <v>46093</v>
      </c>
      <c r="D898" t="inlineStr">
        <is>
          <t>ÖSTERGÖTLANDS LÄN</t>
        </is>
      </c>
      <c r="E898" t="inlineStr">
        <is>
          <t>NORRKÖPING</t>
        </is>
      </c>
      <c r="F898" t="inlineStr">
        <is>
          <t>Allmännings- och besparingsskogar</t>
        </is>
      </c>
      <c r="G898" t="n">
        <v>6</v>
      </c>
      <c r="H898" t="n">
        <v>0</v>
      </c>
      <c r="I898" t="n">
        <v>0</v>
      </c>
      <c r="J898" t="n">
        <v>0</v>
      </c>
      <c r="K898" t="n">
        <v>0</v>
      </c>
      <c r="L898" t="n">
        <v>0</v>
      </c>
      <c r="M898" t="n">
        <v>0</v>
      </c>
      <c r="N898" t="n">
        <v>0</v>
      </c>
      <c r="O898" t="n">
        <v>0</v>
      </c>
      <c r="P898" t="n">
        <v>0</v>
      </c>
      <c r="Q898" t="n">
        <v>0</v>
      </c>
      <c r="R898" s="2" t="inlineStr"/>
    </row>
    <row r="899" ht="15" customHeight="1">
      <c r="A899" t="inlineStr">
        <is>
          <t>A 18318-2021</t>
        </is>
      </c>
      <c r="B899" s="1" t="n">
        <v>44305</v>
      </c>
      <c r="C899" s="1" t="n">
        <v>46093</v>
      </c>
      <c r="D899" t="inlineStr">
        <is>
          <t>ÖSTERGÖTLANDS LÄN</t>
        </is>
      </c>
      <c r="E899" t="inlineStr">
        <is>
          <t>ÅTVIDABERG</t>
        </is>
      </c>
      <c r="G899" t="n">
        <v>2.7</v>
      </c>
      <c r="H899" t="n">
        <v>0</v>
      </c>
      <c r="I899" t="n">
        <v>0</v>
      </c>
      <c r="J899" t="n">
        <v>0</v>
      </c>
      <c r="K899" t="n">
        <v>0</v>
      </c>
      <c r="L899" t="n">
        <v>0</v>
      </c>
      <c r="M899" t="n">
        <v>0</v>
      </c>
      <c r="N899" t="n">
        <v>0</v>
      </c>
      <c r="O899" t="n">
        <v>0</v>
      </c>
      <c r="P899" t="n">
        <v>0</v>
      </c>
      <c r="Q899" t="n">
        <v>0</v>
      </c>
      <c r="R899" s="2" t="inlineStr"/>
    </row>
    <row r="900" ht="15" customHeight="1">
      <c r="A900" t="inlineStr">
        <is>
          <t>A 27185-2021</t>
        </is>
      </c>
      <c r="B900" s="1" t="n">
        <v>44350</v>
      </c>
      <c r="C900" s="1" t="n">
        <v>46093</v>
      </c>
      <c r="D900" t="inlineStr">
        <is>
          <t>ÖSTERGÖTLANDS LÄN</t>
        </is>
      </c>
      <c r="E900" t="inlineStr">
        <is>
          <t>LINKÖPING</t>
        </is>
      </c>
      <c r="F900" t="inlineStr">
        <is>
          <t>Allmännings- och besparingsskogar</t>
        </is>
      </c>
      <c r="G900" t="n">
        <v>1.6</v>
      </c>
      <c r="H900" t="n">
        <v>0</v>
      </c>
      <c r="I900" t="n">
        <v>0</v>
      </c>
      <c r="J900" t="n">
        <v>0</v>
      </c>
      <c r="K900" t="n">
        <v>0</v>
      </c>
      <c r="L900" t="n">
        <v>0</v>
      </c>
      <c r="M900" t="n">
        <v>0</v>
      </c>
      <c r="N900" t="n">
        <v>0</v>
      </c>
      <c r="O900" t="n">
        <v>0</v>
      </c>
      <c r="P900" t="n">
        <v>0</v>
      </c>
      <c r="Q900" t="n">
        <v>0</v>
      </c>
      <c r="R900" s="2" t="inlineStr"/>
    </row>
    <row r="901" ht="15" customHeight="1">
      <c r="A901" t="inlineStr">
        <is>
          <t>A 23774-2022</t>
        </is>
      </c>
      <c r="B901" s="1" t="n">
        <v>44722</v>
      </c>
      <c r="C901" s="1" t="n">
        <v>46093</v>
      </c>
      <c r="D901" t="inlineStr">
        <is>
          <t>ÖSTERGÖTLANDS LÄN</t>
        </is>
      </c>
      <c r="E901" t="inlineStr">
        <is>
          <t>SÖDERKÖPING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29470-2022</t>
        </is>
      </c>
      <c r="B902" s="1" t="n">
        <v>44753</v>
      </c>
      <c r="C902" s="1" t="n">
        <v>46093</v>
      </c>
      <c r="D902" t="inlineStr">
        <is>
          <t>ÖSTERGÖTLANDS LÄN</t>
        </is>
      </c>
      <c r="E902" t="inlineStr">
        <is>
          <t>LINKÖPING</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29472-2022</t>
        </is>
      </c>
      <c r="B903" s="1" t="n">
        <v>44753</v>
      </c>
      <c r="C903" s="1" t="n">
        <v>46093</v>
      </c>
      <c r="D903" t="inlineStr">
        <is>
          <t>ÖSTERGÖTLANDS LÄN</t>
        </is>
      </c>
      <c r="E903" t="inlineStr">
        <is>
          <t>FINSPÅNG</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23886-2022</t>
        </is>
      </c>
      <c r="B904" s="1" t="n">
        <v>44722.57311342593</v>
      </c>
      <c r="C904" s="1" t="n">
        <v>46093</v>
      </c>
      <c r="D904" t="inlineStr">
        <is>
          <t>ÖSTERGÖTLANDS LÄN</t>
        </is>
      </c>
      <c r="E904" t="inlineStr">
        <is>
          <t>MOTALA</t>
        </is>
      </c>
      <c r="G904" t="n">
        <v>0.7</v>
      </c>
      <c r="H904" t="n">
        <v>0</v>
      </c>
      <c r="I904" t="n">
        <v>0</v>
      </c>
      <c r="J904" t="n">
        <v>0</v>
      </c>
      <c r="K904" t="n">
        <v>0</v>
      </c>
      <c r="L904" t="n">
        <v>0</v>
      </c>
      <c r="M904" t="n">
        <v>0</v>
      </c>
      <c r="N904" t="n">
        <v>0</v>
      </c>
      <c r="O904" t="n">
        <v>0</v>
      </c>
      <c r="P904" t="n">
        <v>0</v>
      </c>
      <c r="Q904" t="n">
        <v>0</v>
      </c>
      <c r="R904" s="2" t="inlineStr"/>
    </row>
    <row r="905" ht="15" customHeight="1">
      <c r="A905" t="inlineStr">
        <is>
          <t>A 11347-2022</t>
        </is>
      </c>
      <c r="B905" s="1" t="n">
        <v>44630.3978587963</v>
      </c>
      <c r="C905" s="1" t="n">
        <v>46093</v>
      </c>
      <c r="D905" t="inlineStr">
        <is>
          <t>ÖSTERGÖTLANDS LÄN</t>
        </is>
      </c>
      <c r="E905" t="inlineStr">
        <is>
          <t>NORRKÖPING</t>
        </is>
      </c>
      <c r="G905" t="n">
        <v>0</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46093</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32190-2021</t>
        </is>
      </c>
      <c r="B907" s="1" t="n">
        <v>44371</v>
      </c>
      <c r="C907" s="1" t="n">
        <v>46093</v>
      </c>
      <c r="D907" t="inlineStr">
        <is>
          <t>ÖSTERGÖTLANDS LÄN</t>
        </is>
      </c>
      <c r="E907" t="inlineStr">
        <is>
          <t>NORRKÖPING</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29723-2021</t>
        </is>
      </c>
      <c r="B908" s="1" t="n">
        <v>44362</v>
      </c>
      <c r="C908" s="1" t="n">
        <v>46093</v>
      </c>
      <c r="D908" t="inlineStr">
        <is>
          <t>ÖSTERGÖTLANDS LÄN</t>
        </is>
      </c>
      <c r="E908" t="inlineStr">
        <is>
          <t>KINDA</t>
        </is>
      </c>
      <c r="G908" t="n">
        <v>1.8</v>
      </c>
      <c r="H908" t="n">
        <v>0</v>
      </c>
      <c r="I908" t="n">
        <v>0</v>
      </c>
      <c r="J908" t="n">
        <v>0</v>
      </c>
      <c r="K908" t="n">
        <v>0</v>
      </c>
      <c r="L908" t="n">
        <v>0</v>
      </c>
      <c r="M908" t="n">
        <v>0</v>
      </c>
      <c r="N908" t="n">
        <v>0</v>
      </c>
      <c r="O908" t="n">
        <v>0</v>
      </c>
      <c r="P908" t="n">
        <v>0</v>
      </c>
      <c r="Q908" t="n">
        <v>0</v>
      </c>
      <c r="R908" s="2" t="inlineStr"/>
    </row>
    <row r="909" ht="15" customHeight="1">
      <c r="A909" t="inlineStr">
        <is>
          <t>A 48931-2021</t>
        </is>
      </c>
      <c r="B909" s="1" t="n">
        <v>44452</v>
      </c>
      <c r="C909" s="1" t="n">
        <v>46093</v>
      </c>
      <c r="D909" t="inlineStr">
        <is>
          <t>ÖSTERGÖTLANDS LÄN</t>
        </is>
      </c>
      <c r="E909" t="inlineStr">
        <is>
          <t>MOTALA</t>
        </is>
      </c>
      <c r="G909" t="n">
        <v>3.6</v>
      </c>
      <c r="H909" t="n">
        <v>0</v>
      </c>
      <c r="I909" t="n">
        <v>0</v>
      </c>
      <c r="J909" t="n">
        <v>0</v>
      </c>
      <c r="K909" t="n">
        <v>0</v>
      </c>
      <c r="L909" t="n">
        <v>0</v>
      </c>
      <c r="M909" t="n">
        <v>0</v>
      </c>
      <c r="N909" t="n">
        <v>0</v>
      </c>
      <c r="O909" t="n">
        <v>0</v>
      </c>
      <c r="P909" t="n">
        <v>0</v>
      </c>
      <c r="Q909" t="n">
        <v>0</v>
      </c>
      <c r="R909" s="2" t="inlineStr"/>
    </row>
    <row r="910" ht="15" customHeight="1">
      <c r="A910" t="inlineStr">
        <is>
          <t>A 46730-2021</t>
        </is>
      </c>
      <c r="B910" s="1" t="n">
        <v>44445</v>
      </c>
      <c r="C910" s="1" t="n">
        <v>46093</v>
      </c>
      <c r="D910" t="inlineStr">
        <is>
          <t>ÖSTERGÖTLANDS LÄN</t>
        </is>
      </c>
      <c r="E910" t="inlineStr">
        <is>
          <t>LINKÖPING</t>
        </is>
      </c>
      <c r="F910" t="inlineStr">
        <is>
          <t>Övriga statliga verk och myndigheter</t>
        </is>
      </c>
      <c r="G910" t="n">
        <v>1.1</v>
      </c>
      <c r="H910" t="n">
        <v>0</v>
      </c>
      <c r="I910" t="n">
        <v>0</v>
      </c>
      <c r="J910" t="n">
        <v>0</v>
      </c>
      <c r="K910" t="n">
        <v>0</v>
      </c>
      <c r="L910" t="n">
        <v>0</v>
      </c>
      <c r="M910" t="n">
        <v>0</v>
      </c>
      <c r="N910" t="n">
        <v>0</v>
      </c>
      <c r="O910" t="n">
        <v>0</v>
      </c>
      <c r="P910" t="n">
        <v>0</v>
      </c>
      <c r="Q910" t="n">
        <v>0</v>
      </c>
      <c r="R910" s="2" t="inlineStr"/>
    </row>
    <row r="911" ht="15" customHeight="1">
      <c r="A911" t="inlineStr">
        <is>
          <t>A 13488-2021</t>
        </is>
      </c>
      <c r="B911" s="1" t="n">
        <v>44273</v>
      </c>
      <c r="C911" s="1" t="n">
        <v>46093</v>
      </c>
      <c r="D911" t="inlineStr">
        <is>
          <t>ÖSTERGÖTLANDS LÄN</t>
        </is>
      </c>
      <c r="E911" t="inlineStr">
        <is>
          <t>MJÖLBY</t>
        </is>
      </c>
      <c r="G911" t="n">
        <v>0.3</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46093</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35884-2021</t>
        </is>
      </c>
      <c r="B913" s="1" t="n">
        <v>44387.41002314815</v>
      </c>
      <c r="C913" s="1" t="n">
        <v>46093</v>
      </c>
      <c r="D913" t="inlineStr">
        <is>
          <t>ÖSTERGÖTLANDS LÄN</t>
        </is>
      </c>
      <c r="E913" t="inlineStr">
        <is>
          <t>YDRE</t>
        </is>
      </c>
      <c r="G913" t="n">
        <v>0.8</v>
      </c>
      <c r="H913" t="n">
        <v>0</v>
      </c>
      <c r="I913" t="n">
        <v>0</v>
      </c>
      <c r="J913" t="n">
        <v>0</v>
      </c>
      <c r="K913" t="n">
        <v>0</v>
      </c>
      <c r="L913" t="n">
        <v>0</v>
      </c>
      <c r="M913" t="n">
        <v>0</v>
      </c>
      <c r="N913" t="n">
        <v>0</v>
      </c>
      <c r="O913" t="n">
        <v>0</v>
      </c>
      <c r="P913" t="n">
        <v>0</v>
      </c>
      <c r="Q913" t="n">
        <v>0</v>
      </c>
      <c r="R913" s="2" t="inlineStr"/>
    </row>
    <row r="914" ht="15" customHeight="1">
      <c r="A914" t="inlineStr">
        <is>
          <t>A 22453-2021</t>
        </is>
      </c>
      <c r="B914" s="1" t="n">
        <v>44326</v>
      </c>
      <c r="C914" s="1" t="n">
        <v>46093</v>
      </c>
      <c r="D914" t="inlineStr">
        <is>
          <t>ÖSTERGÖTLANDS LÄN</t>
        </is>
      </c>
      <c r="E914" t="inlineStr">
        <is>
          <t>VALDEMARSVIK</t>
        </is>
      </c>
      <c r="G914" t="n">
        <v>2.7</v>
      </c>
      <c r="H914" t="n">
        <v>0</v>
      </c>
      <c r="I914" t="n">
        <v>0</v>
      </c>
      <c r="J914" t="n">
        <v>0</v>
      </c>
      <c r="K914" t="n">
        <v>0</v>
      </c>
      <c r="L914" t="n">
        <v>0</v>
      </c>
      <c r="M914" t="n">
        <v>0</v>
      </c>
      <c r="N914" t="n">
        <v>0</v>
      </c>
      <c r="O914" t="n">
        <v>0</v>
      </c>
      <c r="P914" t="n">
        <v>0</v>
      </c>
      <c r="Q914" t="n">
        <v>0</v>
      </c>
      <c r="R914" s="2" t="inlineStr"/>
    </row>
    <row r="915" ht="15" customHeight="1">
      <c r="A915" t="inlineStr">
        <is>
          <t>A 16933-2021</t>
        </is>
      </c>
      <c r="B915" s="1" t="n">
        <v>44295.54322916667</v>
      </c>
      <c r="C915" s="1" t="n">
        <v>46093</v>
      </c>
      <c r="D915" t="inlineStr">
        <is>
          <t>ÖSTERGÖTLANDS LÄN</t>
        </is>
      </c>
      <c r="E915" t="inlineStr">
        <is>
          <t>YDRE</t>
        </is>
      </c>
      <c r="G915" t="n">
        <v>1.1</v>
      </c>
      <c r="H915" t="n">
        <v>0</v>
      </c>
      <c r="I915" t="n">
        <v>0</v>
      </c>
      <c r="J915" t="n">
        <v>0</v>
      </c>
      <c r="K915" t="n">
        <v>0</v>
      </c>
      <c r="L915" t="n">
        <v>0</v>
      </c>
      <c r="M915" t="n">
        <v>0</v>
      </c>
      <c r="N915" t="n">
        <v>0</v>
      </c>
      <c r="O915" t="n">
        <v>0</v>
      </c>
      <c r="P915" t="n">
        <v>0</v>
      </c>
      <c r="Q915" t="n">
        <v>0</v>
      </c>
      <c r="R915" s="2" t="inlineStr"/>
    </row>
    <row r="916" ht="15" customHeight="1">
      <c r="A916" t="inlineStr">
        <is>
          <t>A 36075-2022</t>
        </is>
      </c>
      <c r="B916" s="1" t="n">
        <v>44802</v>
      </c>
      <c r="C916" s="1" t="n">
        <v>46093</v>
      </c>
      <c r="D916" t="inlineStr">
        <is>
          <t>ÖSTERGÖTLANDS LÄN</t>
        </is>
      </c>
      <c r="E916" t="inlineStr">
        <is>
          <t>FINSPÅNG</t>
        </is>
      </c>
      <c r="G916" t="n">
        <v>0.4</v>
      </c>
      <c r="H916" t="n">
        <v>0</v>
      </c>
      <c r="I916" t="n">
        <v>0</v>
      </c>
      <c r="J916" t="n">
        <v>0</v>
      </c>
      <c r="K916" t="n">
        <v>0</v>
      </c>
      <c r="L916" t="n">
        <v>0</v>
      </c>
      <c r="M916" t="n">
        <v>0</v>
      </c>
      <c r="N916" t="n">
        <v>0</v>
      </c>
      <c r="O916" t="n">
        <v>0</v>
      </c>
      <c r="P916" t="n">
        <v>0</v>
      </c>
      <c r="Q916" t="n">
        <v>0</v>
      </c>
      <c r="R916" s="2" t="inlineStr"/>
    </row>
    <row r="917" ht="15" customHeight="1">
      <c r="A917" t="inlineStr">
        <is>
          <t>A 36124-2022</t>
        </is>
      </c>
      <c r="B917" s="1" t="n">
        <v>44803.32474537037</v>
      </c>
      <c r="C917" s="1" t="n">
        <v>46093</v>
      </c>
      <c r="D917" t="inlineStr">
        <is>
          <t>ÖSTERGÖTLANDS LÄN</t>
        </is>
      </c>
      <c r="E917" t="inlineStr">
        <is>
          <t>ÖDESHÖG</t>
        </is>
      </c>
      <c r="G917" t="n">
        <v>0.3</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46093</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16469-2021</t>
        </is>
      </c>
      <c r="B919" s="1" t="n">
        <v>44293.54331018519</v>
      </c>
      <c r="C919" s="1" t="n">
        <v>46093</v>
      </c>
      <c r="D919" t="inlineStr">
        <is>
          <t>ÖSTERGÖTLANDS LÄN</t>
        </is>
      </c>
      <c r="E919" t="inlineStr">
        <is>
          <t>LINKÖPING</t>
        </is>
      </c>
      <c r="F919" t="inlineStr">
        <is>
          <t>Allmännings- och besparingsskogar</t>
        </is>
      </c>
      <c r="G919" t="n">
        <v>33.5</v>
      </c>
      <c r="H919" t="n">
        <v>0</v>
      </c>
      <c r="I919" t="n">
        <v>0</v>
      </c>
      <c r="J919" t="n">
        <v>0</v>
      </c>
      <c r="K919" t="n">
        <v>0</v>
      </c>
      <c r="L919" t="n">
        <v>0</v>
      </c>
      <c r="M919" t="n">
        <v>0</v>
      </c>
      <c r="N919" t="n">
        <v>0</v>
      </c>
      <c r="O919" t="n">
        <v>0</v>
      </c>
      <c r="P919" t="n">
        <v>0</v>
      </c>
      <c r="Q919" t="n">
        <v>0</v>
      </c>
      <c r="R919" s="2" t="inlineStr"/>
    </row>
    <row r="920" ht="15" customHeight="1">
      <c r="A920" t="inlineStr">
        <is>
          <t>A 28566-2021</t>
        </is>
      </c>
      <c r="B920" s="1" t="n">
        <v>44356</v>
      </c>
      <c r="C920" s="1" t="n">
        <v>46093</v>
      </c>
      <c r="D920" t="inlineStr">
        <is>
          <t>ÖSTERGÖTLANDS LÄN</t>
        </is>
      </c>
      <c r="E920" t="inlineStr">
        <is>
          <t>SÖDERKÖPING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47144-2022</t>
        </is>
      </c>
      <c r="B921" s="1" t="n">
        <v>44852</v>
      </c>
      <c r="C921" s="1" t="n">
        <v>46093</v>
      </c>
      <c r="D921" t="inlineStr">
        <is>
          <t>ÖSTERGÖTLANDS LÄN</t>
        </is>
      </c>
      <c r="E921" t="inlineStr">
        <is>
          <t>BOXHOLM</t>
        </is>
      </c>
      <c r="G921" t="n">
        <v>0.8</v>
      </c>
      <c r="H921" t="n">
        <v>0</v>
      </c>
      <c r="I921" t="n">
        <v>0</v>
      </c>
      <c r="J921" t="n">
        <v>0</v>
      </c>
      <c r="K921" t="n">
        <v>0</v>
      </c>
      <c r="L921" t="n">
        <v>0</v>
      </c>
      <c r="M921" t="n">
        <v>0</v>
      </c>
      <c r="N921" t="n">
        <v>0</v>
      </c>
      <c r="O921" t="n">
        <v>0</v>
      </c>
      <c r="P921" t="n">
        <v>0</v>
      </c>
      <c r="Q921" t="n">
        <v>0</v>
      </c>
      <c r="R921" s="2" t="inlineStr"/>
    </row>
    <row r="922" ht="15" customHeight="1">
      <c r="A922" t="inlineStr">
        <is>
          <t>A 59415-2021</t>
        </is>
      </c>
      <c r="B922" s="1" t="n">
        <v>44491.42908564815</v>
      </c>
      <c r="C922" s="1" t="n">
        <v>46093</v>
      </c>
      <c r="D922" t="inlineStr">
        <is>
          <t>ÖSTERGÖTLANDS LÄN</t>
        </is>
      </c>
      <c r="E922" t="inlineStr">
        <is>
          <t>SÖDERKÖPING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42693-2022</t>
        </is>
      </c>
      <c r="B923" s="1" t="n">
        <v>44832.3636574074</v>
      </c>
      <c r="C923" s="1" t="n">
        <v>46093</v>
      </c>
      <c r="D923" t="inlineStr">
        <is>
          <t>ÖSTERGÖTLANDS LÄN</t>
        </is>
      </c>
      <c r="E923" t="inlineStr">
        <is>
          <t>BOXHOLM</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42704-2022</t>
        </is>
      </c>
      <c r="B924" s="1" t="n">
        <v>44832.38378472222</v>
      </c>
      <c r="C924" s="1" t="n">
        <v>46093</v>
      </c>
      <c r="D924" t="inlineStr">
        <is>
          <t>ÖSTERGÖTLANDS LÄN</t>
        </is>
      </c>
      <c r="E924" t="inlineStr">
        <is>
          <t>BOXHOLM</t>
        </is>
      </c>
      <c r="F924" t="inlineStr">
        <is>
          <t>Övriga Aktiebolag</t>
        </is>
      </c>
      <c r="G924" t="n">
        <v>0.3</v>
      </c>
      <c r="H924" t="n">
        <v>0</v>
      </c>
      <c r="I924" t="n">
        <v>0</v>
      </c>
      <c r="J924" t="n">
        <v>0</v>
      </c>
      <c r="K924" t="n">
        <v>0</v>
      </c>
      <c r="L924" t="n">
        <v>0</v>
      </c>
      <c r="M924" t="n">
        <v>0</v>
      </c>
      <c r="N924" t="n">
        <v>0</v>
      </c>
      <c r="O924" t="n">
        <v>0</v>
      </c>
      <c r="P924" t="n">
        <v>0</v>
      </c>
      <c r="Q924" t="n">
        <v>0</v>
      </c>
      <c r="R924" s="2" t="inlineStr"/>
    </row>
    <row r="925" ht="15" customHeight="1">
      <c r="A925" t="inlineStr">
        <is>
          <t>A 29846-2021</t>
        </is>
      </c>
      <c r="B925" s="1" t="n">
        <v>44362</v>
      </c>
      <c r="C925" s="1" t="n">
        <v>46093</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45247-2022</t>
        </is>
      </c>
      <c r="B926" s="1" t="n">
        <v>44844</v>
      </c>
      <c r="C926" s="1" t="n">
        <v>46093</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46093</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18262-2021</t>
        </is>
      </c>
      <c r="B928" s="1" t="n">
        <v>44305</v>
      </c>
      <c r="C928" s="1" t="n">
        <v>46093</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35883-2021</t>
        </is>
      </c>
      <c r="B929" s="1" t="n">
        <v>44387.40186342593</v>
      </c>
      <c r="C929" s="1" t="n">
        <v>46093</v>
      </c>
      <c r="D929" t="inlineStr">
        <is>
          <t>ÖSTERGÖTLANDS LÄN</t>
        </is>
      </c>
      <c r="E929" t="inlineStr">
        <is>
          <t>YDRE</t>
        </is>
      </c>
      <c r="G929" t="n">
        <v>5.8</v>
      </c>
      <c r="H929" t="n">
        <v>0</v>
      </c>
      <c r="I929" t="n">
        <v>0</v>
      </c>
      <c r="J929" t="n">
        <v>0</v>
      </c>
      <c r="K929" t="n">
        <v>0</v>
      </c>
      <c r="L929" t="n">
        <v>0</v>
      </c>
      <c r="M929" t="n">
        <v>0</v>
      </c>
      <c r="N929" t="n">
        <v>0</v>
      </c>
      <c r="O929" t="n">
        <v>0</v>
      </c>
      <c r="P929" t="n">
        <v>0</v>
      </c>
      <c r="Q929" t="n">
        <v>0</v>
      </c>
      <c r="R929" s="2" t="inlineStr"/>
    </row>
    <row r="930" ht="15" customHeight="1">
      <c r="A930" t="inlineStr">
        <is>
          <t>A 32324-2022</t>
        </is>
      </c>
      <c r="B930" s="1" t="n">
        <v>44781</v>
      </c>
      <c r="C930" s="1" t="n">
        <v>46093</v>
      </c>
      <c r="D930" t="inlineStr">
        <is>
          <t>ÖSTERGÖTLANDS LÄN</t>
        </is>
      </c>
      <c r="E930" t="inlineStr">
        <is>
          <t>FINSPÅNG</t>
        </is>
      </c>
      <c r="G930" t="n">
        <v>2</v>
      </c>
      <c r="H930" t="n">
        <v>0</v>
      </c>
      <c r="I930" t="n">
        <v>0</v>
      </c>
      <c r="J930" t="n">
        <v>0</v>
      </c>
      <c r="K930" t="n">
        <v>0</v>
      </c>
      <c r="L930" t="n">
        <v>0</v>
      </c>
      <c r="M930" t="n">
        <v>0</v>
      </c>
      <c r="N930" t="n">
        <v>0</v>
      </c>
      <c r="O930" t="n">
        <v>0</v>
      </c>
      <c r="P930" t="n">
        <v>0</v>
      </c>
      <c r="Q930" t="n">
        <v>0</v>
      </c>
      <c r="R930" s="2" t="inlineStr"/>
    </row>
    <row r="931" ht="15" customHeight="1">
      <c r="A931" t="inlineStr">
        <is>
          <t>A 43908-2021</t>
        </is>
      </c>
      <c r="B931" s="1" t="n">
        <v>44434</v>
      </c>
      <c r="C931" s="1" t="n">
        <v>46093</v>
      </c>
      <c r="D931" t="inlineStr">
        <is>
          <t>ÖSTERGÖTLANDS LÄN</t>
        </is>
      </c>
      <c r="E931" t="inlineStr">
        <is>
          <t>FINSPÅNG</t>
        </is>
      </c>
      <c r="F931" t="inlineStr">
        <is>
          <t>Kyrkan</t>
        </is>
      </c>
      <c r="G931" t="n">
        <v>1.4</v>
      </c>
      <c r="H931" t="n">
        <v>0</v>
      </c>
      <c r="I931" t="n">
        <v>0</v>
      </c>
      <c r="J931" t="n">
        <v>0</v>
      </c>
      <c r="K931" t="n">
        <v>0</v>
      </c>
      <c r="L931" t="n">
        <v>0</v>
      </c>
      <c r="M931" t="n">
        <v>0</v>
      </c>
      <c r="N931" t="n">
        <v>0</v>
      </c>
      <c r="O931" t="n">
        <v>0</v>
      </c>
      <c r="P931" t="n">
        <v>0</v>
      </c>
      <c r="Q931" t="n">
        <v>0</v>
      </c>
      <c r="R931" s="2" t="inlineStr"/>
      <c r="U931">
        <f>HYPERLINK("https://klasma.github.io/Logging_0562/knärot/A 43908-2021 karta knärot.png", "A 43908-2021")</f>
        <v/>
      </c>
      <c r="V931">
        <f>HYPERLINK("https://klasma.github.io/Logging_0562/klagomål/A 43908-2021 FSC-klagomål.docx", "A 43908-2021")</f>
        <v/>
      </c>
      <c r="W931">
        <f>HYPERLINK("https://klasma.github.io/Logging_0562/klagomålsmail/A 43908-2021 FSC-klagomål mail.docx", "A 43908-2021")</f>
        <v/>
      </c>
      <c r="X931">
        <f>HYPERLINK("https://klasma.github.io/Logging_0562/tillsyn/A 43908-2021 tillsynsbegäran.docx", "A 43908-2021")</f>
        <v/>
      </c>
      <c r="Y931">
        <f>HYPERLINK("https://klasma.github.io/Logging_0562/tillsynsmail/A 43908-2021 tillsynsbegäran mail.docx", "A 43908-2021")</f>
        <v/>
      </c>
    </row>
    <row r="932" ht="15" customHeight="1">
      <c r="A932" t="inlineStr">
        <is>
          <t>A 64195-2021</t>
        </is>
      </c>
      <c r="B932" s="1" t="n">
        <v>44510</v>
      </c>
      <c r="C932" s="1" t="n">
        <v>46093</v>
      </c>
      <c r="D932" t="inlineStr">
        <is>
          <t>ÖSTERGÖTLANDS LÄN</t>
        </is>
      </c>
      <c r="E932" t="inlineStr">
        <is>
          <t>LINKÖPING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30369-2021</t>
        </is>
      </c>
      <c r="B933" s="1" t="n">
        <v>44364.46387731482</v>
      </c>
      <c r="C933" s="1" t="n">
        <v>46093</v>
      </c>
      <c r="D933" t="inlineStr">
        <is>
          <t>ÖSTERGÖTLANDS LÄN</t>
        </is>
      </c>
      <c r="E933" t="inlineStr">
        <is>
          <t>YDRE</t>
        </is>
      </c>
      <c r="G933" t="n">
        <v>0.5</v>
      </c>
      <c r="H933" t="n">
        <v>0</v>
      </c>
      <c r="I933" t="n">
        <v>0</v>
      </c>
      <c r="J933" t="n">
        <v>0</v>
      </c>
      <c r="K933" t="n">
        <v>0</v>
      </c>
      <c r="L933" t="n">
        <v>0</v>
      </c>
      <c r="M933" t="n">
        <v>0</v>
      </c>
      <c r="N933" t="n">
        <v>0</v>
      </c>
      <c r="O933" t="n">
        <v>0</v>
      </c>
      <c r="P933" t="n">
        <v>0</v>
      </c>
      <c r="Q933" t="n">
        <v>0</v>
      </c>
      <c r="R933" s="2" t="inlineStr"/>
    </row>
    <row r="934" ht="15" customHeight="1">
      <c r="A934" t="inlineStr">
        <is>
          <t>A 30398-2021</t>
        </is>
      </c>
      <c r="B934" s="1" t="n">
        <v>44364.52861111111</v>
      </c>
      <c r="C934" s="1" t="n">
        <v>46093</v>
      </c>
      <c r="D934" t="inlineStr">
        <is>
          <t>ÖSTERGÖTLANDS LÄN</t>
        </is>
      </c>
      <c r="E934" t="inlineStr">
        <is>
          <t>YDRE</t>
        </is>
      </c>
      <c r="G934" t="n">
        <v>4.7</v>
      </c>
      <c r="H934" t="n">
        <v>0</v>
      </c>
      <c r="I934" t="n">
        <v>0</v>
      </c>
      <c r="J934" t="n">
        <v>0</v>
      </c>
      <c r="K934" t="n">
        <v>0</v>
      </c>
      <c r="L934" t="n">
        <v>0</v>
      </c>
      <c r="M934" t="n">
        <v>0</v>
      </c>
      <c r="N934" t="n">
        <v>0</v>
      </c>
      <c r="O934" t="n">
        <v>0</v>
      </c>
      <c r="P934" t="n">
        <v>0</v>
      </c>
      <c r="Q934" t="n">
        <v>0</v>
      </c>
      <c r="R934" s="2" t="inlineStr"/>
    </row>
    <row r="935" ht="15" customHeight="1">
      <c r="A935" t="inlineStr">
        <is>
          <t>A 39517-2021</t>
        </is>
      </c>
      <c r="B935" s="1" t="n">
        <v>44414.99625</v>
      </c>
      <c r="C935" s="1" t="n">
        <v>46093</v>
      </c>
      <c r="D935" t="inlineStr">
        <is>
          <t>ÖSTERGÖTLANDS LÄN</t>
        </is>
      </c>
      <c r="E935" t="inlineStr">
        <is>
          <t>SÖDERKÖPING</t>
        </is>
      </c>
      <c r="G935" t="n">
        <v>0.2</v>
      </c>
      <c r="H935" t="n">
        <v>0</v>
      </c>
      <c r="I935" t="n">
        <v>0</v>
      </c>
      <c r="J935" t="n">
        <v>0</v>
      </c>
      <c r="K935" t="n">
        <v>0</v>
      </c>
      <c r="L935" t="n">
        <v>0</v>
      </c>
      <c r="M935" t="n">
        <v>0</v>
      </c>
      <c r="N935" t="n">
        <v>0</v>
      </c>
      <c r="O935" t="n">
        <v>0</v>
      </c>
      <c r="P935" t="n">
        <v>0</v>
      </c>
      <c r="Q935" t="n">
        <v>0</v>
      </c>
      <c r="R935" s="2" t="inlineStr"/>
    </row>
    <row r="936" ht="15" customHeight="1">
      <c r="A936" t="inlineStr">
        <is>
          <t>A 64251-2021</t>
        </is>
      </c>
      <c r="B936" s="1" t="n">
        <v>44510.67131944445</v>
      </c>
      <c r="C936" s="1" t="n">
        <v>46093</v>
      </c>
      <c r="D936" t="inlineStr">
        <is>
          <t>ÖSTERGÖTLANDS LÄN</t>
        </is>
      </c>
      <c r="E936" t="inlineStr">
        <is>
          <t>ÖDESHÖG</t>
        </is>
      </c>
      <c r="G936" t="n">
        <v>0.4</v>
      </c>
      <c r="H936" t="n">
        <v>0</v>
      </c>
      <c r="I936" t="n">
        <v>0</v>
      </c>
      <c r="J936" t="n">
        <v>0</v>
      </c>
      <c r="K936" t="n">
        <v>0</v>
      </c>
      <c r="L936" t="n">
        <v>0</v>
      </c>
      <c r="M936" t="n">
        <v>0</v>
      </c>
      <c r="N936" t="n">
        <v>0</v>
      </c>
      <c r="O936" t="n">
        <v>0</v>
      </c>
      <c r="P936" t="n">
        <v>0</v>
      </c>
      <c r="Q936" t="n">
        <v>0</v>
      </c>
      <c r="R936" s="2" t="inlineStr"/>
    </row>
    <row r="937" ht="15" customHeight="1">
      <c r="A937" t="inlineStr">
        <is>
          <t>A 71597-2021</t>
        </is>
      </c>
      <c r="B937" s="1" t="n">
        <v>44541</v>
      </c>
      <c r="C937" s="1" t="n">
        <v>46093</v>
      </c>
      <c r="D937" t="inlineStr">
        <is>
          <t>ÖSTERGÖTLANDS LÄN</t>
        </is>
      </c>
      <c r="E937" t="inlineStr">
        <is>
          <t>FINSPÅNG</t>
        </is>
      </c>
      <c r="G937" t="n">
        <v>2.1</v>
      </c>
      <c r="H937" t="n">
        <v>0</v>
      </c>
      <c r="I937" t="n">
        <v>0</v>
      </c>
      <c r="J937" t="n">
        <v>0</v>
      </c>
      <c r="K937" t="n">
        <v>0</v>
      </c>
      <c r="L937" t="n">
        <v>0</v>
      </c>
      <c r="M937" t="n">
        <v>0</v>
      </c>
      <c r="N937" t="n">
        <v>0</v>
      </c>
      <c r="O937" t="n">
        <v>0</v>
      </c>
      <c r="P937" t="n">
        <v>0</v>
      </c>
      <c r="Q937" t="n">
        <v>0</v>
      </c>
      <c r="R937" s="2" t="inlineStr"/>
    </row>
    <row r="938" ht="15" customHeight="1">
      <c r="A938" t="inlineStr">
        <is>
          <t>A 46210-2022</t>
        </is>
      </c>
      <c r="B938" s="1" t="n">
        <v>44846</v>
      </c>
      <c r="C938" s="1" t="n">
        <v>46093</v>
      </c>
      <c r="D938" t="inlineStr">
        <is>
          <t>ÖSTERGÖTLANDS LÄN</t>
        </is>
      </c>
      <c r="E938" t="inlineStr">
        <is>
          <t>MOTALA</t>
        </is>
      </c>
      <c r="G938" t="n">
        <v>1.5</v>
      </c>
      <c r="H938" t="n">
        <v>0</v>
      </c>
      <c r="I938" t="n">
        <v>0</v>
      </c>
      <c r="J938" t="n">
        <v>0</v>
      </c>
      <c r="K938" t="n">
        <v>0</v>
      </c>
      <c r="L938" t="n">
        <v>0</v>
      </c>
      <c r="M938" t="n">
        <v>0</v>
      </c>
      <c r="N938" t="n">
        <v>0</v>
      </c>
      <c r="O938" t="n">
        <v>0</v>
      </c>
      <c r="P938" t="n">
        <v>0</v>
      </c>
      <c r="Q938" t="n">
        <v>0</v>
      </c>
      <c r="R938" s="2" t="inlineStr"/>
    </row>
    <row r="939" ht="15" customHeight="1">
      <c r="A939" t="inlineStr">
        <is>
          <t>A 64-2022</t>
        </is>
      </c>
      <c r="B939" s="1" t="n">
        <v>44564.46180555555</v>
      </c>
      <c r="C939" s="1" t="n">
        <v>46093</v>
      </c>
      <c r="D939" t="inlineStr">
        <is>
          <t>ÖSTERGÖTLANDS LÄN</t>
        </is>
      </c>
      <c r="E939" t="inlineStr">
        <is>
          <t>FINSPÅNG</t>
        </is>
      </c>
      <c r="G939" t="n">
        <v>3.7</v>
      </c>
      <c r="H939" t="n">
        <v>0</v>
      </c>
      <c r="I939" t="n">
        <v>0</v>
      </c>
      <c r="J939" t="n">
        <v>0</v>
      </c>
      <c r="K939" t="n">
        <v>0</v>
      </c>
      <c r="L939" t="n">
        <v>0</v>
      </c>
      <c r="M939" t="n">
        <v>0</v>
      </c>
      <c r="N939" t="n">
        <v>0</v>
      </c>
      <c r="O939" t="n">
        <v>0</v>
      </c>
      <c r="P939" t="n">
        <v>0</v>
      </c>
      <c r="Q939" t="n">
        <v>0</v>
      </c>
      <c r="R939" s="2" t="inlineStr"/>
    </row>
    <row r="940" ht="15" customHeight="1">
      <c r="A940" t="inlineStr">
        <is>
          <t>A 52382-2021</t>
        </is>
      </c>
      <c r="B940" s="1" t="n">
        <v>44465</v>
      </c>
      <c r="C940" s="1" t="n">
        <v>46093</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52476-2021</t>
        </is>
      </c>
      <c r="B941" s="1" t="n">
        <v>44466</v>
      </c>
      <c r="C941" s="1" t="n">
        <v>46093</v>
      </c>
      <c r="D941" t="inlineStr">
        <is>
          <t>ÖSTERGÖTLANDS LÄN</t>
        </is>
      </c>
      <c r="E941" t="inlineStr">
        <is>
          <t>ÖDESHÖG</t>
        </is>
      </c>
      <c r="F941" t="inlineStr">
        <is>
          <t>Kyrkan</t>
        </is>
      </c>
      <c r="G941" t="n">
        <v>0.6</v>
      </c>
      <c r="H941" t="n">
        <v>0</v>
      </c>
      <c r="I941" t="n">
        <v>0</v>
      </c>
      <c r="J941" t="n">
        <v>0</v>
      </c>
      <c r="K941" t="n">
        <v>0</v>
      </c>
      <c r="L941" t="n">
        <v>0</v>
      </c>
      <c r="M941" t="n">
        <v>0</v>
      </c>
      <c r="N941" t="n">
        <v>0</v>
      </c>
      <c r="O941" t="n">
        <v>0</v>
      </c>
      <c r="P941" t="n">
        <v>0</v>
      </c>
      <c r="Q941" t="n">
        <v>0</v>
      </c>
      <c r="R941" s="2" t="inlineStr"/>
    </row>
    <row r="942" ht="15" customHeight="1">
      <c r="A942" t="inlineStr">
        <is>
          <t>A 67646-2021</t>
        </is>
      </c>
      <c r="B942" s="1" t="n">
        <v>44524</v>
      </c>
      <c r="C942" s="1" t="n">
        <v>46093</v>
      </c>
      <c r="D942" t="inlineStr">
        <is>
          <t>ÖSTERGÖTLANDS LÄN</t>
        </is>
      </c>
      <c r="E942" t="inlineStr">
        <is>
          <t>NORRKÖPING</t>
        </is>
      </c>
      <c r="G942" t="n">
        <v>2</v>
      </c>
      <c r="H942" t="n">
        <v>0</v>
      </c>
      <c r="I942" t="n">
        <v>0</v>
      </c>
      <c r="J942" t="n">
        <v>0</v>
      </c>
      <c r="K942" t="n">
        <v>0</v>
      </c>
      <c r="L942" t="n">
        <v>0</v>
      </c>
      <c r="M942" t="n">
        <v>0</v>
      </c>
      <c r="N942" t="n">
        <v>0</v>
      </c>
      <c r="O942" t="n">
        <v>0</v>
      </c>
      <c r="P942" t="n">
        <v>0</v>
      </c>
      <c r="Q942" t="n">
        <v>0</v>
      </c>
      <c r="R942" s="2" t="inlineStr"/>
    </row>
    <row r="943" ht="15" customHeight="1">
      <c r="A943" t="inlineStr">
        <is>
          <t>A 47252-2021</t>
        </is>
      </c>
      <c r="B943" s="1" t="n">
        <v>44447</v>
      </c>
      <c r="C943" s="1" t="n">
        <v>46093</v>
      </c>
      <c r="D943" t="inlineStr">
        <is>
          <t>ÖSTERGÖTLANDS LÄN</t>
        </is>
      </c>
      <c r="E943" t="inlineStr">
        <is>
          <t>NORRKÖPING</t>
        </is>
      </c>
      <c r="G943" t="n">
        <v>6.4</v>
      </c>
      <c r="H943" t="n">
        <v>0</v>
      </c>
      <c r="I943" t="n">
        <v>0</v>
      </c>
      <c r="J943" t="n">
        <v>0</v>
      </c>
      <c r="K943" t="n">
        <v>0</v>
      </c>
      <c r="L943" t="n">
        <v>0</v>
      </c>
      <c r="M943" t="n">
        <v>0</v>
      </c>
      <c r="N943" t="n">
        <v>0</v>
      </c>
      <c r="O943" t="n">
        <v>0</v>
      </c>
      <c r="P943" t="n">
        <v>0</v>
      </c>
      <c r="Q943" t="n">
        <v>0</v>
      </c>
      <c r="R943" s="2" t="inlineStr"/>
    </row>
    <row r="944" ht="15" customHeight="1">
      <c r="A944" t="inlineStr">
        <is>
          <t>A 13022-2021</t>
        </is>
      </c>
      <c r="B944" s="1" t="n">
        <v>44271.81282407408</v>
      </c>
      <c r="C944" s="1" t="n">
        <v>46093</v>
      </c>
      <c r="D944" t="inlineStr">
        <is>
          <t>ÖSTERGÖTLANDS LÄN</t>
        </is>
      </c>
      <c r="E944" t="inlineStr">
        <is>
          <t>NORRKÖPING</t>
        </is>
      </c>
      <c r="G944" t="n">
        <v>1.2</v>
      </c>
      <c r="H944" t="n">
        <v>0</v>
      </c>
      <c r="I944" t="n">
        <v>0</v>
      </c>
      <c r="J944" t="n">
        <v>0</v>
      </c>
      <c r="K944" t="n">
        <v>0</v>
      </c>
      <c r="L944" t="n">
        <v>0</v>
      </c>
      <c r="M944" t="n">
        <v>0</v>
      </c>
      <c r="N944" t="n">
        <v>0</v>
      </c>
      <c r="O944" t="n">
        <v>0</v>
      </c>
      <c r="P944" t="n">
        <v>0</v>
      </c>
      <c r="Q944" t="n">
        <v>0</v>
      </c>
      <c r="R944" s="2" t="inlineStr"/>
    </row>
    <row r="945" ht="15" customHeight="1">
      <c r="A945" t="inlineStr">
        <is>
          <t>A 71034-2021</t>
        </is>
      </c>
      <c r="B945" s="1" t="n">
        <v>44538</v>
      </c>
      <c r="C945" s="1" t="n">
        <v>46093</v>
      </c>
      <c r="D945" t="inlineStr">
        <is>
          <t>ÖSTERGÖTLANDS LÄN</t>
        </is>
      </c>
      <c r="E945" t="inlineStr">
        <is>
          <t>ÖDESHÖG</t>
        </is>
      </c>
      <c r="G945" t="n">
        <v>1.8</v>
      </c>
      <c r="H945" t="n">
        <v>0</v>
      </c>
      <c r="I945" t="n">
        <v>0</v>
      </c>
      <c r="J945" t="n">
        <v>0</v>
      </c>
      <c r="K945" t="n">
        <v>0</v>
      </c>
      <c r="L945" t="n">
        <v>0</v>
      </c>
      <c r="M945" t="n">
        <v>0</v>
      </c>
      <c r="N945" t="n">
        <v>0</v>
      </c>
      <c r="O945" t="n">
        <v>0</v>
      </c>
      <c r="P945" t="n">
        <v>0</v>
      </c>
      <c r="Q945" t="n">
        <v>0</v>
      </c>
      <c r="R945" s="2" t="inlineStr"/>
    </row>
    <row r="946" ht="15" customHeight="1">
      <c r="A946" t="inlineStr">
        <is>
          <t>A 71037-2021</t>
        </is>
      </c>
      <c r="B946" s="1" t="n">
        <v>44537</v>
      </c>
      <c r="C946" s="1" t="n">
        <v>46093</v>
      </c>
      <c r="D946" t="inlineStr">
        <is>
          <t>ÖSTERGÖTLANDS LÄN</t>
        </is>
      </c>
      <c r="E946" t="inlineStr">
        <is>
          <t>BOXHOLM</t>
        </is>
      </c>
      <c r="G946" t="n">
        <v>1.2</v>
      </c>
      <c r="H946" t="n">
        <v>0</v>
      </c>
      <c r="I946" t="n">
        <v>0</v>
      </c>
      <c r="J946" t="n">
        <v>0</v>
      </c>
      <c r="K946" t="n">
        <v>0</v>
      </c>
      <c r="L946" t="n">
        <v>0</v>
      </c>
      <c r="M946" t="n">
        <v>0</v>
      </c>
      <c r="N946" t="n">
        <v>0</v>
      </c>
      <c r="O946" t="n">
        <v>0</v>
      </c>
      <c r="P946" t="n">
        <v>0</v>
      </c>
      <c r="Q946" t="n">
        <v>0</v>
      </c>
      <c r="R946" s="2" t="inlineStr"/>
    </row>
    <row r="947" ht="15" customHeight="1">
      <c r="A947" t="inlineStr">
        <is>
          <t>A 56262-2021</t>
        </is>
      </c>
      <c r="B947" s="1" t="n">
        <v>44479</v>
      </c>
      <c r="C947" s="1" t="n">
        <v>46093</v>
      </c>
      <c r="D947" t="inlineStr">
        <is>
          <t>ÖSTERGÖTLANDS LÄN</t>
        </is>
      </c>
      <c r="E947" t="inlineStr">
        <is>
          <t>ÅTVIDABERG</t>
        </is>
      </c>
      <c r="G947" t="n">
        <v>0.5</v>
      </c>
      <c r="H947" t="n">
        <v>0</v>
      </c>
      <c r="I947" t="n">
        <v>0</v>
      </c>
      <c r="J947" t="n">
        <v>0</v>
      </c>
      <c r="K947" t="n">
        <v>0</v>
      </c>
      <c r="L947" t="n">
        <v>0</v>
      </c>
      <c r="M947" t="n">
        <v>0</v>
      </c>
      <c r="N947" t="n">
        <v>0</v>
      </c>
      <c r="O947" t="n">
        <v>0</v>
      </c>
      <c r="P947" t="n">
        <v>0</v>
      </c>
      <c r="Q947" t="n">
        <v>0</v>
      </c>
      <c r="R947" s="2" t="inlineStr"/>
    </row>
    <row r="948" ht="15" customHeight="1">
      <c r="A948" t="inlineStr">
        <is>
          <t>A 36557-2021</t>
        </is>
      </c>
      <c r="B948" s="1" t="n">
        <v>44391</v>
      </c>
      <c r="C948" s="1" t="n">
        <v>46093</v>
      </c>
      <c r="D948" t="inlineStr">
        <is>
          <t>ÖSTERGÖTLANDS LÄN</t>
        </is>
      </c>
      <c r="E948" t="inlineStr">
        <is>
          <t>FINSPÅNG</t>
        </is>
      </c>
      <c r="G948" t="n">
        <v>0.7</v>
      </c>
      <c r="H948" t="n">
        <v>0</v>
      </c>
      <c r="I948" t="n">
        <v>0</v>
      </c>
      <c r="J948" t="n">
        <v>0</v>
      </c>
      <c r="K948" t="n">
        <v>0</v>
      </c>
      <c r="L948" t="n">
        <v>0</v>
      </c>
      <c r="M948" t="n">
        <v>0</v>
      </c>
      <c r="N948" t="n">
        <v>0</v>
      </c>
      <c r="O948" t="n">
        <v>0</v>
      </c>
      <c r="P948" t="n">
        <v>0</v>
      </c>
      <c r="Q948" t="n">
        <v>0</v>
      </c>
      <c r="R948" s="2" t="inlineStr"/>
    </row>
    <row r="949" ht="15" customHeight="1">
      <c r="A949" t="inlineStr">
        <is>
          <t>A 40815-2021</t>
        </is>
      </c>
      <c r="B949" s="1" t="n">
        <v>44421</v>
      </c>
      <c r="C949" s="1" t="n">
        <v>46093</v>
      </c>
      <c r="D949" t="inlineStr">
        <is>
          <t>ÖSTERGÖTLANDS LÄN</t>
        </is>
      </c>
      <c r="E949" t="inlineStr">
        <is>
          <t>MOTALA</t>
        </is>
      </c>
      <c r="G949" t="n">
        <v>3.3</v>
      </c>
      <c r="H949" t="n">
        <v>0</v>
      </c>
      <c r="I949" t="n">
        <v>0</v>
      </c>
      <c r="J949" t="n">
        <v>0</v>
      </c>
      <c r="K949" t="n">
        <v>0</v>
      </c>
      <c r="L949" t="n">
        <v>0</v>
      </c>
      <c r="M949" t="n">
        <v>0</v>
      </c>
      <c r="N949" t="n">
        <v>0</v>
      </c>
      <c r="O949" t="n">
        <v>0</v>
      </c>
      <c r="P949" t="n">
        <v>0</v>
      </c>
      <c r="Q949" t="n">
        <v>0</v>
      </c>
      <c r="R949" s="2" t="inlineStr"/>
    </row>
    <row r="950" ht="15" customHeight="1">
      <c r="A950" t="inlineStr">
        <is>
          <t>A 36804-2021</t>
        </is>
      </c>
      <c r="B950" s="1" t="n">
        <v>44392</v>
      </c>
      <c r="C950" s="1" t="n">
        <v>46093</v>
      </c>
      <c r="D950" t="inlineStr">
        <is>
          <t>ÖSTERGÖTLANDS LÄN</t>
        </is>
      </c>
      <c r="E950" t="inlineStr">
        <is>
          <t>YDRE</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69038-2021</t>
        </is>
      </c>
      <c r="B951" s="1" t="n">
        <v>44530</v>
      </c>
      <c r="C951" s="1" t="n">
        <v>46093</v>
      </c>
      <c r="D951" t="inlineStr">
        <is>
          <t>ÖSTERGÖTLANDS LÄN</t>
        </is>
      </c>
      <c r="E951" t="inlineStr">
        <is>
          <t>NORRKÖPING</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15507-2021</t>
        </is>
      </c>
      <c r="B952" s="1" t="n">
        <v>44285</v>
      </c>
      <c r="C952" s="1" t="n">
        <v>46093</v>
      </c>
      <c r="D952" t="inlineStr">
        <is>
          <t>ÖSTERGÖTLANDS LÄN</t>
        </is>
      </c>
      <c r="E952" t="inlineStr">
        <is>
          <t>BOXHOLM</t>
        </is>
      </c>
      <c r="G952" t="n">
        <v>1</v>
      </c>
      <c r="H952" t="n">
        <v>0</v>
      </c>
      <c r="I952" t="n">
        <v>0</v>
      </c>
      <c r="J952" t="n">
        <v>0</v>
      </c>
      <c r="K952" t="n">
        <v>0</v>
      </c>
      <c r="L952" t="n">
        <v>0</v>
      </c>
      <c r="M952" t="n">
        <v>0</v>
      </c>
      <c r="N952" t="n">
        <v>0</v>
      </c>
      <c r="O952" t="n">
        <v>0</v>
      </c>
      <c r="P952" t="n">
        <v>0</v>
      </c>
      <c r="Q952" t="n">
        <v>0</v>
      </c>
      <c r="R952" s="2" t="inlineStr"/>
    </row>
    <row r="953" ht="15" customHeight="1">
      <c r="A953" t="inlineStr">
        <is>
          <t>A 19827-2021</t>
        </is>
      </c>
      <c r="B953" s="1" t="n">
        <v>44313</v>
      </c>
      <c r="C953" s="1" t="n">
        <v>46093</v>
      </c>
      <c r="D953" t="inlineStr">
        <is>
          <t>ÖSTERGÖTLANDS LÄN</t>
        </is>
      </c>
      <c r="E953" t="inlineStr">
        <is>
          <t>NORRKÖPING</t>
        </is>
      </c>
      <c r="F953" t="inlineStr">
        <is>
          <t>Holmen skog AB</t>
        </is>
      </c>
      <c r="G953" t="n">
        <v>0.5</v>
      </c>
      <c r="H953" t="n">
        <v>0</v>
      </c>
      <c r="I953" t="n">
        <v>0</v>
      </c>
      <c r="J953" t="n">
        <v>0</v>
      </c>
      <c r="K953" t="n">
        <v>0</v>
      </c>
      <c r="L953" t="n">
        <v>0</v>
      </c>
      <c r="M953" t="n">
        <v>0</v>
      </c>
      <c r="N953" t="n">
        <v>0</v>
      </c>
      <c r="O953" t="n">
        <v>0</v>
      </c>
      <c r="P953" t="n">
        <v>0</v>
      </c>
      <c r="Q953" t="n">
        <v>0</v>
      </c>
      <c r="R953" s="2" t="inlineStr"/>
    </row>
    <row r="954" ht="15" customHeight="1">
      <c r="A954" t="inlineStr">
        <is>
          <t>A 19872-2021</t>
        </is>
      </c>
      <c r="B954" s="1" t="n">
        <v>44313.50966435186</v>
      </c>
      <c r="C954" s="1" t="n">
        <v>46093</v>
      </c>
      <c r="D954" t="inlineStr">
        <is>
          <t>ÖSTERGÖTLANDS LÄN</t>
        </is>
      </c>
      <c r="E954" t="inlineStr">
        <is>
          <t>FINSPÅNG</t>
        </is>
      </c>
      <c r="G954" t="n">
        <v>0.6</v>
      </c>
      <c r="H954" t="n">
        <v>0</v>
      </c>
      <c r="I954" t="n">
        <v>0</v>
      </c>
      <c r="J954" t="n">
        <v>0</v>
      </c>
      <c r="K954" t="n">
        <v>0</v>
      </c>
      <c r="L954" t="n">
        <v>0</v>
      </c>
      <c r="M954" t="n">
        <v>0</v>
      </c>
      <c r="N954" t="n">
        <v>0</v>
      </c>
      <c r="O954" t="n">
        <v>0</v>
      </c>
      <c r="P954" t="n">
        <v>0</v>
      </c>
      <c r="Q954" t="n">
        <v>0</v>
      </c>
      <c r="R954" s="2" t="inlineStr"/>
    </row>
    <row r="955" ht="15" customHeight="1">
      <c r="A955" t="inlineStr">
        <is>
          <t>A 62574-2021</t>
        </is>
      </c>
      <c r="B955" s="1" t="n">
        <v>44503</v>
      </c>
      <c r="C955" s="1" t="n">
        <v>46093</v>
      </c>
      <c r="D955" t="inlineStr">
        <is>
          <t>ÖSTERGÖTLANDS LÄN</t>
        </is>
      </c>
      <c r="E955" t="inlineStr">
        <is>
          <t>NORRKÖPING</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17633-2021</t>
        </is>
      </c>
      <c r="B956" s="1" t="n">
        <v>44300</v>
      </c>
      <c r="C956" s="1" t="n">
        <v>46093</v>
      </c>
      <c r="D956" t="inlineStr">
        <is>
          <t>ÖSTERGÖTLANDS LÄN</t>
        </is>
      </c>
      <c r="E956" t="inlineStr">
        <is>
          <t>NORRKÖPING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17636-2021</t>
        </is>
      </c>
      <c r="B957" s="1" t="n">
        <v>44300</v>
      </c>
      <c r="C957" s="1" t="n">
        <v>46093</v>
      </c>
      <c r="D957" t="inlineStr">
        <is>
          <t>ÖSTERGÖTLANDS LÄN</t>
        </is>
      </c>
      <c r="E957" t="inlineStr">
        <is>
          <t>NORRKÖPING</t>
        </is>
      </c>
      <c r="G957" t="n">
        <v>0</v>
      </c>
      <c r="H957" t="n">
        <v>0</v>
      </c>
      <c r="I957" t="n">
        <v>0</v>
      </c>
      <c r="J957" t="n">
        <v>0</v>
      </c>
      <c r="K957" t="n">
        <v>0</v>
      </c>
      <c r="L957" t="n">
        <v>0</v>
      </c>
      <c r="M957" t="n">
        <v>0</v>
      </c>
      <c r="N957" t="n">
        <v>0</v>
      </c>
      <c r="O957" t="n">
        <v>0</v>
      </c>
      <c r="P957" t="n">
        <v>0</v>
      </c>
      <c r="Q957" t="n">
        <v>0</v>
      </c>
      <c r="R957" s="2" t="inlineStr"/>
    </row>
    <row r="958" ht="15" customHeight="1">
      <c r="A958" t="inlineStr">
        <is>
          <t>A 51261-2021</t>
        </is>
      </c>
      <c r="B958" s="1" t="n">
        <v>44461</v>
      </c>
      <c r="C958" s="1" t="n">
        <v>46093</v>
      </c>
      <c r="D958" t="inlineStr">
        <is>
          <t>ÖSTERGÖTLANDS LÄN</t>
        </is>
      </c>
      <c r="E958" t="inlineStr">
        <is>
          <t>BOXHOLM</t>
        </is>
      </c>
      <c r="G958" t="n">
        <v>0.5</v>
      </c>
      <c r="H958" t="n">
        <v>0</v>
      </c>
      <c r="I958" t="n">
        <v>0</v>
      </c>
      <c r="J958" t="n">
        <v>0</v>
      </c>
      <c r="K958" t="n">
        <v>0</v>
      </c>
      <c r="L958" t="n">
        <v>0</v>
      </c>
      <c r="M958" t="n">
        <v>0</v>
      </c>
      <c r="N958" t="n">
        <v>0</v>
      </c>
      <c r="O958" t="n">
        <v>0</v>
      </c>
      <c r="P958" t="n">
        <v>0</v>
      </c>
      <c r="Q958" t="n">
        <v>0</v>
      </c>
      <c r="R958" s="2" t="inlineStr"/>
    </row>
    <row r="959" ht="15" customHeight="1">
      <c r="A959" t="inlineStr">
        <is>
          <t>A 6793-2022</t>
        </is>
      </c>
      <c r="B959" s="1" t="n">
        <v>44602.56170138889</v>
      </c>
      <c r="C959" s="1" t="n">
        <v>46093</v>
      </c>
      <c r="D959" t="inlineStr">
        <is>
          <t>ÖSTERGÖTLANDS LÄN</t>
        </is>
      </c>
      <c r="E959" t="inlineStr">
        <is>
          <t>MOTALA</t>
        </is>
      </c>
      <c r="G959" t="n">
        <v>6</v>
      </c>
      <c r="H959" t="n">
        <v>0</v>
      </c>
      <c r="I959" t="n">
        <v>0</v>
      </c>
      <c r="J959" t="n">
        <v>0</v>
      </c>
      <c r="K959" t="n">
        <v>0</v>
      </c>
      <c r="L959" t="n">
        <v>0</v>
      </c>
      <c r="M959" t="n">
        <v>0</v>
      </c>
      <c r="N959" t="n">
        <v>0</v>
      </c>
      <c r="O959" t="n">
        <v>0</v>
      </c>
      <c r="P959" t="n">
        <v>0</v>
      </c>
      <c r="Q959" t="n">
        <v>0</v>
      </c>
      <c r="R959" s="2" t="inlineStr"/>
    </row>
    <row r="960" ht="15" customHeight="1">
      <c r="A960" t="inlineStr">
        <is>
          <t>A 51448-2021</t>
        </is>
      </c>
      <c r="B960" s="1" t="n">
        <v>44462</v>
      </c>
      <c r="C960" s="1" t="n">
        <v>46093</v>
      </c>
      <c r="D960" t="inlineStr">
        <is>
          <t>ÖSTERGÖTLANDS LÄN</t>
        </is>
      </c>
      <c r="E960" t="inlineStr">
        <is>
          <t>FINSPÅNG</t>
        </is>
      </c>
      <c r="G960" t="n">
        <v>0.6</v>
      </c>
      <c r="H960" t="n">
        <v>0</v>
      </c>
      <c r="I960" t="n">
        <v>0</v>
      </c>
      <c r="J960" t="n">
        <v>0</v>
      </c>
      <c r="K960" t="n">
        <v>0</v>
      </c>
      <c r="L960" t="n">
        <v>0</v>
      </c>
      <c r="M960" t="n">
        <v>0</v>
      </c>
      <c r="N960" t="n">
        <v>0</v>
      </c>
      <c r="O960" t="n">
        <v>0</v>
      </c>
      <c r="P960" t="n">
        <v>0</v>
      </c>
      <c r="Q960" t="n">
        <v>0</v>
      </c>
      <c r="R960" s="2" t="inlineStr"/>
    </row>
    <row r="961" ht="15" customHeight="1">
      <c r="A961" t="inlineStr">
        <is>
          <t>A 45067-2021</t>
        </is>
      </c>
      <c r="B961" s="1" t="n">
        <v>44439</v>
      </c>
      <c r="C961" s="1" t="n">
        <v>46093</v>
      </c>
      <c r="D961" t="inlineStr">
        <is>
          <t>ÖSTERGÖTLANDS LÄN</t>
        </is>
      </c>
      <c r="E961" t="inlineStr">
        <is>
          <t>ÅTVIDABERG</t>
        </is>
      </c>
      <c r="G961" t="n">
        <v>2.6</v>
      </c>
      <c r="H961" t="n">
        <v>0</v>
      </c>
      <c r="I961" t="n">
        <v>0</v>
      </c>
      <c r="J961" t="n">
        <v>0</v>
      </c>
      <c r="K961" t="n">
        <v>0</v>
      </c>
      <c r="L961" t="n">
        <v>0</v>
      </c>
      <c r="M961" t="n">
        <v>0</v>
      </c>
      <c r="N961" t="n">
        <v>0</v>
      </c>
      <c r="O961" t="n">
        <v>0</v>
      </c>
      <c r="P961" t="n">
        <v>0</v>
      </c>
      <c r="Q961" t="n">
        <v>0</v>
      </c>
      <c r="R961" s="2" t="inlineStr"/>
    </row>
    <row r="962" ht="15" customHeight="1">
      <c r="A962" t="inlineStr">
        <is>
          <t>A 24362-2021</t>
        </is>
      </c>
      <c r="B962" s="1" t="n">
        <v>44337</v>
      </c>
      <c r="C962" s="1" t="n">
        <v>46093</v>
      </c>
      <c r="D962" t="inlineStr">
        <is>
          <t>ÖSTERGÖTLANDS LÄN</t>
        </is>
      </c>
      <c r="E962" t="inlineStr">
        <is>
          <t>KINDA</t>
        </is>
      </c>
      <c r="G962" t="n">
        <v>4.1</v>
      </c>
      <c r="H962" t="n">
        <v>0</v>
      </c>
      <c r="I962" t="n">
        <v>0</v>
      </c>
      <c r="J962" t="n">
        <v>0</v>
      </c>
      <c r="K962" t="n">
        <v>0</v>
      </c>
      <c r="L962" t="n">
        <v>0</v>
      </c>
      <c r="M962" t="n">
        <v>0</v>
      </c>
      <c r="N962" t="n">
        <v>0</v>
      </c>
      <c r="O962" t="n">
        <v>0</v>
      </c>
      <c r="P962" t="n">
        <v>0</v>
      </c>
      <c r="Q962" t="n">
        <v>0</v>
      </c>
      <c r="R962" s="2" t="inlineStr"/>
    </row>
    <row r="963" ht="15" customHeight="1">
      <c r="A963" t="inlineStr">
        <is>
          <t>A 24370-2021</t>
        </is>
      </c>
      <c r="B963" s="1" t="n">
        <v>44337</v>
      </c>
      <c r="C963" s="1" t="n">
        <v>46093</v>
      </c>
      <c r="D963" t="inlineStr">
        <is>
          <t>ÖSTERGÖTLANDS LÄN</t>
        </is>
      </c>
      <c r="E963" t="inlineStr">
        <is>
          <t>KINDA</t>
        </is>
      </c>
      <c r="G963" t="n">
        <v>1.3</v>
      </c>
      <c r="H963" t="n">
        <v>0</v>
      </c>
      <c r="I963" t="n">
        <v>0</v>
      </c>
      <c r="J963" t="n">
        <v>0</v>
      </c>
      <c r="K963" t="n">
        <v>0</v>
      </c>
      <c r="L963" t="n">
        <v>0</v>
      </c>
      <c r="M963" t="n">
        <v>0</v>
      </c>
      <c r="N963" t="n">
        <v>0</v>
      </c>
      <c r="O963" t="n">
        <v>0</v>
      </c>
      <c r="P963" t="n">
        <v>0</v>
      </c>
      <c r="Q963" t="n">
        <v>0</v>
      </c>
      <c r="R963" s="2" t="inlineStr"/>
    </row>
    <row r="964" ht="15" customHeight="1">
      <c r="A964" t="inlineStr">
        <is>
          <t>A 10678-2022</t>
        </is>
      </c>
      <c r="B964" s="1" t="n">
        <v>44624.65938657407</v>
      </c>
      <c r="C964" s="1" t="n">
        <v>46093</v>
      </c>
      <c r="D964" t="inlineStr">
        <is>
          <t>ÖSTERGÖTLANDS LÄN</t>
        </is>
      </c>
      <c r="E964" t="inlineStr">
        <is>
          <t>MOTALA</t>
        </is>
      </c>
      <c r="G964" t="n">
        <v>0.5</v>
      </c>
      <c r="H964" t="n">
        <v>0</v>
      </c>
      <c r="I964" t="n">
        <v>0</v>
      </c>
      <c r="J964" t="n">
        <v>0</v>
      </c>
      <c r="K964" t="n">
        <v>0</v>
      </c>
      <c r="L964" t="n">
        <v>0</v>
      </c>
      <c r="M964" t="n">
        <v>0</v>
      </c>
      <c r="N964" t="n">
        <v>0</v>
      </c>
      <c r="O964" t="n">
        <v>0</v>
      </c>
      <c r="P964" t="n">
        <v>0</v>
      </c>
      <c r="Q964" t="n">
        <v>0</v>
      </c>
      <c r="R964" s="2" t="inlineStr"/>
    </row>
    <row r="965" ht="15" customHeight="1">
      <c r="A965" t="inlineStr">
        <is>
          <t>A 4145-2022</t>
        </is>
      </c>
      <c r="B965" s="1" t="n">
        <v>44588.48373842592</v>
      </c>
      <c r="C965" s="1" t="n">
        <v>46093</v>
      </c>
      <c r="D965" t="inlineStr">
        <is>
          <t>ÖSTERGÖTLANDS LÄN</t>
        </is>
      </c>
      <c r="E965" t="inlineStr">
        <is>
          <t>MOTALA</t>
        </is>
      </c>
      <c r="G965" t="n">
        <v>5.8</v>
      </c>
      <c r="H965" t="n">
        <v>0</v>
      </c>
      <c r="I965" t="n">
        <v>0</v>
      </c>
      <c r="J965" t="n">
        <v>0</v>
      </c>
      <c r="K965" t="n">
        <v>0</v>
      </c>
      <c r="L965" t="n">
        <v>0</v>
      </c>
      <c r="M965" t="n">
        <v>0</v>
      </c>
      <c r="N965" t="n">
        <v>0</v>
      </c>
      <c r="O965" t="n">
        <v>0</v>
      </c>
      <c r="P965" t="n">
        <v>0</v>
      </c>
      <c r="Q965" t="n">
        <v>0</v>
      </c>
      <c r="R965" s="2" t="inlineStr"/>
    </row>
    <row r="966" ht="15" customHeight="1">
      <c r="A966" t="inlineStr">
        <is>
          <t>A 50558-2021</t>
        </is>
      </c>
      <c r="B966" s="1" t="n">
        <v>44459</v>
      </c>
      <c r="C966" s="1" t="n">
        <v>46093</v>
      </c>
      <c r="D966" t="inlineStr">
        <is>
          <t>ÖSTERGÖTLANDS LÄN</t>
        </is>
      </c>
      <c r="E966" t="inlineStr">
        <is>
          <t>NORRKÖPING</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53331-2022</t>
        </is>
      </c>
      <c r="B967" s="1" t="n">
        <v>44879.30949074074</v>
      </c>
      <c r="C967" s="1" t="n">
        <v>46093</v>
      </c>
      <c r="D967" t="inlineStr">
        <is>
          <t>ÖSTERGÖTLANDS LÄN</t>
        </is>
      </c>
      <c r="E967" t="inlineStr">
        <is>
          <t>YDRE</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53373-2022</t>
        </is>
      </c>
      <c r="B968" s="1" t="n">
        <v>44879</v>
      </c>
      <c r="C968" s="1" t="n">
        <v>46093</v>
      </c>
      <c r="D968" t="inlineStr">
        <is>
          <t>ÖSTERGÖTLANDS LÄN</t>
        </is>
      </c>
      <c r="E968" t="inlineStr">
        <is>
          <t>YDRE</t>
        </is>
      </c>
      <c r="G968" t="n">
        <v>0.9</v>
      </c>
      <c r="H968" t="n">
        <v>0</v>
      </c>
      <c r="I968" t="n">
        <v>0</v>
      </c>
      <c r="J968" t="n">
        <v>0</v>
      </c>
      <c r="K968" t="n">
        <v>0</v>
      </c>
      <c r="L968" t="n">
        <v>0</v>
      </c>
      <c r="M968" t="n">
        <v>0</v>
      </c>
      <c r="N968" t="n">
        <v>0</v>
      </c>
      <c r="O968" t="n">
        <v>0</v>
      </c>
      <c r="P968" t="n">
        <v>0</v>
      </c>
      <c r="Q968" t="n">
        <v>0</v>
      </c>
      <c r="R968" s="2" t="inlineStr"/>
    </row>
    <row r="969" ht="15" customHeight="1">
      <c r="A969" t="inlineStr">
        <is>
          <t>A 53383-2022</t>
        </is>
      </c>
      <c r="B969" s="1" t="n">
        <v>44879</v>
      </c>
      <c r="C969" s="1" t="n">
        <v>46093</v>
      </c>
      <c r="D969" t="inlineStr">
        <is>
          <t>ÖSTERGÖTLANDS LÄN</t>
        </is>
      </c>
      <c r="E969" t="inlineStr">
        <is>
          <t>YDRE</t>
        </is>
      </c>
      <c r="G969" t="n">
        <v>0.7</v>
      </c>
      <c r="H969" t="n">
        <v>0</v>
      </c>
      <c r="I969" t="n">
        <v>0</v>
      </c>
      <c r="J969" t="n">
        <v>0</v>
      </c>
      <c r="K969" t="n">
        <v>0</v>
      </c>
      <c r="L969" t="n">
        <v>0</v>
      </c>
      <c r="M969" t="n">
        <v>0</v>
      </c>
      <c r="N969" t="n">
        <v>0</v>
      </c>
      <c r="O969" t="n">
        <v>0</v>
      </c>
      <c r="P969" t="n">
        <v>0</v>
      </c>
      <c r="Q969" t="n">
        <v>0</v>
      </c>
      <c r="R969" s="2" t="inlineStr"/>
    </row>
    <row r="970" ht="15" customHeight="1">
      <c r="A970" t="inlineStr">
        <is>
          <t>A 46416-2021</t>
        </is>
      </c>
      <c r="B970" s="1" t="n">
        <v>44442</v>
      </c>
      <c r="C970" s="1" t="n">
        <v>46093</v>
      </c>
      <c r="D970" t="inlineStr">
        <is>
          <t>ÖSTERGÖTLANDS LÄN</t>
        </is>
      </c>
      <c r="E970" t="inlineStr">
        <is>
          <t>LINKÖPING</t>
        </is>
      </c>
      <c r="G970" t="n">
        <v>2.3</v>
      </c>
      <c r="H970" t="n">
        <v>0</v>
      </c>
      <c r="I970" t="n">
        <v>0</v>
      </c>
      <c r="J970" t="n">
        <v>0</v>
      </c>
      <c r="K970" t="n">
        <v>0</v>
      </c>
      <c r="L970" t="n">
        <v>0</v>
      </c>
      <c r="M970" t="n">
        <v>0</v>
      </c>
      <c r="N970" t="n">
        <v>0</v>
      </c>
      <c r="O970" t="n">
        <v>0</v>
      </c>
      <c r="P970" t="n">
        <v>0</v>
      </c>
      <c r="Q970" t="n">
        <v>0</v>
      </c>
      <c r="R970" s="2" t="inlineStr"/>
    </row>
    <row r="971" ht="15" customHeight="1">
      <c r="A971" t="inlineStr">
        <is>
          <t>A 58258-2021</t>
        </is>
      </c>
      <c r="B971" s="1" t="n">
        <v>44487</v>
      </c>
      <c r="C971" s="1" t="n">
        <v>46093</v>
      </c>
      <c r="D971" t="inlineStr">
        <is>
          <t>ÖSTERGÖTLANDS LÄN</t>
        </is>
      </c>
      <c r="E971" t="inlineStr">
        <is>
          <t>LINKÖPING</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48669-2022</t>
        </is>
      </c>
      <c r="B972" s="1" t="n">
        <v>44859</v>
      </c>
      <c r="C972" s="1" t="n">
        <v>46093</v>
      </c>
      <c r="D972" t="inlineStr">
        <is>
          <t>ÖSTERGÖTLANDS LÄN</t>
        </is>
      </c>
      <c r="E972" t="inlineStr">
        <is>
          <t>FINSPÅNG</t>
        </is>
      </c>
      <c r="G972" t="n">
        <v>1.5</v>
      </c>
      <c r="H972" t="n">
        <v>0</v>
      </c>
      <c r="I972" t="n">
        <v>0</v>
      </c>
      <c r="J972" t="n">
        <v>0</v>
      </c>
      <c r="K972" t="n">
        <v>0</v>
      </c>
      <c r="L972" t="n">
        <v>0</v>
      </c>
      <c r="M972" t="n">
        <v>0</v>
      </c>
      <c r="N972" t="n">
        <v>0</v>
      </c>
      <c r="O972" t="n">
        <v>0</v>
      </c>
      <c r="P972" t="n">
        <v>0</v>
      </c>
      <c r="Q972" t="n">
        <v>0</v>
      </c>
      <c r="R972" s="2" t="inlineStr"/>
    </row>
    <row r="973" ht="15" customHeight="1">
      <c r="A973" t="inlineStr">
        <is>
          <t>A 47125-2021</t>
        </is>
      </c>
      <c r="B973" s="1" t="n">
        <v>44446</v>
      </c>
      <c r="C973" s="1" t="n">
        <v>46093</v>
      </c>
      <c r="D973" t="inlineStr">
        <is>
          <t>ÖSTERGÖTLANDS LÄN</t>
        </is>
      </c>
      <c r="E973" t="inlineStr">
        <is>
          <t>NORRKÖPING</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58287-2021</t>
        </is>
      </c>
      <c r="B974" s="1" t="n">
        <v>44487</v>
      </c>
      <c r="C974" s="1" t="n">
        <v>46093</v>
      </c>
      <c r="D974" t="inlineStr">
        <is>
          <t>ÖSTERGÖTLANDS LÄN</t>
        </is>
      </c>
      <c r="E974" t="inlineStr">
        <is>
          <t>LINKÖPING</t>
        </is>
      </c>
      <c r="F974" t="inlineStr">
        <is>
          <t>Övriga Aktiebolag</t>
        </is>
      </c>
      <c r="G974" t="n">
        <v>1.5</v>
      </c>
      <c r="H974" t="n">
        <v>0</v>
      </c>
      <c r="I974" t="n">
        <v>0</v>
      </c>
      <c r="J974" t="n">
        <v>0</v>
      </c>
      <c r="K974" t="n">
        <v>0</v>
      </c>
      <c r="L974" t="n">
        <v>0</v>
      </c>
      <c r="M974" t="n">
        <v>0</v>
      </c>
      <c r="N974" t="n">
        <v>0</v>
      </c>
      <c r="O974" t="n">
        <v>0</v>
      </c>
      <c r="P974" t="n">
        <v>0</v>
      </c>
      <c r="Q974" t="n">
        <v>0</v>
      </c>
      <c r="R974" s="2" t="inlineStr"/>
    </row>
    <row r="975" ht="15" customHeight="1">
      <c r="A975" t="inlineStr">
        <is>
          <t>A 53741-2021</t>
        </is>
      </c>
      <c r="B975" s="1" t="n">
        <v>44469</v>
      </c>
      <c r="C975" s="1" t="n">
        <v>46093</v>
      </c>
      <c r="D975" t="inlineStr">
        <is>
          <t>ÖSTERGÖTLANDS LÄN</t>
        </is>
      </c>
      <c r="E975" t="inlineStr">
        <is>
          <t>FINSPÅNG</t>
        </is>
      </c>
      <c r="G975" t="n">
        <v>1.9</v>
      </c>
      <c r="H975" t="n">
        <v>0</v>
      </c>
      <c r="I975" t="n">
        <v>0</v>
      </c>
      <c r="J975" t="n">
        <v>0</v>
      </c>
      <c r="K975" t="n">
        <v>0</v>
      </c>
      <c r="L975" t="n">
        <v>0</v>
      </c>
      <c r="M975" t="n">
        <v>0</v>
      </c>
      <c r="N975" t="n">
        <v>0</v>
      </c>
      <c r="O975" t="n">
        <v>0</v>
      </c>
      <c r="P975" t="n">
        <v>0</v>
      </c>
      <c r="Q975" t="n">
        <v>0</v>
      </c>
      <c r="R975" s="2" t="inlineStr"/>
    </row>
    <row r="976" ht="15" customHeight="1">
      <c r="A976" t="inlineStr">
        <is>
          <t>A 53360-2021</t>
        </is>
      </c>
      <c r="B976" s="1" t="n">
        <v>44468</v>
      </c>
      <c r="C976" s="1" t="n">
        <v>46093</v>
      </c>
      <c r="D976" t="inlineStr">
        <is>
          <t>ÖSTERGÖTLANDS LÄN</t>
        </is>
      </c>
      <c r="E976" t="inlineStr">
        <is>
          <t>YDRE</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53660-2021</t>
        </is>
      </c>
      <c r="B977" s="1" t="n">
        <v>44469</v>
      </c>
      <c r="C977" s="1" t="n">
        <v>46093</v>
      </c>
      <c r="D977" t="inlineStr">
        <is>
          <t>ÖSTERGÖTLANDS LÄN</t>
        </is>
      </c>
      <c r="E977" t="inlineStr">
        <is>
          <t>LINKÖPING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14911-2021</t>
        </is>
      </c>
      <c r="B978" s="1" t="n">
        <v>44281</v>
      </c>
      <c r="C978" s="1" t="n">
        <v>46093</v>
      </c>
      <c r="D978" t="inlineStr">
        <is>
          <t>ÖSTERGÖTLANDS LÄN</t>
        </is>
      </c>
      <c r="E978" t="inlineStr">
        <is>
          <t>VALDEMARSVIK</t>
        </is>
      </c>
      <c r="G978" t="n">
        <v>0.7</v>
      </c>
      <c r="H978" t="n">
        <v>0</v>
      </c>
      <c r="I978" t="n">
        <v>0</v>
      </c>
      <c r="J978" t="n">
        <v>0</v>
      </c>
      <c r="K978" t="n">
        <v>0</v>
      </c>
      <c r="L978" t="n">
        <v>0</v>
      </c>
      <c r="M978" t="n">
        <v>0</v>
      </c>
      <c r="N978" t="n">
        <v>0</v>
      </c>
      <c r="O978" t="n">
        <v>0</v>
      </c>
      <c r="P978" t="n">
        <v>0</v>
      </c>
      <c r="Q978" t="n">
        <v>0</v>
      </c>
      <c r="R978" s="2" t="inlineStr"/>
    </row>
    <row r="979" ht="15" customHeight="1">
      <c r="A979" t="inlineStr">
        <is>
          <t>A 65795-2021</t>
        </is>
      </c>
      <c r="B979" s="1" t="n">
        <v>44516</v>
      </c>
      <c r="C979" s="1" t="n">
        <v>46093</v>
      </c>
      <c r="D979" t="inlineStr">
        <is>
          <t>ÖSTERGÖTLANDS LÄN</t>
        </is>
      </c>
      <c r="E979" t="inlineStr">
        <is>
          <t>YDRE</t>
        </is>
      </c>
      <c r="G979" t="n">
        <v>6.5</v>
      </c>
      <c r="H979" t="n">
        <v>0</v>
      </c>
      <c r="I979" t="n">
        <v>0</v>
      </c>
      <c r="J979" t="n">
        <v>0</v>
      </c>
      <c r="K979" t="n">
        <v>0</v>
      </c>
      <c r="L979" t="n">
        <v>0</v>
      </c>
      <c r="M979" t="n">
        <v>0</v>
      </c>
      <c r="N979" t="n">
        <v>0</v>
      </c>
      <c r="O979" t="n">
        <v>0</v>
      </c>
      <c r="P979" t="n">
        <v>0</v>
      </c>
      <c r="Q979" t="n">
        <v>0</v>
      </c>
      <c r="R979" s="2" t="inlineStr"/>
    </row>
    <row r="980" ht="15" customHeight="1">
      <c r="A980" t="inlineStr">
        <is>
          <t>A 52957-2021</t>
        </is>
      </c>
      <c r="B980" s="1" t="n">
        <v>44467.60280092592</v>
      </c>
      <c r="C980" s="1" t="n">
        <v>46093</v>
      </c>
      <c r="D980" t="inlineStr">
        <is>
          <t>ÖSTERGÖTLANDS LÄN</t>
        </is>
      </c>
      <c r="E980" t="inlineStr">
        <is>
          <t>KINDA</t>
        </is>
      </c>
      <c r="G980" t="n">
        <v>1.2</v>
      </c>
      <c r="H980" t="n">
        <v>0</v>
      </c>
      <c r="I980" t="n">
        <v>0</v>
      </c>
      <c r="J980" t="n">
        <v>0</v>
      </c>
      <c r="K980" t="n">
        <v>0</v>
      </c>
      <c r="L980" t="n">
        <v>0</v>
      </c>
      <c r="M980" t="n">
        <v>0</v>
      </c>
      <c r="N980" t="n">
        <v>0</v>
      </c>
      <c r="O980" t="n">
        <v>0</v>
      </c>
      <c r="P980" t="n">
        <v>0</v>
      </c>
      <c r="Q980" t="n">
        <v>0</v>
      </c>
      <c r="R980" s="2" t="inlineStr"/>
    </row>
    <row r="981" ht="15" customHeight="1">
      <c r="A981" t="inlineStr">
        <is>
          <t>A 52966-2021</t>
        </is>
      </c>
      <c r="B981" s="1" t="n">
        <v>44467</v>
      </c>
      <c r="C981" s="1" t="n">
        <v>46093</v>
      </c>
      <c r="D981" t="inlineStr">
        <is>
          <t>ÖSTERGÖTLANDS LÄN</t>
        </is>
      </c>
      <c r="E981" t="inlineStr">
        <is>
          <t>LINKÖPING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21577-2021</t>
        </is>
      </c>
      <c r="B982" s="1" t="n">
        <v>44321</v>
      </c>
      <c r="C982" s="1" t="n">
        <v>46093</v>
      </c>
      <c r="D982" t="inlineStr">
        <is>
          <t>ÖSTERGÖTLANDS LÄN</t>
        </is>
      </c>
      <c r="E982" t="inlineStr">
        <is>
          <t>NORRKÖPING</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16756-2021</t>
        </is>
      </c>
      <c r="B983" s="1" t="n">
        <v>44294.74578703703</v>
      </c>
      <c r="C983" s="1" t="n">
        <v>46093</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25305-2021</t>
        </is>
      </c>
      <c r="B984" s="1" t="n">
        <v>44342</v>
      </c>
      <c r="C984" s="1" t="n">
        <v>46093</v>
      </c>
      <c r="D984" t="inlineStr">
        <is>
          <t>ÖSTERGÖTLANDS LÄN</t>
        </is>
      </c>
      <c r="E984" t="inlineStr">
        <is>
          <t>LINKÖPING</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50306-2021</t>
        </is>
      </c>
      <c r="B985" s="1" t="n">
        <v>44459</v>
      </c>
      <c r="C985" s="1" t="n">
        <v>46093</v>
      </c>
      <c r="D985" t="inlineStr">
        <is>
          <t>ÖSTERGÖTLANDS LÄN</t>
        </is>
      </c>
      <c r="E985" t="inlineStr">
        <is>
          <t>NORRKÖPING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53366-2022</t>
        </is>
      </c>
      <c r="B986" s="1" t="n">
        <v>44879.39153935185</v>
      </c>
      <c r="C986" s="1" t="n">
        <v>46093</v>
      </c>
      <c r="D986" t="inlineStr">
        <is>
          <t>ÖSTERGÖTLANDS LÄN</t>
        </is>
      </c>
      <c r="E986" t="inlineStr">
        <is>
          <t>NORRKÖPING</t>
        </is>
      </c>
      <c r="F986" t="inlineStr">
        <is>
          <t>Allmännings- och besparingsskogar</t>
        </is>
      </c>
      <c r="G986" t="n">
        <v>0.9</v>
      </c>
      <c r="H986" t="n">
        <v>0</v>
      </c>
      <c r="I986" t="n">
        <v>0</v>
      </c>
      <c r="J986" t="n">
        <v>0</v>
      </c>
      <c r="K986" t="n">
        <v>0</v>
      </c>
      <c r="L986" t="n">
        <v>0</v>
      </c>
      <c r="M986" t="n">
        <v>0</v>
      </c>
      <c r="N986" t="n">
        <v>0</v>
      </c>
      <c r="O986" t="n">
        <v>0</v>
      </c>
      <c r="P986" t="n">
        <v>0</v>
      </c>
      <c r="Q986" t="n">
        <v>0</v>
      </c>
      <c r="R986" s="2" t="inlineStr"/>
    </row>
    <row r="987" ht="15" customHeight="1">
      <c r="A987" t="inlineStr">
        <is>
          <t>A 52661-2021</t>
        </is>
      </c>
      <c r="B987" s="1" t="n">
        <v>44466.67244212963</v>
      </c>
      <c r="C987" s="1" t="n">
        <v>46093</v>
      </c>
      <c r="D987" t="inlineStr">
        <is>
          <t>ÖSTERGÖTLANDS LÄN</t>
        </is>
      </c>
      <c r="E987" t="inlineStr">
        <is>
          <t>KINDA</t>
        </is>
      </c>
      <c r="G987" t="n">
        <v>3</v>
      </c>
      <c r="H987" t="n">
        <v>0</v>
      </c>
      <c r="I987" t="n">
        <v>0</v>
      </c>
      <c r="J987" t="n">
        <v>0</v>
      </c>
      <c r="K987" t="n">
        <v>0</v>
      </c>
      <c r="L987" t="n">
        <v>0</v>
      </c>
      <c r="M987" t="n">
        <v>0</v>
      </c>
      <c r="N987" t="n">
        <v>0</v>
      </c>
      <c r="O987" t="n">
        <v>0</v>
      </c>
      <c r="P987" t="n">
        <v>0</v>
      </c>
      <c r="Q987" t="n">
        <v>0</v>
      </c>
      <c r="R987" s="2" t="inlineStr"/>
    </row>
    <row r="988" ht="15" customHeight="1">
      <c r="A988" t="inlineStr">
        <is>
          <t>A 52665-2021</t>
        </is>
      </c>
      <c r="B988" s="1" t="n">
        <v>44466.67746527777</v>
      </c>
      <c r="C988" s="1" t="n">
        <v>46093</v>
      </c>
      <c r="D988" t="inlineStr">
        <is>
          <t>ÖSTERGÖTLANDS LÄN</t>
        </is>
      </c>
      <c r="E988" t="inlineStr">
        <is>
          <t>KINDA</t>
        </is>
      </c>
      <c r="G988" t="n">
        <v>0.7</v>
      </c>
      <c r="H988" t="n">
        <v>0</v>
      </c>
      <c r="I988" t="n">
        <v>0</v>
      </c>
      <c r="J988" t="n">
        <v>0</v>
      </c>
      <c r="K988" t="n">
        <v>0</v>
      </c>
      <c r="L988" t="n">
        <v>0</v>
      </c>
      <c r="M988" t="n">
        <v>0</v>
      </c>
      <c r="N988" t="n">
        <v>0</v>
      </c>
      <c r="O988" t="n">
        <v>0</v>
      </c>
      <c r="P988" t="n">
        <v>0</v>
      </c>
      <c r="Q988" t="n">
        <v>0</v>
      </c>
      <c r="R988" s="2" t="inlineStr"/>
    </row>
    <row r="989" ht="15" customHeight="1">
      <c r="A989" t="inlineStr">
        <is>
          <t>A 26546-2021</t>
        </is>
      </c>
      <c r="B989" s="1" t="n">
        <v>44348</v>
      </c>
      <c r="C989" s="1" t="n">
        <v>46093</v>
      </c>
      <c r="D989" t="inlineStr">
        <is>
          <t>ÖSTERGÖTLANDS LÄN</t>
        </is>
      </c>
      <c r="E989" t="inlineStr">
        <is>
          <t>MOTALA</t>
        </is>
      </c>
      <c r="G989" t="n">
        <v>3.5</v>
      </c>
      <c r="H989" t="n">
        <v>0</v>
      </c>
      <c r="I989" t="n">
        <v>0</v>
      </c>
      <c r="J989" t="n">
        <v>0</v>
      </c>
      <c r="K989" t="n">
        <v>0</v>
      </c>
      <c r="L989" t="n">
        <v>0</v>
      </c>
      <c r="M989" t="n">
        <v>0</v>
      </c>
      <c r="N989" t="n">
        <v>0</v>
      </c>
      <c r="O989" t="n">
        <v>0</v>
      </c>
      <c r="P989" t="n">
        <v>0</v>
      </c>
      <c r="Q989" t="n">
        <v>0</v>
      </c>
      <c r="R989" s="2" t="inlineStr"/>
    </row>
    <row r="990" ht="15" customHeight="1">
      <c r="A990" t="inlineStr">
        <is>
          <t>A 71768-2021</t>
        </is>
      </c>
      <c r="B990" s="1" t="n">
        <v>44543</v>
      </c>
      <c r="C990" s="1" t="n">
        <v>46093</v>
      </c>
      <c r="D990" t="inlineStr">
        <is>
          <t>ÖSTERGÖTLANDS LÄN</t>
        </is>
      </c>
      <c r="E990" t="inlineStr">
        <is>
          <t>ÅTVIDABERG</t>
        </is>
      </c>
      <c r="G990" t="n">
        <v>0.6</v>
      </c>
      <c r="H990" t="n">
        <v>0</v>
      </c>
      <c r="I990" t="n">
        <v>0</v>
      </c>
      <c r="J990" t="n">
        <v>0</v>
      </c>
      <c r="K990" t="n">
        <v>0</v>
      </c>
      <c r="L990" t="n">
        <v>0</v>
      </c>
      <c r="M990" t="n">
        <v>0</v>
      </c>
      <c r="N990" t="n">
        <v>0</v>
      </c>
      <c r="O990" t="n">
        <v>0</v>
      </c>
      <c r="P990" t="n">
        <v>0</v>
      </c>
      <c r="Q990" t="n">
        <v>0</v>
      </c>
      <c r="R990" s="2" t="inlineStr"/>
    </row>
    <row r="991" ht="15" customHeight="1">
      <c r="A991" t="inlineStr">
        <is>
          <t>A 34166-2021</t>
        </is>
      </c>
      <c r="B991" s="1" t="n">
        <v>44379</v>
      </c>
      <c r="C991" s="1" t="n">
        <v>46093</v>
      </c>
      <c r="D991" t="inlineStr">
        <is>
          <t>ÖSTERGÖTLANDS LÄN</t>
        </is>
      </c>
      <c r="E991" t="inlineStr">
        <is>
          <t>SÖDERKÖPING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72285-2021</t>
        </is>
      </c>
      <c r="B992" s="1" t="n">
        <v>44545.36984953703</v>
      </c>
      <c r="C992" s="1" t="n">
        <v>46093</v>
      </c>
      <c r="D992" t="inlineStr">
        <is>
          <t>ÖSTERGÖTLANDS LÄN</t>
        </is>
      </c>
      <c r="E992" t="inlineStr">
        <is>
          <t>BOXHOLM</t>
        </is>
      </c>
      <c r="G992" t="n">
        <v>0.5</v>
      </c>
      <c r="H992" t="n">
        <v>0</v>
      </c>
      <c r="I992" t="n">
        <v>0</v>
      </c>
      <c r="J992" t="n">
        <v>0</v>
      </c>
      <c r="K992" t="n">
        <v>0</v>
      </c>
      <c r="L992" t="n">
        <v>0</v>
      </c>
      <c r="M992" t="n">
        <v>0</v>
      </c>
      <c r="N992" t="n">
        <v>0</v>
      </c>
      <c r="O992" t="n">
        <v>0</v>
      </c>
      <c r="P992" t="n">
        <v>0</v>
      </c>
      <c r="Q992" t="n">
        <v>0</v>
      </c>
      <c r="R992" s="2" t="inlineStr"/>
    </row>
    <row r="993" ht="15" customHeight="1">
      <c r="A993" t="inlineStr">
        <is>
          <t>A 5622-2022</t>
        </is>
      </c>
      <c r="B993" s="1" t="n">
        <v>44595.73182870371</v>
      </c>
      <c r="C993" s="1" t="n">
        <v>46093</v>
      </c>
      <c r="D993" t="inlineStr">
        <is>
          <t>ÖSTERGÖTLANDS LÄN</t>
        </is>
      </c>
      <c r="E993" t="inlineStr">
        <is>
          <t>FINSPÅNG</t>
        </is>
      </c>
      <c r="G993" t="n">
        <v>0.3</v>
      </c>
      <c r="H993" t="n">
        <v>0</v>
      </c>
      <c r="I993" t="n">
        <v>0</v>
      </c>
      <c r="J993" t="n">
        <v>0</v>
      </c>
      <c r="K993" t="n">
        <v>0</v>
      </c>
      <c r="L993" t="n">
        <v>0</v>
      </c>
      <c r="M993" t="n">
        <v>0</v>
      </c>
      <c r="N993" t="n">
        <v>0</v>
      </c>
      <c r="O993" t="n">
        <v>0</v>
      </c>
      <c r="P993" t="n">
        <v>0</v>
      </c>
      <c r="Q993" t="n">
        <v>0</v>
      </c>
      <c r="R993" s="2" t="inlineStr"/>
    </row>
    <row r="994" ht="15" customHeight="1">
      <c r="A994" t="inlineStr">
        <is>
          <t>A 33687-2022</t>
        </is>
      </c>
      <c r="B994" s="1" t="n">
        <v>44789.66420138889</v>
      </c>
      <c r="C994" s="1" t="n">
        <v>46093</v>
      </c>
      <c r="D994" t="inlineStr">
        <is>
          <t>ÖSTERGÖTLANDS LÄN</t>
        </is>
      </c>
      <c r="E994" t="inlineStr">
        <is>
          <t>YDRE</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64622-2021</t>
        </is>
      </c>
      <c r="B995" s="1" t="n">
        <v>44511</v>
      </c>
      <c r="C995" s="1" t="n">
        <v>46093</v>
      </c>
      <c r="D995" t="inlineStr">
        <is>
          <t>ÖSTERGÖTLANDS LÄN</t>
        </is>
      </c>
      <c r="E995" t="inlineStr">
        <is>
          <t>ÖDESHÖG</t>
        </is>
      </c>
      <c r="G995" t="n">
        <v>1.8</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46093</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46093</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20629-2021</t>
        </is>
      </c>
      <c r="B998" s="1" t="n">
        <v>44316</v>
      </c>
      <c r="C998" s="1" t="n">
        <v>46093</v>
      </c>
      <c r="D998" t="inlineStr">
        <is>
          <t>ÖSTERGÖTLANDS LÄN</t>
        </is>
      </c>
      <c r="E998" t="inlineStr">
        <is>
          <t>YDRE</t>
        </is>
      </c>
      <c r="G998" t="n">
        <v>3.8</v>
      </c>
      <c r="H998" t="n">
        <v>0</v>
      </c>
      <c r="I998" t="n">
        <v>0</v>
      </c>
      <c r="J998" t="n">
        <v>0</v>
      </c>
      <c r="K998" t="n">
        <v>0</v>
      </c>
      <c r="L998" t="n">
        <v>0</v>
      </c>
      <c r="M998" t="n">
        <v>0</v>
      </c>
      <c r="N998" t="n">
        <v>0</v>
      </c>
      <c r="O998" t="n">
        <v>0</v>
      </c>
      <c r="P998" t="n">
        <v>0</v>
      </c>
      <c r="Q998" t="n">
        <v>0</v>
      </c>
      <c r="R998" s="2" t="inlineStr"/>
    </row>
    <row r="999" ht="15" customHeight="1">
      <c r="A999" t="inlineStr">
        <is>
          <t>A 23199-2021</t>
        </is>
      </c>
      <c r="B999" s="1" t="n">
        <v>44333</v>
      </c>
      <c r="C999" s="1" t="n">
        <v>46093</v>
      </c>
      <c r="D999" t="inlineStr">
        <is>
          <t>ÖSTERGÖTLANDS LÄN</t>
        </is>
      </c>
      <c r="E999" t="inlineStr">
        <is>
          <t>ÅTVIDABERG</t>
        </is>
      </c>
      <c r="F999" t="inlineStr">
        <is>
          <t>Övriga Aktiebolag</t>
        </is>
      </c>
      <c r="G999" t="n">
        <v>7.2</v>
      </c>
      <c r="H999" t="n">
        <v>0</v>
      </c>
      <c r="I999" t="n">
        <v>0</v>
      </c>
      <c r="J999" t="n">
        <v>0</v>
      </c>
      <c r="K999" t="n">
        <v>0</v>
      </c>
      <c r="L999" t="n">
        <v>0</v>
      </c>
      <c r="M999" t="n">
        <v>0</v>
      </c>
      <c r="N999" t="n">
        <v>0</v>
      </c>
      <c r="O999" t="n">
        <v>0</v>
      </c>
      <c r="P999" t="n">
        <v>0</v>
      </c>
      <c r="Q999" t="n">
        <v>0</v>
      </c>
      <c r="R999" s="2" t="inlineStr"/>
    </row>
    <row r="1000" ht="15" customHeight="1">
      <c r="A1000" t="inlineStr">
        <is>
          <t>A 23959-2021</t>
        </is>
      </c>
      <c r="B1000" s="1" t="n">
        <v>44335.6689699074</v>
      </c>
      <c r="C1000" s="1" t="n">
        <v>46093</v>
      </c>
      <c r="D1000" t="inlineStr">
        <is>
          <t>ÖSTERGÖTLANDS LÄN</t>
        </is>
      </c>
      <c r="E1000" t="inlineStr">
        <is>
          <t>MJÖLBY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46093</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28466-2021</t>
        </is>
      </c>
      <c r="B1002" s="1" t="n">
        <v>44356</v>
      </c>
      <c r="C1002" s="1" t="n">
        <v>46093</v>
      </c>
      <c r="D1002" t="inlineStr">
        <is>
          <t>ÖSTERGÖTLANDS LÄN</t>
        </is>
      </c>
      <c r="E1002" t="inlineStr">
        <is>
          <t>MOTALA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66028-2021</t>
        </is>
      </c>
      <c r="B1003" s="1" t="n">
        <v>44517.59907407407</v>
      </c>
      <c r="C1003" s="1" t="n">
        <v>46093</v>
      </c>
      <c r="D1003" t="inlineStr">
        <is>
          <t>ÖSTERGÖTLANDS LÄN</t>
        </is>
      </c>
      <c r="E1003" t="inlineStr">
        <is>
          <t>KINDA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32773-2021</t>
        </is>
      </c>
      <c r="B1004" s="1" t="n">
        <v>44375</v>
      </c>
      <c r="C1004" s="1" t="n">
        <v>46093</v>
      </c>
      <c r="D1004" t="inlineStr">
        <is>
          <t>ÖSTERGÖTLANDS LÄN</t>
        </is>
      </c>
      <c r="E1004" t="inlineStr">
        <is>
          <t>MJÖLBY</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73770-2021</t>
        </is>
      </c>
      <c r="B1005" s="1" t="n">
        <v>44552</v>
      </c>
      <c r="C1005" s="1" t="n">
        <v>46093</v>
      </c>
      <c r="D1005" t="inlineStr">
        <is>
          <t>ÖSTERGÖTLANDS LÄN</t>
        </is>
      </c>
      <c r="E1005" t="inlineStr">
        <is>
          <t>ÅTVIDABERG</t>
        </is>
      </c>
      <c r="F1005" t="inlineStr">
        <is>
          <t>Holmen skog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66190-2021</t>
        </is>
      </c>
      <c r="B1006" s="1" t="n">
        <v>44518.30800925926</v>
      </c>
      <c r="C1006" s="1" t="n">
        <v>46093</v>
      </c>
      <c r="D1006" t="inlineStr">
        <is>
          <t>ÖSTERGÖTLANDS LÄN</t>
        </is>
      </c>
      <c r="E1006" t="inlineStr">
        <is>
          <t>MOTALA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43165-2021</t>
        </is>
      </c>
      <c r="B1007" s="1" t="n">
        <v>44431</v>
      </c>
      <c r="C1007" s="1" t="n">
        <v>46093</v>
      </c>
      <c r="D1007" t="inlineStr">
        <is>
          <t>ÖSTERGÖTLANDS LÄN</t>
        </is>
      </c>
      <c r="E1007" t="inlineStr">
        <is>
          <t>FINSPÅNG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38130-2021</t>
        </is>
      </c>
      <c r="B1008" s="1" t="n">
        <v>44405</v>
      </c>
      <c r="C1008" s="1" t="n">
        <v>46093</v>
      </c>
      <c r="D1008" t="inlineStr">
        <is>
          <t>ÖSTERGÖTLANDS LÄN</t>
        </is>
      </c>
      <c r="E1008" t="inlineStr">
        <is>
          <t>LINKÖPING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55412-2021</t>
        </is>
      </c>
      <c r="B1009" s="1" t="n">
        <v>44475</v>
      </c>
      <c r="C1009" s="1" t="n">
        <v>46093</v>
      </c>
      <c r="D1009" t="inlineStr">
        <is>
          <t>ÖSTERGÖTLANDS LÄN</t>
        </is>
      </c>
      <c r="E1009" t="inlineStr">
        <is>
          <t>NORRKÖPING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55429-2021</t>
        </is>
      </c>
      <c r="B1010" s="1" t="n">
        <v>44475</v>
      </c>
      <c r="C1010" s="1" t="n">
        <v>46093</v>
      </c>
      <c r="D1010" t="inlineStr">
        <is>
          <t>ÖSTERGÖTLANDS LÄN</t>
        </is>
      </c>
      <c r="E1010" t="inlineStr">
        <is>
          <t>NORRKÖPING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118-2022</t>
        </is>
      </c>
      <c r="B1011" s="1" t="n">
        <v>44564.54900462963</v>
      </c>
      <c r="C1011" s="1" t="n">
        <v>46093</v>
      </c>
      <c r="D1011" t="inlineStr">
        <is>
          <t>ÖSTERGÖTLANDS LÄN</t>
        </is>
      </c>
      <c r="E1011" t="inlineStr">
        <is>
          <t>VALDEMARSVIK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261-2022</t>
        </is>
      </c>
      <c r="B1012" s="1" t="n">
        <v>44565</v>
      </c>
      <c r="C1012" s="1" t="n">
        <v>46093</v>
      </c>
      <c r="D1012" t="inlineStr">
        <is>
          <t>ÖSTERGÖTLANDS LÄN</t>
        </is>
      </c>
      <c r="E1012" t="inlineStr">
        <is>
          <t>MOTALA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8688-2022</t>
        </is>
      </c>
      <c r="B1013" s="1" t="n">
        <v>44613.69971064815</v>
      </c>
      <c r="C1013" s="1" t="n">
        <v>46093</v>
      </c>
      <c r="D1013" t="inlineStr">
        <is>
          <t>ÖSTERGÖTLANDS LÄN</t>
        </is>
      </c>
      <c r="E1013" t="inlineStr">
        <is>
          <t>VALDEMARSVIK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40527-2022</t>
        </is>
      </c>
      <c r="B1014" s="1" t="n">
        <v>44823</v>
      </c>
      <c r="C1014" s="1" t="n">
        <v>46093</v>
      </c>
      <c r="D1014" t="inlineStr">
        <is>
          <t>ÖSTERGÖTLANDS LÄN</t>
        </is>
      </c>
      <c r="E1014" t="inlineStr">
        <is>
          <t>LINKÖPING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69343-2021</t>
        </is>
      </c>
      <c r="B1015" s="1" t="n">
        <v>44531</v>
      </c>
      <c r="C1015" s="1" t="n">
        <v>46093</v>
      </c>
      <c r="D1015" t="inlineStr">
        <is>
          <t>ÖSTERGÖTLANDS LÄN</t>
        </is>
      </c>
      <c r="E1015" t="inlineStr">
        <is>
          <t>ÅTVIDABERG</t>
        </is>
      </c>
      <c r="F1015" t="inlineStr">
        <is>
          <t>Övriga Aktiebolag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66194-2021</t>
        </is>
      </c>
      <c r="B1016" s="1" t="n">
        <v>44518</v>
      </c>
      <c r="C1016" s="1" t="n">
        <v>46093</v>
      </c>
      <c r="D1016" t="inlineStr">
        <is>
          <t>ÖSTERGÖTLANDS LÄN</t>
        </is>
      </c>
      <c r="E1016" t="inlineStr">
        <is>
          <t>MOTALA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60286-2021</t>
        </is>
      </c>
      <c r="B1017" s="1" t="n">
        <v>44495</v>
      </c>
      <c r="C1017" s="1" t="n">
        <v>46093</v>
      </c>
      <c r="D1017" t="inlineStr">
        <is>
          <t>ÖSTERGÖTLANDS LÄN</t>
        </is>
      </c>
      <c r="E1017" t="inlineStr">
        <is>
          <t>MOTALA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1552-2022</t>
        </is>
      </c>
      <c r="B1018" s="1" t="n">
        <v>44573</v>
      </c>
      <c r="C1018" s="1" t="n">
        <v>46093</v>
      </c>
      <c r="D1018" t="inlineStr">
        <is>
          <t>ÖSTERGÖTLANDS LÄN</t>
        </is>
      </c>
      <c r="E1018" t="inlineStr">
        <is>
          <t>MJÖLBY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52968-2021</t>
        </is>
      </c>
      <c r="B1019" s="1" t="n">
        <v>44467</v>
      </c>
      <c r="C1019" s="1" t="n">
        <v>46093</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3109-2022</t>
        </is>
      </c>
      <c r="B1020" s="1" t="n">
        <v>44582</v>
      </c>
      <c r="C1020" s="1" t="n">
        <v>46093</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9708-2022</t>
        </is>
      </c>
      <c r="B1021" s="1" t="n">
        <v>44617</v>
      </c>
      <c r="C1021" s="1" t="n">
        <v>46093</v>
      </c>
      <c r="D1021" t="inlineStr">
        <is>
          <t>ÖSTERGÖTLANDS LÄN</t>
        </is>
      </c>
      <c r="E1021" t="inlineStr">
        <is>
          <t>MOTALA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13420-2022</t>
        </is>
      </c>
      <c r="B1022" s="1" t="n">
        <v>44645</v>
      </c>
      <c r="C1022" s="1" t="n">
        <v>46093</v>
      </c>
      <c r="D1022" t="inlineStr">
        <is>
          <t>ÖSTERGÖTLANDS LÄN</t>
        </is>
      </c>
      <c r="E1022" t="inlineStr">
        <is>
          <t>MOTALA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63321-2021</t>
        </is>
      </c>
      <c r="B1023" s="1" t="n">
        <v>44508</v>
      </c>
      <c r="C1023" s="1" t="n">
        <v>46093</v>
      </c>
      <c r="D1023" t="inlineStr">
        <is>
          <t>ÖSTERGÖTLANDS LÄN</t>
        </is>
      </c>
      <c r="E1023" t="inlineStr">
        <is>
          <t>FINSPÅNG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39014-2022</t>
        </is>
      </c>
      <c r="B1024" s="1" t="n">
        <v>44816</v>
      </c>
      <c r="C1024" s="1" t="n">
        <v>46093</v>
      </c>
      <c r="D1024" t="inlineStr">
        <is>
          <t>ÖSTERGÖTLANDS LÄN</t>
        </is>
      </c>
      <c r="E1024" t="inlineStr">
        <is>
          <t>FINSPÅNG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65395-2021</t>
        </is>
      </c>
      <c r="B1025" s="1" t="n">
        <v>44515</v>
      </c>
      <c r="C1025" s="1" t="n">
        <v>46093</v>
      </c>
      <c r="D1025" t="inlineStr">
        <is>
          <t>ÖSTERGÖTLANDS LÄN</t>
        </is>
      </c>
      <c r="E1025" t="inlineStr">
        <is>
          <t>LINKÖPING</t>
        </is>
      </c>
      <c r="F1025" t="inlineStr">
        <is>
          <t>Övriga statliga verk och myndigheter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4885-2022</t>
        </is>
      </c>
      <c r="B1026" s="1" t="n">
        <v>44593</v>
      </c>
      <c r="C1026" s="1" t="n">
        <v>46093</v>
      </c>
      <c r="D1026" t="inlineStr">
        <is>
          <t>ÖSTERGÖTLANDS LÄN</t>
        </is>
      </c>
      <c r="E1026" t="inlineStr">
        <is>
          <t>ÅTVIDABERG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14820-2022</t>
        </is>
      </c>
      <c r="B1027" s="1" t="n">
        <v>44656.51680555556</v>
      </c>
      <c r="C1027" s="1" t="n">
        <v>46093</v>
      </c>
      <c r="D1027" t="inlineStr">
        <is>
          <t>ÖSTERGÖTLANDS LÄN</t>
        </is>
      </c>
      <c r="E1027" t="inlineStr">
        <is>
          <t>FINSPÅNG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1356-2022</t>
        </is>
      </c>
      <c r="B1028" s="1" t="n">
        <v>44573.321875</v>
      </c>
      <c r="C1028" s="1" t="n">
        <v>46093</v>
      </c>
      <c r="D1028" t="inlineStr">
        <is>
          <t>ÖSTERGÖTLANDS LÄN</t>
        </is>
      </c>
      <c r="E1028" t="inlineStr">
        <is>
          <t>ÅTVIDABERG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47456-2021</t>
        </is>
      </c>
      <c r="B1029" s="1" t="n">
        <v>44447.64010416667</v>
      </c>
      <c r="C1029" s="1" t="n">
        <v>46093</v>
      </c>
      <c r="D1029" t="inlineStr">
        <is>
          <t>ÖSTERGÖTLANDS LÄN</t>
        </is>
      </c>
      <c r="E1029" t="inlineStr">
        <is>
          <t>YDRE</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10885-2022</t>
        </is>
      </c>
      <c r="B1030" s="1" t="n">
        <v>44627</v>
      </c>
      <c r="C1030" s="1" t="n">
        <v>46093</v>
      </c>
      <c r="D1030" t="inlineStr">
        <is>
          <t>ÖSTERGÖTLANDS LÄN</t>
        </is>
      </c>
      <c r="E1030" t="inlineStr">
        <is>
          <t>FINSPÅNG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39620-2021</t>
        </is>
      </c>
      <c r="B1031" s="1" t="n">
        <v>44413</v>
      </c>
      <c r="C1031" s="1" t="n">
        <v>46093</v>
      </c>
      <c r="D1031" t="inlineStr">
        <is>
          <t>ÖSTERGÖTLANDS LÄN</t>
        </is>
      </c>
      <c r="E1031" t="inlineStr">
        <is>
          <t>MOTALA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49444-2021</t>
        </is>
      </c>
      <c r="B1032" s="1" t="n">
        <v>44454.66991898148</v>
      </c>
      <c r="C1032" s="1" t="n">
        <v>46093</v>
      </c>
      <c r="D1032" t="inlineStr">
        <is>
          <t>ÖSTERGÖTLANDS LÄN</t>
        </is>
      </c>
      <c r="E1032" t="inlineStr">
        <is>
          <t>KINDA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48016-2021</t>
        </is>
      </c>
      <c r="B1033" s="1" t="n">
        <v>44449</v>
      </c>
      <c r="C1033" s="1" t="n">
        <v>46093</v>
      </c>
      <c r="D1033" t="inlineStr">
        <is>
          <t>ÖSTERGÖTLANDS LÄN</t>
        </is>
      </c>
      <c r="E1033" t="inlineStr">
        <is>
          <t>LINKÖPING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1687-2022</t>
        </is>
      </c>
      <c r="B1034" s="1" t="n">
        <v>44574</v>
      </c>
      <c r="C1034" s="1" t="n">
        <v>46093</v>
      </c>
      <c r="D1034" t="inlineStr">
        <is>
          <t>ÖSTERGÖTLANDS LÄN</t>
        </is>
      </c>
      <c r="E1034" t="inlineStr">
        <is>
          <t>NORRKÖPING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3845-2022</t>
        </is>
      </c>
      <c r="B1035" s="1" t="n">
        <v>44587</v>
      </c>
      <c r="C1035" s="1" t="n">
        <v>46093</v>
      </c>
      <c r="D1035" t="inlineStr">
        <is>
          <t>ÖSTERGÖTLANDS LÄN</t>
        </is>
      </c>
      <c r="E1035" t="inlineStr">
        <is>
          <t>FINSPÅNG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6389-2022</t>
        </is>
      </c>
      <c r="B1036" s="1" t="n">
        <v>44600</v>
      </c>
      <c r="C1036" s="1" t="n">
        <v>46093</v>
      </c>
      <c r="D1036" t="inlineStr">
        <is>
          <t>ÖSTERGÖTLANDS LÄN</t>
        </is>
      </c>
      <c r="E1036" t="inlineStr">
        <is>
          <t>KINDA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30858-2022</t>
        </is>
      </c>
      <c r="B1037" s="1" t="n">
        <v>44767</v>
      </c>
      <c r="C1037" s="1" t="n">
        <v>46093</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12094-2022</t>
        </is>
      </c>
      <c r="B1038" s="1" t="n">
        <v>44636</v>
      </c>
      <c r="C1038" s="1" t="n">
        <v>46093</v>
      </c>
      <c r="D1038" t="inlineStr">
        <is>
          <t>ÖSTERGÖTLANDS LÄN</t>
        </is>
      </c>
      <c r="E1038" t="inlineStr">
        <is>
          <t>VALDEMARSVIK</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47364-2021</t>
        </is>
      </c>
      <c r="B1039" s="1" t="n">
        <v>44447</v>
      </c>
      <c r="C1039" s="1" t="n">
        <v>46093</v>
      </c>
      <c r="D1039" t="inlineStr">
        <is>
          <t>ÖSTERGÖTLANDS LÄN</t>
        </is>
      </c>
      <c r="E1039" t="inlineStr">
        <is>
          <t>SÖDERKÖPING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41911-2022</t>
        </is>
      </c>
      <c r="B1040" s="1" t="n">
        <v>44830.36393518518</v>
      </c>
      <c r="C1040" s="1" t="n">
        <v>46093</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42001-2022</t>
        </is>
      </c>
      <c r="B1041" s="1" t="n">
        <v>44827</v>
      </c>
      <c r="C1041" s="1" t="n">
        <v>46093</v>
      </c>
      <c r="D1041" t="inlineStr">
        <is>
          <t>ÖSTERGÖTLANDS LÄN</t>
        </is>
      </c>
      <c r="E1041" t="inlineStr">
        <is>
          <t>MOTALA</t>
        </is>
      </c>
      <c r="F1041" t="inlineStr">
        <is>
          <t>Övriga statliga verk och myndigheter</t>
        </is>
      </c>
      <c r="G1041" t="n">
        <v>17.5</v>
      </c>
      <c r="H1041" t="n">
        <v>0</v>
      </c>
      <c r="I1041" t="n">
        <v>0</v>
      </c>
      <c r="J1041" t="n">
        <v>0</v>
      </c>
      <c r="K1041" t="n">
        <v>0</v>
      </c>
      <c r="L1041" t="n">
        <v>0</v>
      </c>
      <c r="M1041" t="n">
        <v>0</v>
      </c>
      <c r="N1041" t="n">
        <v>0</v>
      </c>
      <c r="O1041" t="n">
        <v>0</v>
      </c>
      <c r="P1041" t="n">
        <v>0</v>
      </c>
      <c r="Q1041" t="n">
        <v>0</v>
      </c>
      <c r="R1041" s="2" t="inlineStr"/>
    </row>
    <row r="1042" ht="15" customHeight="1">
      <c r="A1042" t="inlineStr">
        <is>
          <t>A 23767-2022</t>
        </is>
      </c>
      <c r="B1042" s="1" t="n">
        <v>44721</v>
      </c>
      <c r="C1042" s="1" t="n">
        <v>46093</v>
      </c>
      <c r="D1042" t="inlineStr">
        <is>
          <t>ÖSTERGÖTLANDS LÄN</t>
        </is>
      </c>
      <c r="E1042" t="inlineStr">
        <is>
          <t>SÖDERKÖPING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44153-2021</t>
        </is>
      </c>
      <c r="B1043" s="1" t="n">
        <v>44434.64474537037</v>
      </c>
      <c r="C1043" s="1" t="n">
        <v>46093</v>
      </c>
      <c r="D1043" t="inlineStr">
        <is>
          <t>ÖSTERGÖTLANDS LÄN</t>
        </is>
      </c>
      <c r="E1043" t="inlineStr">
        <is>
          <t>FINSPÅNG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55078-2021</t>
        </is>
      </c>
      <c r="B1044" s="1" t="n">
        <v>44474</v>
      </c>
      <c r="C1044" s="1" t="n">
        <v>46093</v>
      </c>
      <c r="D1044" t="inlineStr">
        <is>
          <t>ÖSTERGÖTLANDS LÄN</t>
        </is>
      </c>
      <c r="E1044" t="inlineStr">
        <is>
          <t>YDRE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21667-2021</t>
        </is>
      </c>
      <c r="B1045" s="1" t="n">
        <v>44316</v>
      </c>
      <c r="C1045" s="1" t="n">
        <v>46093</v>
      </c>
      <c r="D1045" t="inlineStr">
        <is>
          <t>ÖSTERGÖTLANDS LÄN</t>
        </is>
      </c>
      <c r="E1045" t="inlineStr">
        <is>
          <t>KINDA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46958-2021</t>
        </is>
      </c>
      <c r="B1046" s="1" t="n">
        <v>44446</v>
      </c>
      <c r="C1046" s="1" t="n">
        <v>46093</v>
      </c>
      <c r="D1046" t="inlineStr">
        <is>
          <t>ÖSTERGÖTLANDS LÄN</t>
        </is>
      </c>
      <c r="E1046" t="inlineStr">
        <is>
          <t>MOTALA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18454-2022</t>
        </is>
      </c>
      <c r="B1047" s="1" t="n">
        <v>44686</v>
      </c>
      <c r="C1047" s="1" t="n">
        <v>46093</v>
      </c>
      <c r="D1047" t="inlineStr">
        <is>
          <t>ÖSTERGÖTLANDS LÄN</t>
        </is>
      </c>
      <c r="E1047" t="inlineStr">
        <is>
          <t>NORRKÖPING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41924-2021</t>
        </is>
      </c>
      <c r="B1048" s="1" t="n">
        <v>44425</v>
      </c>
      <c r="C1048" s="1" t="n">
        <v>46093</v>
      </c>
      <c r="D1048" t="inlineStr">
        <is>
          <t>ÖSTERGÖTLANDS LÄN</t>
        </is>
      </c>
      <c r="E1048" t="inlineStr">
        <is>
          <t>FINSPÅNG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6868-2022</t>
        </is>
      </c>
      <c r="B1049" s="1" t="n">
        <v>44602</v>
      </c>
      <c r="C1049" s="1" t="n">
        <v>46093</v>
      </c>
      <c r="D1049" t="inlineStr">
        <is>
          <t>ÖSTERGÖTLANDS LÄN</t>
        </is>
      </c>
      <c r="E1049" t="inlineStr">
        <is>
          <t>NORRKÖPING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23782-2022</t>
        </is>
      </c>
      <c r="B1050" s="1" t="n">
        <v>44722.41596064815</v>
      </c>
      <c r="C1050" s="1" t="n">
        <v>46093</v>
      </c>
      <c r="D1050" t="inlineStr">
        <is>
          <t>ÖSTERGÖTLANDS LÄN</t>
        </is>
      </c>
      <c r="E1050" t="inlineStr">
        <is>
          <t>SÖDERKÖPING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7318-2022</t>
        </is>
      </c>
      <c r="B1051" s="1" t="n">
        <v>44606</v>
      </c>
      <c r="C1051" s="1" t="n">
        <v>46093</v>
      </c>
      <c r="D1051" t="inlineStr">
        <is>
          <t>ÖSTERGÖTLANDS LÄN</t>
        </is>
      </c>
      <c r="E1051" t="inlineStr">
        <is>
          <t>MOTALA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23175-2022</t>
        </is>
      </c>
      <c r="B1052" s="1" t="n">
        <v>44719</v>
      </c>
      <c r="C1052" s="1" t="n">
        <v>46093</v>
      </c>
      <c r="D1052" t="inlineStr">
        <is>
          <t>ÖSTERGÖTLANDS LÄN</t>
        </is>
      </c>
      <c r="E1052" t="inlineStr">
        <is>
          <t>LINKÖPING</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40811-2021</t>
        </is>
      </c>
      <c r="B1053" s="1" t="n">
        <v>44421.37181712963</v>
      </c>
      <c r="C1053" s="1" t="n">
        <v>46093</v>
      </c>
      <c r="D1053" t="inlineStr">
        <is>
          <t>ÖSTERGÖTLANDS LÄN</t>
        </is>
      </c>
      <c r="E1053" t="inlineStr">
        <is>
          <t>ÖDESHÖG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56341-2021</t>
        </is>
      </c>
      <c r="B1054" s="1" t="n">
        <v>44477</v>
      </c>
      <c r="C1054" s="1" t="n">
        <v>46093</v>
      </c>
      <c r="D1054" t="inlineStr">
        <is>
          <t>ÖSTERGÖTLANDS LÄN</t>
        </is>
      </c>
      <c r="E1054" t="inlineStr">
        <is>
          <t>YDRE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26604-2022</t>
        </is>
      </c>
      <c r="B1055" s="1" t="n">
        <v>44739.55577546296</v>
      </c>
      <c r="C1055" s="1" t="n">
        <v>46093</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58266-2021</t>
        </is>
      </c>
      <c r="B1056" s="1" t="n">
        <v>44487</v>
      </c>
      <c r="C1056" s="1" t="n">
        <v>46093</v>
      </c>
      <c r="D1056" t="inlineStr">
        <is>
          <t>ÖSTERGÖTLANDS LÄN</t>
        </is>
      </c>
      <c r="E1056" t="inlineStr">
        <is>
          <t>LINKÖPING</t>
        </is>
      </c>
      <c r="F1056" t="inlineStr">
        <is>
          <t>Övriga Aktiebolag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56032-2022</t>
        </is>
      </c>
      <c r="B1057" s="1" t="n">
        <v>44889.55255787037</v>
      </c>
      <c r="C1057" s="1" t="n">
        <v>46093</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28447-2021</t>
        </is>
      </c>
      <c r="B1058" s="1" t="n">
        <v>44356</v>
      </c>
      <c r="C1058" s="1" t="n">
        <v>46093</v>
      </c>
      <c r="D1058" t="inlineStr">
        <is>
          <t>ÖSTERGÖTLANDS LÄN</t>
        </is>
      </c>
      <c r="E1058" t="inlineStr">
        <is>
          <t>LINKÖPING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22886-2021</t>
        </is>
      </c>
      <c r="B1059" s="1" t="n">
        <v>44328</v>
      </c>
      <c r="C1059" s="1" t="n">
        <v>46093</v>
      </c>
      <c r="D1059" t="inlineStr">
        <is>
          <t>ÖSTERGÖTLANDS LÄN</t>
        </is>
      </c>
      <c r="E1059" t="inlineStr">
        <is>
          <t>NORRKÖPING</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40179-2022</t>
        </is>
      </c>
      <c r="B1060" s="1" t="n">
        <v>44820.58339120371</v>
      </c>
      <c r="C1060" s="1" t="n">
        <v>46093</v>
      </c>
      <c r="D1060" t="inlineStr">
        <is>
          <t>ÖSTERGÖTLANDS LÄN</t>
        </is>
      </c>
      <c r="E1060" t="inlineStr">
        <is>
          <t>FINSPÅNG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48492-2021</t>
        </is>
      </c>
      <c r="B1061" s="1" t="n">
        <v>44452</v>
      </c>
      <c r="C1061" s="1" t="n">
        <v>46093</v>
      </c>
      <c r="D1061" t="inlineStr">
        <is>
          <t>ÖSTERGÖTLANDS LÄN</t>
        </is>
      </c>
      <c r="E1061" t="inlineStr">
        <is>
          <t>NORRKÖPING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16365-2021</t>
        </is>
      </c>
      <c r="B1062" s="1" t="n">
        <v>44292</v>
      </c>
      <c r="C1062" s="1" t="n">
        <v>46093</v>
      </c>
      <c r="D1062" t="inlineStr">
        <is>
          <t>ÖSTERGÖTLANDS LÄN</t>
        </is>
      </c>
      <c r="E1062" t="inlineStr">
        <is>
          <t>ÅTVIDABERG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40910-2022</t>
        </is>
      </c>
      <c r="B1063" s="1" t="n">
        <v>44825</v>
      </c>
      <c r="C1063" s="1" t="n">
        <v>46093</v>
      </c>
      <c r="D1063" t="inlineStr">
        <is>
          <t>ÖSTERGÖTLANDS LÄN</t>
        </is>
      </c>
      <c r="E1063" t="inlineStr">
        <is>
          <t>NORRKÖPING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31705-2022</t>
        </is>
      </c>
      <c r="B1064" s="1" t="n">
        <v>44776.43607638889</v>
      </c>
      <c r="C1064" s="1" t="n">
        <v>46093</v>
      </c>
      <c r="D1064" t="inlineStr">
        <is>
          <t>ÖSTERGÖTLANDS LÄN</t>
        </is>
      </c>
      <c r="E1064" t="inlineStr">
        <is>
          <t>LINKÖPING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62736-2021</t>
        </is>
      </c>
      <c r="B1065" s="1" t="n">
        <v>44504</v>
      </c>
      <c r="C1065" s="1" t="n">
        <v>46093</v>
      </c>
      <c r="D1065" t="inlineStr">
        <is>
          <t>ÖSTERGÖTLANDS LÄN</t>
        </is>
      </c>
      <c r="E1065" t="inlineStr">
        <is>
          <t>FINSPÅNG</t>
        </is>
      </c>
      <c r="F1065" t="inlineStr">
        <is>
          <t>Holmen skog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26021-2022</t>
        </is>
      </c>
      <c r="B1066" s="1" t="n">
        <v>44734.56722222222</v>
      </c>
      <c r="C1066" s="1" t="n">
        <v>46093</v>
      </c>
      <c r="D1066" t="inlineStr">
        <is>
          <t>ÖSTERGÖTLANDS LÄN</t>
        </is>
      </c>
      <c r="E1066" t="inlineStr">
        <is>
          <t>KINDA</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71788-2021</t>
        </is>
      </c>
      <c r="B1067" s="1" t="n">
        <v>44539</v>
      </c>
      <c r="C1067" s="1" t="n">
        <v>46093</v>
      </c>
      <c r="D1067" t="inlineStr">
        <is>
          <t>ÖSTERGÖTLANDS LÄN</t>
        </is>
      </c>
      <c r="E1067" t="inlineStr">
        <is>
          <t>ÅTVIDABERG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62919-2021</t>
        </is>
      </c>
      <c r="B1068" s="1" t="n">
        <v>44504</v>
      </c>
      <c r="C1068" s="1" t="n">
        <v>46093</v>
      </c>
      <c r="D1068" t="inlineStr">
        <is>
          <t>ÖSTERGÖTLANDS LÄN</t>
        </is>
      </c>
      <c r="E1068" t="inlineStr">
        <is>
          <t>ÖDESHÖG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19318-2022</t>
        </is>
      </c>
      <c r="B1069" s="1" t="n">
        <v>44692.5827662037</v>
      </c>
      <c r="C1069" s="1" t="n">
        <v>46093</v>
      </c>
      <c r="D1069" t="inlineStr">
        <is>
          <t>ÖSTERGÖTLANDS LÄN</t>
        </is>
      </c>
      <c r="E1069" t="inlineStr">
        <is>
          <t>LINKÖPING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51771-2021</t>
        </is>
      </c>
      <c r="B1070" s="1" t="n">
        <v>44462.60795138889</v>
      </c>
      <c r="C1070" s="1" t="n">
        <v>46093</v>
      </c>
      <c r="D1070" t="inlineStr">
        <is>
          <t>ÖSTERGÖTLANDS LÄN</t>
        </is>
      </c>
      <c r="E1070" t="inlineStr">
        <is>
          <t>ÖDESHÖG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17010-2021</t>
        </is>
      </c>
      <c r="B1071" s="1" t="n">
        <v>44295</v>
      </c>
      <c r="C1071" s="1" t="n">
        <v>46093</v>
      </c>
      <c r="D1071" t="inlineStr">
        <is>
          <t>ÖSTERGÖTLANDS LÄN</t>
        </is>
      </c>
      <c r="E1071" t="inlineStr">
        <is>
          <t>YDRE</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69717-2021</t>
        </is>
      </c>
      <c r="B1072" s="1" t="n">
        <v>44532</v>
      </c>
      <c r="C1072" s="1" t="n">
        <v>46093</v>
      </c>
      <c r="D1072" t="inlineStr">
        <is>
          <t>ÖSTERGÖTLANDS LÄN</t>
        </is>
      </c>
      <c r="E1072" t="inlineStr">
        <is>
          <t>FINSPÅNG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26755-2022</t>
        </is>
      </c>
      <c r="B1073" s="1" t="n">
        <v>44740.24939814815</v>
      </c>
      <c r="C1073" s="1" t="n">
        <v>46093</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43805-2022</t>
        </is>
      </c>
      <c r="B1074" s="1" t="n">
        <v>44838.32571759259</v>
      </c>
      <c r="C1074" s="1" t="n">
        <v>46093</v>
      </c>
      <c r="D1074" t="inlineStr">
        <is>
          <t>ÖSTERGÖTLANDS LÄN</t>
        </is>
      </c>
      <c r="E1074" t="inlineStr">
        <is>
          <t>ÅTVIDABERG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30056-2022</t>
        </is>
      </c>
      <c r="B1075" s="1" t="n">
        <v>44756</v>
      </c>
      <c r="C1075" s="1" t="n">
        <v>46093</v>
      </c>
      <c r="D1075" t="inlineStr">
        <is>
          <t>ÖSTERGÖTLANDS LÄN</t>
        </is>
      </c>
      <c r="E1075" t="inlineStr">
        <is>
          <t>NORRKÖPING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36341-2022</t>
        </is>
      </c>
      <c r="B1076" s="1" t="n">
        <v>44803</v>
      </c>
      <c r="C1076" s="1" t="n">
        <v>46093</v>
      </c>
      <c r="D1076" t="inlineStr">
        <is>
          <t>ÖSTERGÖTLANDS LÄN</t>
        </is>
      </c>
      <c r="E1076" t="inlineStr">
        <is>
          <t>LINKÖPING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34705-2021</t>
        </is>
      </c>
      <c r="B1077" s="1" t="n">
        <v>44382</v>
      </c>
      <c r="C1077" s="1" t="n">
        <v>46093</v>
      </c>
      <c r="D1077" t="inlineStr">
        <is>
          <t>ÖSTERGÖTLANDS LÄN</t>
        </is>
      </c>
      <c r="E1077" t="inlineStr">
        <is>
          <t>YDRE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40563-2021</t>
        </is>
      </c>
      <c r="B1078" s="1" t="n">
        <v>44420</v>
      </c>
      <c r="C1078" s="1" t="n">
        <v>46093</v>
      </c>
      <c r="D1078" t="inlineStr">
        <is>
          <t>ÖSTERGÖTLANDS LÄN</t>
        </is>
      </c>
      <c r="E1078" t="inlineStr">
        <is>
          <t>ÅTVIDABERG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73831-2021</t>
        </is>
      </c>
      <c r="B1079" s="1" t="n">
        <v>44552</v>
      </c>
      <c r="C1079" s="1" t="n">
        <v>46093</v>
      </c>
      <c r="D1079" t="inlineStr">
        <is>
          <t>ÖSTERGÖTLANDS LÄN</t>
        </is>
      </c>
      <c r="E1079" t="inlineStr">
        <is>
          <t>FINSPÅNG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54467-2022</t>
        </is>
      </c>
      <c r="B1080" s="1" t="n">
        <v>44882</v>
      </c>
      <c r="C1080" s="1" t="n">
        <v>46093</v>
      </c>
      <c r="D1080" t="inlineStr">
        <is>
          <t>ÖSTERGÖTLANDS LÄN</t>
        </is>
      </c>
      <c r="E1080" t="inlineStr">
        <is>
          <t>LINKÖPING</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1651-2022</t>
        </is>
      </c>
      <c r="B1081" s="1" t="n">
        <v>44573</v>
      </c>
      <c r="C1081" s="1" t="n">
        <v>46093</v>
      </c>
      <c r="D1081" t="inlineStr">
        <is>
          <t>ÖSTERGÖTLANDS LÄN</t>
        </is>
      </c>
      <c r="E1081" t="inlineStr">
        <is>
          <t>MOTALA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53609-2022</t>
        </is>
      </c>
      <c r="B1082" s="1" t="n">
        <v>44879.75467592593</v>
      </c>
      <c r="C1082" s="1" t="n">
        <v>46093</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15115-2022</t>
        </is>
      </c>
      <c r="B1083" s="1" t="n">
        <v>44658</v>
      </c>
      <c r="C1083" s="1" t="n">
        <v>46093</v>
      </c>
      <c r="D1083" t="inlineStr">
        <is>
          <t>ÖSTERGÖTLANDS LÄN</t>
        </is>
      </c>
      <c r="E1083" t="inlineStr">
        <is>
          <t>VALDEMARSVIK</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65794-2021</t>
        </is>
      </c>
      <c r="B1084" s="1" t="n">
        <v>44516.96689814814</v>
      </c>
      <c r="C1084" s="1" t="n">
        <v>46093</v>
      </c>
      <c r="D1084" t="inlineStr">
        <is>
          <t>ÖSTERGÖTLANDS LÄN</t>
        </is>
      </c>
      <c r="E1084" t="inlineStr">
        <is>
          <t>YDRE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65821-2021</t>
        </is>
      </c>
      <c r="B1085" s="1" t="n">
        <v>44517</v>
      </c>
      <c r="C1085" s="1" t="n">
        <v>46093</v>
      </c>
      <c r="D1085" t="inlineStr">
        <is>
          <t>ÖSTERGÖTLANDS LÄN</t>
        </is>
      </c>
      <c r="E1085" t="inlineStr">
        <is>
          <t>ÖDESHÖG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3013-2022</t>
        </is>
      </c>
      <c r="B1086" s="1" t="n">
        <v>44581</v>
      </c>
      <c r="C1086" s="1" t="n">
        <v>46093</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33604-2022</t>
        </is>
      </c>
      <c r="B1087" s="1" t="n">
        <v>44789</v>
      </c>
      <c r="C1087" s="1" t="n">
        <v>46093</v>
      </c>
      <c r="D1087" t="inlineStr">
        <is>
          <t>ÖSTERGÖTLANDS LÄN</t>
        </is>
      </c>
      <c r="E1087" t="inlineStr">
        <is>
          <t>ÅTVIDABERG</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4213-2022</t>
        </is>
      </c>
      <c r="B1088" s="1" t="n">
        <v>44588.61754629629</v>
      </c>
      <c r="C1088" s="1" t="n">
        <v>46093</v>
      </c>
      <c r="D1088" t="inlineStr">
        <is>
          <t>ÖSTERGÖTLANDS LÄN</t>
        </is>
      </c>
      <c r="E1088" t="inlineStr">
        <is>
          <t>FINSPÅNG</t>
        </is>
      </c>
      <c r="F1088" t="inlineStr">
        <is>
          <t>Övriga Aktiebolag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4240-2022</t>
        </is>
      </c>
      <c r="B1089" s="1" t="n">
        <v>44588</v>
      </c>
      <c r="C1089" s="1" t="n">
        <v>46093</v>
      </c>
      <c r="D1089" t="inlineStr">
        <is>
          <t>ÖSTERGÖTLANDS LÄN</t>
        </is>
      </c>
      <c r="E1089" t="inlineStr">
        <is>
          <t>LINKÖPING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47051-2022</t>
        </is>
      </c>
      <c r="B1090" s="1" t="n">
        <v>44852</v>
      </c>
      <c r="C1090" s="1" t="n">
        <v>46093</v>
      </c>
      <c r="D1090" t="inlineStr">
        <is>
          <t>ÖSTERGÖTLANDS LÄN</t>
        </is>
      </c>
      <c r="E1090" t="inlineStr">
        <is>
          <t>KINDA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45100-2021</t>
        </is>
      </c>
      <c r="B1091" s="1" t="n">
        <v>44439</v>
      </c>
      <c r="C1091" s="1" t="n">
        <v>46093</v>
      </c>
      <c r="D1091" t="inlineStr">
        <is>
          <t>ÖSTERGÖTLANDS LÄN</t>
        </is>
      </c>
      <c r="E1091" t="inlineStr">
        <is>
          <t>ÅTVIDABERG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1527-2022</t>
        </is>
      </c>
      <c r="B1092" s="1" t="n">
        <v>44573.57579861111</v>
      </c>
      <c r="C1092" s="1" t="n">
        <v>46093</v>
      </c>
      <c r="D1092" t="inlineStr">
        <is>
          <t>ÖSTERGÖTLANDS LÄN</t>
        </is>
      </c>
      <c r="E1092" t="inlineStr">
        <is>
          <t>VALDEMARSVIK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39085-2022</t>
        </is>
      </c>
      <c r="B1093" s="1" t="n">
        <v>44816</v>
      </c>
      <c r="C1093" s="1" t="n">
        <v>46093</v>
      </c>
      <c r="D1093" t="inlineStr">
        <is>
          <t>ÖSTERGÖTLANDS LÄN</t>
        </is>
      </c>
      <c r="E1093" t="inlineStr">
        <is>
          <t>YDRE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71030-2021</t>
        </is>
      </c>
      <c r="B1094" s="1" t="n">
        <v>44538</v>
      </c>
      <c r="C1094" s="1" t="n">
        <v>46093</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35597-2021</t>
        </is>
      </c>
      <c r="B1095" s="1" t="n">
        <v>44386.36693287037</v>
      </c>
      <c r="C1095" s="1" t="n">
        <v>46093</v>
      </c>
      <c r="D1095" t="inlineStr">
        <is>
          <t>ÖSTERGÖTLANDS LÄN</t>
        </is>
      </c>
      <c r="E1095" t="inlineStr">
        <is>
          <t>ÖDESHÖG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46891-2021</t>
        </is>
      </c>
      <c r="B1096" s="1" t="n">
        <v>44446.44587962963</v>
      </c>
      <c r="C1096" s="1" t="n">
        <v>46093</v>
      </c>
      <c r="D1096" t="inlineStr">
        <is>
          <t>ÖSTERGÖTLANDS LÄN</t>
        </is>
      </c>
      <c r="E1096" t="inlineStr">
        <is>
          <t>LINKÖPING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49349-2022</t>
        </is>
      </c>
      <c r="B1097" s="1" t="n">
        <v>44861</v>
      </c>
      <c r="C1097" s="1" t="n">
        <v>46093</v>
      </c>
      <c r="D1097" t="inlineStr">
        <is>
          <t>ÖSTERGÖTLANDS LÄN</t>
        </is>
      </c>
      <c r="E1097" t="inlineStr">
        <is>
          <t>KINDA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3164-2022</t>
        </is>
      </c>
      <c r="B1098" s="1" t="n">
        <v>44582</v>
      </c>
      <c r="C1098" s="1" t="n">
        <v>46093</v>
      </c>
      <c r="D1098" t="inlineStr">
        <is>
          <t>ÖSTERGÖTLANDS LÄN</t>
        </is>
      </c>
      <c r="E1098" t="inlineStr">
        <is>
          <t>NORRKÖPING</t>
        </is>
      </c>
      <c r="F1098" t="inlineStr">
        <is>
          <t>Holmen skog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51704-2021</t>
        </is>
      </c>
      <c r="B1099" s="1" t="n">
        <v>44462</v>
      </c>
      <c r="C1099" s="1" t="n">
        <v>46093</v>
      </c>
      <c r="D1099" t="inlineStr">
        <is>
          <t>ÖSTERGÖTLANDS LÄN</t>
        </is>
      </c>
      <c r="E1099" t="inlineStr">
        <is>
          <t>ÅTVIDABERG</t>
        </is>
      </c>
      <c r="F1099" t="inlineStr">
        <is>
          <t>Övriga Aktiebolag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10820-2022</t>
        </is>
      </c>
      <c r="B1100" s="1" t="n">
        <v>44627</v>
      </c>
      <c r="C1100" s="1" t="n">
        <v>46093</v>
      </c>
      <c r="D1100" t="inlineStr">
        <is>
          <t>ÖSTERGÖTLANDS LÄN</t>
        </is>
      </c>
      <c r="E1100" t="inlineStr">
        <is>
          <t>ÅTVIDABERG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55119-2021</t>
        </is>
      </c>
      <c r="B1101" s="1" t="n">
        <v>44474</v>
      </c>
      <c r="C1101" s="1" t="n">
        <v>46093</v>
      </c>
      <c r="D1101" t="inlineStr">
        <is>
          <t>ÖSTERGÖTLANDS LÄN</t>
        </is>
      </c>
      <c r="E1101" t="inlineStr">
        <is>
          <t>MOTALA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27666-2022</t>
        </is>
      </c>
      <c r="B1102" s="1" t="n">
        <v>44743.39017361111</v>
      </c>
      <c r="C1102" s="1" t="n">
        <v>46093</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57282-2021</t>
        </is>
      </c>
      <c r="B1103" s="1" t="n">
        <v>44483.40068287037</v>
      </c>
      <c r="C1103" s="1" t="n">
        <v>46093</v>
      </c>
      <c r="D1103" t="inlineStr">
        <is>
          <t>ÖSTERGÖTLANDS LÄN</t>
        </is>
      </c>
      <c r="E1103" t="inlineStr">
        <is>
          <t>YDRE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19183-2021</t>
        </is>
      </c>
      <c r="B1104" s="1" t="n">
        <v>44308.73248842593</v>
      </c>
      <c r="C1104" s="1" t="n">
        <v>46093</v>
      </c>
      <c r="D1104" t="inlineStr">
        <is>
          <t>ÖSTERGÖTLANDS LÄN</t>
        </is>
      </c>
      <c r="E1104" t="inlineStr">
        <is>
          <t>LINKÖPING</t>
        </is>
      </c>
      <c r="F1104" t="inlineStr">
        <is>
          <t>Allmännings- och besparingsskogar</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40975-2022</t>
        </is>
      </c>
      <c r="B1105" s="1" t="n">
        <v>44825</v>
      </c>
      <c r="C1105" s="1" t="n">
        <v>46093</v>
      </c>
      <c r="D1105" t="inlineStr">
        <is>
          <t>ÖSTERGÖTLANDS LÄN</t>
        </is>
      </c>
      <c r="E1105" t="inlineStr">
        <is>
          <t>NORRKÖPING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52465-2022</t>
        </is>
      </c>
      <c r="B1106" s="1" t="n">
        <v>44874</v>
      </c>
      <c r="C1106" s="1" t="n">
        <v>46093</v>
      </c>
      <c r="D1106" t="inlineStr">
        <is>
          <t>ÖSTERGÖTLANDS LÄN</t>
        </is>
      </c>
      <c r="E1106" t="inlineStr">
        <is>
          <t>SÖDERKÖPING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14518-2022</t>
        </is>
      </c>
      <c r="B1107" s="1" t="n">
        <v>44656</v>
      </c>
      <c r="C1107" s="1" t="n">
        <v>46093</v>
      </c>
      <c r="D1107" t="inlineStr">
        <is>
          <t>ÖSTERGÖTLANDS LÄN</t>
        </is>
      </c>
      <c r="E1107" t="inlineStr">
        <is>
          <t>VALDEMARSVIK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53028-2022</t>
        </is>
      </c>
      <c r="B1108" s="1" t="n">
        <v>44875.96684027778</v>
      </c>
      <c r="C1108" s="1" t="n">
        <v>46093</v>
      </c>
      <c r="D1108" t="inlineStr">
        <is>
          <t>ÖSTERGÖTLANDS LÄN</t>
        </is>
      </c>
      <c r="E1108" t="inlineStr">
        <is>
          <t>FINSPÅNG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42099-2021</t>
        </is>
      </c>
      <c r="B1109" s="1" t="n">
        <v>44426.60497685185</v>
      </c>
      <c r="C1109" s="1" t="n">
        <v>46093</v>
      </c>
      <c r="D1109" t="inlineStr">
        <is>
          <t>ÖSTERGÖTLANDS LÄN</t>
        </is>
      </c>
      <c r="E1109" t="inlineStr">
        <is>
          <t>YDRE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27179-2022</t>
        </is>
      </c>
      <c r="B1110" s="1" t="n">
        <v>44741.57063657408</v>
      </c>
      <c r="C1110" s="1" t="n">
        <v>46093</v>
      </c>
      <c r="D1110" t="inlineStr">
        <is>
          <t>ÖSTERGÖTLANDS LÄN</t>
        </is>
      </c>
      <c r="E1110" t="inlineStr">
        <is>
          <t>NORRKÖPING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9468-2022</t>
        </is>
      </c>
      <c r="B1111" s="1" t="n">
        <v>44616.80707175926</v>
      </c>
      <c r="C1111" s="1" t="n">
        <v>46093</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56794-2021</t>
        </is>
      </c>
      <c r="B1112" s="1" t="n">
        <v>44481</v>
      </c>
      <c r="C1112" s="1" t="n">
        <v>46093</v>
      </c>
      <c r="D1112" t="inlineStr">
        <is>
          <t>ÖSTERGÖTLANDS LÄN</t>
        </is>
      </c>
      <c r="E1112" t="inlineStr">
        <is>
          <t>BOXHOLM</t>
        </is>
      </c>
      <c r="F1112" t="inlineStr">
        <is>
          <t>Övriga Aktiebolag</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21611-2022</t>
        </is>
      </c>
      <c r="B1113" s="1" t="n">
        <v>44706.67206018518</v>
      </c>
      <c r="C1113" s="1" t="n">
        <v>46093</v>
      </c>
      <c r="D1113" t="inlineStr">
        <is>
          <t>ÖSTERGÖTLANDS LÄN</t>
        </is>
      </c>
      <c r="E1113" t="inlineStr">
        <is>
          <t>ÅTVIDABERG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13922-2021</t>
        </is>
      </c>
      <c r="B1114" s="1" t="n">
        <v>44277.45946759259</v>
      </c>
      <c r="C1114" s="1" t="n">
        <v>46093</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25488-2021</t>
        </is>
      </c>
      <c r="B1115" s="1" t="n">
        <v>44342.9053125</v>
      </c>
      <c r="C1115" s="1" t="n">
        <v>46093</v>
      </c>
      <c r="D1115" t="inlineStr">
        <is>
          <t>ÖSTERGÖTLANDS LÄN</t>
        </is>
      </c>
      <c r="E1115" t="inlineStr">
        <is>
          <t>ÅTVIDABERG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46686-2021</t>
        </is>
      </c>
      <c r="B1116" s="1" t="n">
        <v>44445</v>
      </c>
      <c r="C1116" s="1" t="n">
        <v>46093</v>
      </c>
      <c r="D1116" t="inlineStr">
        <is>
          <t>ÖSTERGÖTLANDS LÄN</t>
        </is>
      </c>
      <c r="E1116" t="inlineStr">
        <is>
          <t>KINDA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18009-2021</t>
        </is>
      </c>
      <c r="B1117" s="1" t="n">
        <v>44302</v>
      </c>
      <c r="C1117" s="1" t="n">
        <v>46093</v>
      </c>
      <c r="D1117" t="inlineStr">
        <is>
          <t>ÖSTERGÖTLANDS LÄN</t>
        </is>
      </c>
      <c r="E1117" t="inlineStr">
        <is>
          <t>NORRKÖPING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49787-2021</t>
        </is>
      </c>
      <c r="B1118" s="1" t="n">
        <v>44455</v>
      </c>
      <c r="C1118" s="1" t="n">
        <v>46093</v>
      </c>
      <c r="D1118" t="inlineStr">
        <is>
          <t>ÖSTERGÖTLANDS LÄN</t>
        </is>
      </c>
      <c r="E1118" t="inlineStr">
        <is>
          <t>MOTALA</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25280-2022</t>
        </is>
      </c>
      <c r="B1119" s="1" t="n">
        <v>44730</v>
      </c>
      <c r="C1119" s="1" t="n">
        <v>46093</v>
      </c>
      <c r="D1119" t="inlineStr">
        <is>
          <t>ÖSTERGÖTLANDS LÄN</t>
        </is>
      </c>
      <c r="E1119" t="inlineStr">
        <is>
          <t>NORRKÖPING</t>
        </is>
      </c>
      <c r="F1119" t="inlineStr">
        <is>
          <t>Allmännings- och besparingsskogar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57657-2021</t>
        </is>
      </c>
      <c r="B1120" s="1" t="n">
        <v>44484</v>
      </c>
      <c r="C1120" s="1" t="n">
        <v>46093</v>
      </c>
      <c r="D1120" t="inlineStr">
        <is>
          <t>ÖSTERGÖTLANDS LÄN</t>
        </is>
      </c>
      <c r="E1120" t="inlineStr">
        <is>
          <t>KINDA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1787-2022</t>
        </is>
      </c>
      <c r="B1121" s="1" t="n">
        <v>44574</v>
      </c>
      <c r="C1121" s="1" t="n">
        <v>46093</v>
      </c>
      <c r="D1121" t="inlineStr">
        <is>
          <t>ÖSTERGÖTLANDS LÄN</t>
        </is>
      </c>
      <c r="E1121" t="inlineStr">
        <is>
          <t>LINKÖPING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46093</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46093</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27708-2021</t>
        </is>
      </c>
      <c r="B1124" s="1" t="n">
        <v>44354.45140046296</v>
      </c>
      <c r="C1124" s="1" t="n">
        <v>46093</v>
      </c>
      <c r="D1124" t="inlineStr">
        <is>
          <t>ÖSTERGÖTLANDS LÄN</t>
        </is>
      </c>
      <c r="E1124" t="inlineStr">
        <is>
          <t>NORRKÖPING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948-2022</t>
        </is>
      </c>
      <c r="B1125" s="1" t="n">
        <v>44571</v>
      </c>
      <c r="C1125" s="1" t="n">
        <v>46093</v>
      </c>
      <c r="D1125" t="inlineStr">
        <is>
          <t>ÖSTERGÖTLANDS LÄN</t>
        </is>
      </c>
      <c r="E1125" t="inlineStr">
        <is>
          <t>LINKÖPING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987-2022</t>
        </is>
      </c>
      <c r="B1126" s="1" t="n">
        <v>44571</v>
      </c>
      <c r="C1126" s="1" t="n">
        <v>46093</v>
      </c>
      <c r="D1126" t="inlineStr">
        <is>
          <t>ÖSTERGÖTLANDS LÄN</t>
        </is>
      </c>
      <c r="E1126" t="inlineStr">
        <is>
          <t>MOTALA</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53782-2021</t>
        </is>
      </c>
      <c r="B1127" s="1" t="n">
        <v>44463</v>
      </c>
      <c r="C1127" s="1" t="n">
        <v>46093</v>
      </c>
      <c r="D1127" t="inlineStr">
        <is>
          <t>ÖSTERGÖTLANDS LÄN</t>
        </is>
      </c>
      <c r="E1127" t="inlineStr">
        <is>
          <t>VALDEMARSVIK</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72290-2021</t>
        </is>
      </c>
      <c r="B1128" s="1" t="n">
        <v>44545</v>
      </c>
      <c r="C1128" s="1" t="n">
        <v>46093</v>
      </c>
      <c r="D1128" t="inlineStr">
        <is>
          <t>ÖSTERGÖTLANDS LÄN</t>
        </is>
      </c>
      <c r="E1128" t="inlineStr">
        <is>
          <t>MJÖLBY</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34815-2022</t>
        </is>
      </c>
      <c r="B1129" s="1" t="n">
        <v>44796.31537037037</v>
      </c>
      <c r="C1129" s="1" t="n">
        <v>46093</v>
      </c>
      <c r="D1129" t="inlineStr">
        <is>
          <t>ÖSTERGÖTLANDS LÄN</t>
        </is>
      </c>
      <c r="E1129" t="inlineStr">
        <is>
          <t>KINDA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33714-2022</t>
        </is>
      </c>
      <c r="B1130" s="1" t="n">
        <v>44789</v>
      </c>
      <c r="C1130" s="1" t="n">
        <v>46093</v>
      </c>
      <c r="D1130" t="inlineStr">
        <is>
          <t>ÖSTERGÖTLANDS LÄN</t>
        </is>
      </c>
      <c r="E1130" t="inlineStr">
        <is>
          <t>ÅTVIDABERG</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37014-2021</t>
        </is>
      </c>
      <c r="B1131" s="1" t="n">
        <v>44393</v>
      </c>
      <c r="C1131" s="1" t="n">
        <v>46093</v>
      </c>
      <c r="D1131" t="inlineStr">
        <is>
          <t>ÖSTERGÖTLANDS LÄN</t>
        </is>
      </c>
      <c r="E1131" t="inlineStr">
        <is>
          <t>LINKÖPING</t>
        </is>
      </c>
      <c r="F1131" t="inlineStr">
        <is>
          <t>Allmännings- och besparingsskogar</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14423-2021</t>
        </is>
      </c>
      <c r="B1132" s="1" t="n">
        <v>44279</v>
      </c>
      <c r="C1132" s="1" t="n">
        <v>46093</v>
      </c>
      <c r="D1132" t="inlineStr">
        <is>
          <t>ÖSTERGÖTLANDS LÄN</t>
        </is>
      </c>
      <c r="E1132" t="inlineStr">
        <is>
          <t>BOXHOLM</t>
        </is>
      </c>
      <c r="F1132" t="inlineStr">
        <is>
          <t>Övriga Aktiebolag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28504-2021</t>
        </is>
      </c>
      <c r="B1133" s="1" t="n">
        <v>44356</v>
      </c>
      <c r="C1133" s="1" t="n">
        <v>46093</v>
      </c>
      <c r="D1133" t="inlineStr">
        <is>
          <t>ÖSTERGÖTLANDS LÄN</t>
        </is>
      </c>
      <c r="E1133" t="inlineStr">
        <is>
          <t>MOTALA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29871-2021</t>
        </is>
      </c>
      <c r="B1134" s="1" t="n">
        <v>44362</v>
      </c>
      <c r="C1134" s="1" t="n">
        <v>46093</v>
      </c>
      <c r="D1134" t="inlineStr">
        <is>
          <t>ÖSTERGÖTLANDS LÄN</t>
        </is>
      </c>
      <c r="E1134" t="inlineStr">
        <is>
          <t>NORRKÖPING</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24847-2022</t>
        </is>
      </c>
      <c r="B1135" s="1" t="n">
        <v>44728.47261574074</v>
      </c>
      <c r="C1135" s="1" t="n">
        <v>46093</v>
      </c>
      <c r="D1135" t="inlineStr">
        <is>
          <t>ÖSTERGÖTLANDS LÄN</t>
        </is>
      </c>
      <c r="E1135" t="inlineStr">
        <is>
          <t>BOXHOLM</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27657-2022</t>
        </is>
      </c>
      <c r="B1136" s="1" t="n">
        <v>44743</v>
      </c>
      <c r="C1136" s="1" t="n">
        <v>46093</v>
      </c>
      <c r="D1136" t="inlineStr">
        <is>
          <t>ÖSTERGÖTLANDS LÄN</t>
        </is>
      </c>
      <c r="E1136" t="inlineStr">
        <is>
          <t>FINSPÅNG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38134-2021</t>
        </is>
      </c>
      <c r="B1137" s="1" t="n">
        <v>44405.3794212963</v>
      </c>
      <c r="C1137" s="1" t="n">
        <v>46093</v>
      </c>
      <c r="D1137" t="inlineStr">
        <is>
          <t>ÖSTERGÖTLANDS LÄN</t>
        </is>
      </c>
      <c r="E1137" t="inlineStr">
        <is>
          <t>LINKÖPING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14115-2021</t>
        </is>
      </c>
      <c r="B1138" s="1" t="n">
        <v>44278</v>
      </c>
      <c r="C1138" s="1" t="n">
        <v>46093</v>
      </c>
      <c r="D1138" t="inlineStr">
        <is>
          <t>ÖSTERGÖTLANDS LÄN</t>
        </is>
      </c>
      <c r="E1138" t="inlineStr">
        <is>
          <t>ÅTVIDABERG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39882-2021</t>
        </is>
      </c>
      <c r="B1139" s="1" t="n">
        <v>44417</v>
      </c>
      <c r="C1139" s="1" t="n">
        <v>46093</v>
      </c>
      <c r="D1139" t="inlineStr">
        <is>
          <t>ÖSTERGÖTLANDS LÄN</t>
        </is>
      </c>
      <c r="E1139" t="inlineStr">
        <is>
          <t>ÅTVIDABERG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31010-2022</t>
        </is>
      </c>
      <c r="B1140" s="1" t="n">
        <v>44768</v>
      </c>
      <c r="C1140" s="1" t="n">
        <v>46093</v>
      </c>
      <c r="D1140" t="inlineStr">
        <is>
          <t>ÖSTERGÖTLANDS LÄN</t>
        </is>
      </c>
      <c r="E1140" t="inlineStr">
        <is>
          <t>MJÖLBY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62549-2021</t>
        </is>
      </c>
      <c r="B1141" s="1" t="n">
        <v>44503</v>
      </c>
      <c r="C1141" s="1" t="n">
        <v>46093</v>
      </c>
      <c r="D1141" t="inlineStr">
        <is>
          <t>ÖSTERGÖTLANDS LÄN</t>
        </is>
      </c>
      <c r="E1141" t="inlineStr">
        <is>
          <t>MOTALA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37496-2022</t>
        </is>
      </c>
      <c r="B1142" s="1" t="n">
        <v>44809</v>
      </c>
      <c r="C1142" s="1" t="n">
        <v>46093</v>
      </c>
      <c r="D1142" t="inlineStr">
        <is>
          <t>ÖSTERGÖTLANDS LÄN</t>
        </is>
      </c>
      <c r="E1142" t="inlineStr">
        <is>
          <t>MOTALA</t>
        </is>
      </c>
      <c r="F1142" t="inlineStr">
        <is>
          <t>Övriga statliga verk och myndigheter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31369-2021</t>
        </is>
      </c>
      <c r="B1143" s="1" t="n">
        <v>44368</v>
      </c>
      <c r="C1143" s="1" t="n">
        <v>46093</v>
      </c>
      <c r="D1143" t="inlineStr">
        <is>
          <t>ÖSTERGÖTLANDS LÄN</t>
        </is>
      </c>
      <c r="E1143" t="inlineStr">
        <is>
          <t>FINSPÅNG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31371-2021</t>
        </is>
      </c>
      <c r="B1144" s="1" t="n">
        <v>44368.96609953704</v>
      </c>
      <c r="C1144" s="1" t="n">
        <v>46093</v>
      </c>
      <c r="D1144" t="inlineStr">
        <is>
          <t>ÖSTERGÖTLANDS LÄN</t>
        </is>
      </c>
      <c r="E1144" t="inlineStr">
        <is>
          <t>FINSPÅNG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2169-2022</t>
        </is>
      </c>
      <c r="B1145" s="1" t="n">
        <v>44578</v>
      </c>
      <c r="C1145" s="1" t="n">
        <v>46093</v>
      </c>
      <c r="D1145" t="inlineStr">
        <is>
          <t>ÖSTERGÖTLANDS LÄN</t>
        </is>
      </c>
      <c r="E1145" t="inlineStr">
        <is>
          <t>NORRKÖPING</t>
        </is>
      </c>
      <c r="F1145" t="inlineStr">
        <is>
          <t>BillerudKorsnäs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1847-2022</t>
        </is>
      </c>
      <c r="B1146" s="1" t="n">
        <v>44574.765</v>
      </c>
      <c r="C1146" s="1" t="n">
        <v>46093</v>
      </c>
      <c r="D1146" t="inlineStr">
        <is>
          <t>ÖSTERGÖTLANDS LÄN</t>
        </is>
      </c>
      <c r="E1146" t="inlineStr">
        <is>
          <t>ÅTVIDABERG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42059-2022</t>
        </is>
      </c>
      <c r="B1147" s="1" t="n">
        <v>44830</v>
      </c>
      <c r="C1147" s="1" t="n">
        <v>46093</v>
      </c>
      <c r="D1147" t="inlineStr">
        <is>
          <t>ÖSTERGÖTLANDS LÄN</t>
        </is>
      </c>
      <c r="E1147" t="inlineStr">
        <is>
          <t>ÅTVIDABERG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22489-2021</t>
        </is>
      </c>
      <c r="B1148" s="1" t="n">
        <v>44326</v>
      </c>
      <c r="C1148" s="1" t="n">
        <v>46093</v>
      </c>
      <c r="D1148" t="inlineStr">
        <is>
          <t>ÖSTERGÖTLANDS LÄN</t>
        </is>
      </c>
      <c r="E1148" t="inlineStr">
        <is>
          <t>NORRKÖPING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22492-2021</t>
        </is>
      </c>
      <c r="B1149" s="1" t="n">
        <v>44326</v>
      </c>
      <c r="C1149" s="1" t="n">
        <v>46093</v>
      </c>
      <c r="D1149" t="inlineStr">
        <is>
          <t>ÖSTERGÖTLANDS LÄN</t>
        </is>
      </c>
      <c r="E1149" t="inlineStr">
        <is>
          <t>NORRKÖPING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20534-2021</t>
        </is>
      </c>
      <c r="B1150" s="1" t="n">
        <v>44315</v>
      </c>
      <c r="C1150" s="1" t="n">
        <v>46093</v>
      </c>
      <c r="D1150" t="inlineStr">
        <is>
          <t>ÖSTERGÖTLANDS LÄN</t>
        </is>
      </c>
      <c r="E1150" t="inlineStr">
        <is>
          <t>VALDEMARSVIK</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22493-2021</t>
        </is>
      </c>
      <c r="B1151" s="1" t="n">
        <v>44326</v>
      </c>
      <c r="C1151" s="1" t="n">
        <v>46093</v>
      </c>
      <c r="D1151" t="inlineStr">
        <is>
          <t>ÖSTERGÖTLANDS LÄN</t>
        </is>
      </c>
      <c r="E1151" t="inlineStr">
        <is>
          <t>NORRKÖPING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44849-2022</t>
        </is>
      </c>
      <c r="B1152" s="1" t="n">
        <v>44841</v>
      </c>
      <c r="C1152" s="1" t="n">
        <v>46093</v>
      </c>
      <c r="D1152" t="inlineStr">
        <is>
          <t>ÖSTERGÖTLANDS LÄN</t>
        </is>
      </c>
      <c r="E1152" t="inlineStr">
        <is>
          <t>LINKÖPING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70793-2021</t>
        </is>
      </c>
      <c r="B1153" s="1" t="n">
        <v>44537.75804398148</v>
      </c>
      <c r="C1153" s="1" t="n">
        <v>46093</v>
      </c>
      <c r="D1153" t="inlineStr">
        <is>
          <t>ÖSTERGÖTLANDS LÄN</t>
        </is>
      </c>
      <c r="E1153" t="inlineStr">
        <is>
          <t>SÖDERKÖPING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70835-2021</t>
        </is>
      </c>
      <c r="B1154" s="1" t="n">
        <v>44537</v>
      </c>
      <c r="C1154" s="1" t="n">
        <v>46093</v>
      </c>
      <c r="D1154" t="inlineStr">
        <is>
          <t>ÖSTERGÖTLANDS LÄN</t>
        </is>
      </c>
      <c r="E1154" t="inlineStr">
        <is>
          <t>LINKÖPING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37934-2022</t>
        </is>
      </c>
      <c r="B1155" s="1" t="n">
        <v>44809</v>
      </c>
      <c r="C1155" s="1" t="n">
        <v>46093</v>
      </c>
      <c r="D1155" t="inlineStr">
        <is>
          <t>ÖSTERGÖTLANDS LÄN</t>
        </is>
      </c>
      <c r="E1155" t="inlineStr">
        <is>
          <t>LINKÖPING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54854-2022</t>
        </is>
      </c>
      <c r="B1156" s="1" t="n">
        <v>44884</v>
      </c>
      <c r="C1156" s="1" t="n">
        <v>46093</v>
      </c>
      <c r="D1156" t="inlineStr">
        <is>
          <t>ÖSTERGÖTLANDS LÄN</t>
        </is>
      </c>
      <c r="E1156" t="inlineStr">
        <is>
          <t>LINKÖPING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54855-2022</t>
        </is>
      </c>
      <c r="B1157" s="1" t="n">
        <v>44884.59502314815</v>
      </c>
      <c r="C1157" s="1" t="n">
        <v>46093</v>
      </c>
      <c r="D1157" t="inlineStr">
        <is>
          <t>ÖSTERGÖTLANDS LÄN</t>
        </is>
      </c>
      <c r="E1157" t="inlineStr">
        <is>
          <t>LINKÖPING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54958-2022</t>
        </is>
      </c>
      <c r="B1158" s="1" t="n">
        <v>44886.47697916667</v>
      </c>
      <c r="C1158" s="1" t="n">
        <v>46093</v>
      </c>
      <c r="D1158" t="inlineStr">
        <is>
          <t>ÖSTERGÖTLANDS LÄN</t>
        </is>
      </c>
      <c r="E1158" t="inlineStr">
        <is>
          <t>NORRKÖPING</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35663-2022</t>
        </is>
      </c>
      <c r="B1159" s="1" t="n">
        <v>44799</v>
      </c>
      <c r="C1159" s="1" t="n">
        <v>46093</v>
      </c>
      <c r="D1159" t="inlineStr">
        <is>
          <t>ÖSTERGÖTLANDS LÄN</t>
        </is>
      </c>
      <c r="E1159" t="inlineStr">
        <is>
          <t>MOTALA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44074-2022</t>
        </is>
      </c>
      <c r="B1160" s="1" t="n">
        <v>44839</v>
      </c>
      <c r="C1160" s="1" t="n">
        <v>46093</v>
      </c>
      <c r="D1160" t="inlineStr">
        <is>
          <t>ÖSTERGÖTLANDS LÄN</t>
        </is>
      </c>
      <c r="E1160" t="inlineStr">
        <is>
          <t>BOXHOLM</t>
        </is>
      </c>
      <c r="F1160" t="inlineStr">
        <is>
          <t>Övriga Aktiebolag</t>
        </is>
      </c>
      <c r="G1160" t="n">
        <v>3.5</v>
      </c>
      <c r="H1160" t="n">
        <v>0</v>
      </c>
      <c r="I1160" t="n">
        <v>0</v>
      </c>
      <c r="J1160" t="n">
        <v>0</v>
      </c>
      <c r="K1160" t="n">
        <v>0</v>
      </c>
      <c r="L1160" t="n">
        <v>0</v>
      </c>
      <c r="M1160" t="n">
        <v>0</v>
      </c>
      <c r="N1160" t="n">
        <v>0</v>
      </c>
      <c r="O1160" t="n">
        <v>0</v>
      </c>
      <c r="P1160" t="n">
        <v>0</v>
      </c>
      <c r="Q1160" t="n">
        <v>0</v>
      </c>
      <c r="R1160" s="2" t="inlineStr"/>
      <c r="U1160">
        <f>HYPERLINK("https://klasma.github.io/Logging_0560/knärot/A 44074-2022 karta knärot.png", "A 44074-2022")</f>
        <v/>
      </c>
      <c r="V1160">
        <f>HYPERLINK("https://klasma.github.io/Logging_0560/klagomål/A 44074-2022 FSC-klagomål.docx", "A 44074-2022")</f>
        <v/>
      </c>
      <c r="W1160">
        <f>HYPERLINK("https://klasma.github.io/Logging_0560/klagomålsmail/A 44074-2022 FSC-klagomål mail.docx", "A 44074-2022")</f>
        <v/>
      </c>
      <c r="X1160">
        <f>HYPERLINK("https://klasma.github.io/Logging_0560/tillsyn/A 44074-2022 tillsynsbegäran.docx", "A 44074-2022")</f>
        <v/>
      </c>
      <c r="Y1160">
        <f>HYPERLINK("https://klasma.github.io/Logging_0560/tillsynsmail/A 44074-2022 tillsynsbegäran mail.docx", "A 44074-2022")</f>
        <v/>
      </c>
    </row>
    <row r="1161" ht="15" customHeight="1">
      <c r="A1161" t="inlineStr">
        <is>
          <t>A 1925-2022</t>
        </is>
      </c>
      <c r="B1161" s="1" t="n">
        <v>44575.42550925926</v>
      </c>
      <c r="C1161" s="1" t="n">
        <v>46093</v>
      </c>
      <c r="D1161" t="inlineStr">
        <is>
          <t>ÖSTERGÖTLANDS LÄN</t>
        </is>
      </c>
      <c r="E1161" t="inlineStr">
        <is>
          <t>BOXHOLM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43381-2022</t>
        </is>
      </c>
      <c r="B1162" s="1" t="n">
        <v>44834</v>
      </c>
      <c r="C1162" s="1" t="n">
        <v>46093</v>
      </c>
      <c r="D1162" t="inlineStr">
        <is>
          <t>ÖSTERGÖTLANDS LÄN</t>
        </is>
      </c>
      <c r="E1162" t="inlineStr">
        <is>
          <t>MOTALA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44160-2022</t>
        </is>
      </c>
      <c r="B1163" s="1" t="n">
        <v>44837</v>
      </c>
      <c r="C1163" s="1" t="n">
        <v>46093</v>
      </c>
      <c r="D1163" t="inlineStr">
        <is>
          <t>ÖSTERGÖTLANDS LÄN</t>
        </is>
      </c>
      <c r="E1163" t="inlineStr">
        <is>
          <t>KINDA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1644-2022</t>
        </is>
      </c>
      <c r="B1164" s="1" t="n">
        <v>44574.31305555555</v>
      </c>
      <c r="C1164" s="1" t="n">
        <v>46093</v>
      </c>
      <c r="D1164" t="inlineStr">
        <is>
          <t>ÖSTERGÖTLANDS LÄN</t>
        </is>
      </c>
      <c r="E1164" t="inlineStr">
        <is>
          <t>MOTALA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1646-2022</t>
        </is>
      </c>
      <c r="B1165" s="1" t="n">
        <v>44574.31621527778</v>
      </c>
      <c r="C1165" s="1" t="n">
        <v>46093</v>
      </c>
      <c r="D1165" t="inlineStr">
        <is>
          <t>ÖSTERGÖTLANDS LÄN</t>
        </is>
      </c>
      <c r="E1165" t="inlineStr">
        <is>
          <t>MOTALA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32243-2021</t>
        </is>
      </c>
      <c r="B1166" s="1" t="n">
        <v>44371</v>
      </c>
      <c r="C1166" s="1" t="n">
        <v>46093</v>
      </c>
      <c r="D1166" t="inlineStr">
        <is>
          <t>ÖSTERGÖTLANDS LÄN</t>
        </is>
      </c>
      <c r="E1166" t="inlineStr">
        <is>
          <t>YDRE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48230-2021</t>
        </is>
      </c>
      <c r="B1167" s="1" t="n">
        <v>44449</v>
      </c>
      <c r="C1167" s="1" t="n">
        <v>46093</v>
      </c>
      <c r="D1167" t="inlineStr">
        <is>
          <t>ÖSTERGÖTLANDS LÄN</t>
        </is>
      </c>
      <c r="E1167" t="inlineStr">
        <is>
          <t>NORRKÖPING</t>
        </is>
      </c>
      <c r="F1167" t="inlineStr">
        <is>
          <t>Allmännings- och besparingsskogar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11252-2022</t>
        </is>
      </c>
      <c r="B1168" s="1" t="n">
        <v>44629</v>
      </c>
      <c r="C1168" s="1" t="n">
        <v>46093</v>
      </c>
      <c r="D1168" t="inlineStr">
        <is>
          <t>ÖSTERGÖTLANDS LÄN</t>
        </is>
      </c>
      <c r="E1168" t="inlineStr">
        <is>
          <t>VALDEMARSVIK</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11079-2022</t>
        </is>
      </c>
      <c r="B1169" s="1" t="n">
        <v>44628</v>
      </c>
      <c r="C1169" s="1" t="n">
        <v>46093</v>
      </c>
      <c r="D1169" t="inlineStr">
        <is>
          <t>ÖSTERGÖTLANDS LÄN</t>
        </is>
      </c>
      <c r="E1169" t="inlineStr">
        <is>
          <t>LINKÖPING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26380-2021</t>
        </is>
      </c>
      <c r="B1170" s="1" t="n">
        <v>44347</v>
      </c>
      <c r="C1170" s="1" t="n">
        <v>46093</v>
      </c>
      <c r="D1170" t="inlineStr">
        <is>
          <t>ÖSTERGÖTLANDS LÄN</t>
        </is>
      </c>
      <c r="E1170" t="inlineStr">
        <is>
          <t>YDRE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20901-2021</t>
        </is>
      </c>
      <c r="B1171" s="1" t="n">
        <v>44319</v>
      </c>
      <c r="C1171" s="1" t="n">
        <v>46093</v>
      </c>
      <c r="D1171" t="inlineStr">
        <is>
          <t>ÖSTERGÖTLANDS LÄN</t>
        </is>
      </c>
      <c r="E1171" t="inlineStr">
        <is>
          <t>LINKÖPING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42515-2022</t>
        </is>
      </c>
      <c r="B1172" s="1" t="n">
        <v>44831</v>
      </c>
      <c r="C1172" s="1" t="n">
        <v>46093</v>
      </c>
      <c r="D1172" t="inlineStr">
        <is>
          <t>ÖSTERGÖTLANDS LÄN</t>
        </is>
      </c>
      <c r="E1172" t="inlineStr">
        <is>
          <t>FINSPÅNG</t>
        </is>
      </c>
      <c r="F1172" t="inlineStr">
        <is>
          <t>Holmen skog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26363-2021</t>
        </is>
      </c>
      <c r="B1173" s="1" t="n">
        <v>44347</v>
      </c>
      <c r="C1173" s="1" t="n">
        <v>46093</v>
      </c>
      <c r="D1173" t="inlineStr">
        <is>
          <t>ÖSTERGÖTLANDS LÄN</t>
        </is>
      </c>
      <c r="E1173" t="inlineStr">
        <is>
          <t>YDRE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26375-2021</t>
        </is>
      </c>
      <c r="B1174" s="1" t="n">
        <v>44347.66645833333</v>
      </c>
      <c r="C1174" s="1" t="n">
        <v>46093</v>
      </c>
      <c r="D1174" t="inlineStr">
        <is>
          <t>ÖSTERGÖTLANDS LÄN</t>
        </is>
      </c>
      <c r="E1174" t="inlineStr">
        <is>
          <t>YDRE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52776-2021</t>
        </is>
      </c>
      <c r="B1175" s="1" t="n">
        <v>44467</v>
      </c>
      <c r="C1175" s="1" t="n">
        <v>46093</v>
      </c>
      <c r="D1175" t="inlineStr">
        <is>
          <t>ÖSTERGÖTLANDS LÄN</t>
        </is>
      </c>
      <c r="E1175" t="inlineStr">
        <is>
          <t>ÅTVIDABERG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39961-2021</t>
        </is>
      </c>
      <c r="B1176" s="1" t="n">
        <v>44417</v>
      </c>
      <c r="C1176" s="1" t="n">
        <v>46093</v>
      </c>
      <c r="D1176" t="inlineStr">
        <is>
          <t>ÖSTERGÖTLANDS LÄN</t>
        </is>
      </c>
      <c r="E1176" t="inlineStr">
        <is>
          <t>VALDEMARSVIK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40200-2021</t>
        </is>
      </c>
      <c r="B1177" s="1" t="n">
        <v>44418.828125</v>
      </c>
      <c r="C1177" s="1" t="n">
        <v>46093</v>
      </c>
      <c r="D1177" t="inlineStr">
        <is>
          <t>ÖSTERGÖTLANDS LÄN</t>
        </is>
      </c>
      <c r="E1177" t="inlineStr">
        <is>
          <t>YDRE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30899-2022</t>
        </is>
      </c>
      <c r="B1178" s="1" t="n">
        <v>44767.65296296297</v>
      </c>
      <c r="C1178" s="1" t="n">
        <v>46093</v>
      </c>
      <c r="D1178" t="inlineStr">
        <is>
          <t>ÖSTERGÖTLANDS LÄN</t>
        </is>
      </c>
      <c r="E1178" t="inlineStr">
        <is>
          <t>ÅTVIDABERG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29128-2021</t>
        </is>
      </c>
      <c r="B1179" s="1" t="n">
        <v>44358</v>
      </c>
      <c r="C1179" s="1" t="n">
        <v>46093</v>
      </c>
      <c r="D1179" t="inlineStr">
        <is>
          <t>ÖSTERGÖTLANDS LÄN</t>
        </is>
      </c>
      <c r="E1179" t="inlineStr">
        <is>
          <t>NORRKÖPING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31850-2021</t>
        </is>
      </c>
      <c r="B1180" s="1" t="n">
        <v>44369</v>
      </c>
      <c r="C1180" s="1" t="n">
        <v>46093</v>
      </c>
      <c r="D1180" t="inlineStr">
        <is>
          <t>ÖSTERGÖTLANDS LÄN</t>
        </is>
      </c>
      <c r="E1180" t="inlineStr">
        <is>
          <t>FINSPÅNG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65337-2021</t>
        </is>
      </c>
      <c r="B1181" s="1" t="n">
        <v>44515</v>
      </c>
      <c r="C1181" s="1" t="n">
        <v>46093</v>
      </c>
      <c r="D1181" t="inlineStr">
        <is>
          <t>ÖSTERGÖTLANDS LÄN</t>
        </is>
      </c>
      <c r="E1181" t="inlineStr">
        <is>
          <t>YDRE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65398-2021</t>
        </is>
      </c>
      <c r="B1182" s="1" t="n">
        <v>44515</v>
      </c>
      <c r="C1182" s="1" t="n">
        <v>46093</v>
      </c>
      <c r="D1182" t="inlineStr">
        <is>
          <t>ÖSTERGÖTLANDS LÄN</t>
        </is>
      </c>
      <c r="E1182" t="inlineStr">
        <is>
          <t>LINKÖPING</t>
        </is>
      </c>
      <c r="F1182" t="inlineStr">
        <is>
          <t>Övriga statliga verk och myndigheter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67748-2021</t>
        </is>
      </c>
      <c r="B1183" s="1" t="n">
        <v>44525</v>
      </c>
      <c r="C1183" s="1" t="n">
        <v>46093</v>
      </c>
      <c r="D1183" t="inlineStr">
        <is>
          <t>ÖSTERGÖTLANDS LÄN</t>
        </is>
      </c>
      <c r="E1183" t="inlineStr">
        <is>
          <t>MOTALA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67362-2021</t>
        </is>
      </c>
      <c r="B1184" s="1" t="n">
        <v>44523</v>
      </c>
      <c r="C1184" s="1" t="n">
        <v>46093</v>
      </c>
      <c r="D1184" t="inlineStr">
        <is>
          <t>ÖSTERGÖTLANDS LÄN</t>
        </is>
      </c>
      <c r="E1184" t="inlineStr">
        <is>
          <t>BOXHOLM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67912-2021</t>
        </is>
      </c>
      <c r="B1185" s="1" t="n">
        <v>44525</v>
      </c>
      <c r="C1185" s="1" t="n">
        <v>46093</v>
      </c>
      <c r="D1185" t="inlineStr">
        <is>
          <t>ÖSTERGÖTLANDS LÄN</t>
        </is>
      </c>
      <c r="E1185" t="inlineStr">
        <is>
          <t>LINKÖPING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67940-2021</t>
        </is>
      </c>
      <c r="B1186" s="1" t="n">
        <v>44525.62849537037</v>
      </c>
      <c r="C1186" s="1" t="n">
        <v>46093</v>
      </c>
      <c r="D1186" t="inlineStr">
        <is>
          <t>ÖSTERGÖTLANDS LÄN</t>
        </is>
      </c>
      <c r="E1186" t="inlineStr">
        <is>
          <t>LINKÖPING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35314-2021</t>
        </is>
      </c>
      <c r="B1187" s="1" t="n">
        <v>44384</v>
      </c>
      <c r="C1187" s="1" t="n">
        <v>46093</v>
      </c>
      <c r="D1187" t="inlineStr">
        <is>
          <t>ÖSTERGÖTLANDS LÄN</t>
        </is>
      </c>
      <c r="E1187" t="inlineStr">
        <is>
          <t>MOTALA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52662-2021</t>
        </is>
      </c>
      <c r="B1188" s="1" t="n">
        <v>44466.67340277778</v>
      </c>
      <c r="C1188" s="1" t="n">
        <v>46093</v>
      </c>
      <c r="D1188" t="inlineStr">
        <is>
          <t>ÖSTERGÖTLANDS LÄN</t>
        </is>
      </c>
      <c r="E1188" t="inlineStr">
        <is>
          <t>KINDA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52663-2021</t>
        </is>
      </c>
      <c r="B1189" s="1" t="n">
        <v>44466.67462962963</v>
      </c>
      <c r="C1189" s="1" t="n">
        <v>46093</v>
      </c>
      <c r="D1189" t="inlineStr">
        <is>
          <t>ÖSTERGÖTLANDS LÄN</t>
        </is>
      </c>
      <c r="E1189" t="inlineStr">
        <is>
          <t>KINDA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42696-2022</t>
        </is>
      </c>
      <c r="B1190" s="1" t="n">
        <v>44832.36671296296</v>
      </c>
      <c r="C1190" s="1" t="n">
        <v>46093</v>
      </c>
      <c r="D1190" t="inlineStr">
        <is>
          <t>ÖSTERGÖTLANDS LÄN</t>
        </is>
      </c>
      <c r="E1190" t="inlineStr">
        <is>
          <t>BOXHOLM</t>
        </is>
      </c>
      <c r="F1190" t="inlineStr">
        <is>
          <t>Övriga Aktiebolag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48291-2021</t>
        </is>
      </c>
      <c r="B1191" s="1" t="n">
        <v>44449</v>
      </c>
      <c r="C1191" s="1" t="n">
        <v>46093</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40246-2021</t>
        </is>
      </c>
      <c r="B1192" s="1" t="n">
        <v>44419</v>
      </c>
      <c r="C1192" s="1" t="n">
        <v>46093</v>
      </c>
      <c r="D1192" t="inlineStr">
        <is>
          <t>ÖSTERGÖTLANDS LÄN</t>
        </is>
      </c>
      <c r="E1192" t="inlineStr">
        <is>
          <t>KINDA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39917-2022</t>
        </is>
      </c>
      <c r="B1193" s="1" t="n">
        <v>44819</v>
      </c>
      <c r="C1193" s="1" t="n">
        <v>46093</v>
      </c>
      <c r="D1193" t="inlineStr">
        <is>
          <t>ÖSTERGÖTLANDS LÄN</t>
        </is>
      </c>
      <c r="E1193" t="inlineStr">
        <is>
          <t>FINSPÅNG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33660-2022</t>
        </is>
      </c>
      <c r="B1194" s="1" t="n">
        <v>44789.61635416667</v>
      </c>
      <c r="C1194" s="1" t="n">
        <v>46093</v>
      </c>
      <c r="D1194" t="inlineStr">
        <is>
          <t>ÖSTERGÖTLANDS LÄN</t>
        </is>
      </c>
      <c r="E1194" t="inlineStr">
        <is>
          <t>YDRE</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66356-2021</t>
        </is>
      </c>
      <c r="B1195" s="1" t="n">
        <v>44518</v>
      </c>
      <c r="C1195" s="1" t="n">
        <v>46093</v>
      </c>
      <c r="D1195" t="inlineStr">
        <is>
          <t>ÖSTERGÖTLANDS LÄN</t>
        </is>
      </c>
      <c r="E1195" t="inlineStr">
        <is>
          <t>SÖDERKÖPING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10951-2022</t>
        </is>
      </c>
      <c r="B1196" s="1" t="n">
        <v>44627</v>
      </c>
      <c r="C1196" s="1" t="n">
        <v>46093</v>
      </c>
      <c r="D1196" t="inlineStr">
        <is>
          <t>ÖSTERGÖTLANDS LÄN</t>
        </is>
      </c>
      <c r="E1196" t="inlineStr">
        <is>
          <t>LINKÖPING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51509-2021</t>
        </is>
      </c>
      <c r="B1197" s="1" t="n">
        <v>44460</v>
      </c>
      <c r="C1197" s="1" t="n">
        <v>46093</v>
      </c>
      <c r="D1197" t="inlineStr">
        <is>
          <t>ÖSTERGÖTLANDS LÄN</t>
        </is>
      </c>
      <c r="E1197" t="inlineStr">
        <is>
          <t>BOXHOLM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2805-2022</t>
        </is>
      </c>
      <c r="B1198" s="1" t="n">
        <v>44581</v>
      </c>
      <c r="C1198" s="1" t="n">
        <v>46093</v>
      </c>
      <c r="D1198" t="inlineStr">
        <is>
          <t>ÖSTERGÖTLANDS LÄN</t>
        </is>
      </c>
      <c r="E1198" t="inlineStr">
        <is>
          <t>FINSPÅNG</t>
        </is>
      </c>
      <c r="F1198" t="inlineStr">
        <is>
          <t>Holmen skog AB</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11450-2022</t>
        </is>
      </c>
      <c r="B1199" s="1" t="n">
        <v>44630.64725694444</v>
      </c>
      <c r="C1199" s="1" t="n">
        <v>46093</v>
      </c>
      <c r="D1199" t="inlineStr">
        <is>
          <t>ÖSTERGÖTLANDS LÄN</t>
        </is>
      </c>
      <c r="E1199" t="inlineStr">
        <is>
          <t>FINSPÅNG</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43270-2021</t>
        </is>
      </c>
      <c r="B1200" s="1" t="n">
        <v>44432</v>
      </c>
      <c r="C1200" s="1" t="n">
        <v>46093</v>
      </c>
      <c r="D1200" t="inlineStr">
        <is>
          <t>ÖSTERGÖTLANDS LÄN</t>
        </is>
      </c>
      <c r="E1200" t="inlineStr">
        <is>
          <t>NORRKÖPING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46858-2022</t>
        </is>
      </c>
      <c r="B1201" s="1" t="n">
        <v>44851</v>
      </c>
      <c r="C1201" s="1" t="n">
        <v>46093</v>
      </c>
      <c r="D1201" t="inlineStr">
        <is>
          <t>ÖSTERGÖTLANDS LÄN</t>
        </is>
      </c>
      <c r="E1201" t="inlineStr">
        <is>
          <t>MOTALA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56458-2021</t>
        </is>
      </c>
      <c r="B1202" s="1" t="n">
        <v>44480</v>
      </c>
      <c r="C1202" s="1" t="n">
        <v>46093</v>
      </c>
      <c r="D1202" t="inlineStr">
        <is>
          <t>ÖSTERGÖTLANDS LÄN</t>
        </is>
      </c>
      <c r="E1202" t="inlineStr">
        <is>
          <t>MJÖLBY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50619-2021</t>
        </is>
      </c>
      <c r="B1203" s="1" t="n">
        <v>44459</v>
      </c>
      <c r="C1203" s="1" t="n">
        <v>46093</v>
      </c>
      <c r="D1203" t="inlineStr">
        <is>
          <t>ÖSTERGÖTLANDS LÄN</t>
        </is>
      </c>
      <c r="E1203" t="inlineStr">
        <is>
          <t>SÖDERKÖPING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33134-2022</t>
        </is>
      </c>
      <c r="B1204" s="1" t="n">
        <v>44785</v>
      </c>
      <c r="C1204" s="1" t="n">
        <v>46093</v>
      </c>
      <c r="D1204" t="inlineStr">
        <is>
          <t>ÖSTERGÖTLANDS LÄN</t>
        </is>
      </c>
      <c r="E1204" t="inlineStr">
        <is>
          <t>LINKÖPING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13161-2021</t>
        </is>
      </c>
      <c r="B1205" s="1" t="n">
        <v>44272</v>
      </c>
      <c r="C1205" s="1" t="n">
        <v>46093</v>
      </c>
      <c r="D1205" t="inlineStr">
        <is>
          <t>ÖSTERGÖTLANDS LÄN</t>
        </is>
      </c>
      <c r="E1205" t="inlineStr">
        <is>
          <t>FINSPÅNG</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46710-2021</t>
        </is>
      </c>
      <c r="B1206" s="1" t="n">
        <v>44445.64984953704</v>
      </c>
      <c r="C1206" s="1" t="n">
        <v>46093</v>
      </c>
      <c r="D1206" t="inlineStr">
        <is>
          <t>ÖSTERGÖTLANDS LÄN</t>
        </is>
      </c>
      <c r="E1206" t="inlineStr">
        <is>
          <t>ÅTVIDABERG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53545-2021</t>
        </is>
      </c>
      <c r="B1207" s="1" t="n">
        <v>44469</v>
      </c>
      <c r="C1207" s="1" t="n">
        <v>46093</v>
      </c>
      <c r="D1207" t="inlineStr">
        <is>
          <t>ÖSTERGÖTLANDS LÄN</t>
        </is>
      </c>
      <c r="E1207" t="inlineStr">
        <is>
          <t>FINSPÅNG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43467-2022</t>
        </is>
      </c>
      <c r="B1208" s="1" t="n">
        <v>44836.74738425926</v>
      </c>
      <c r="C1208" s="1" t="n">
        <v>46093</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48431-2021</t>
        </is>
      </c>
      <c r="B1209" s="1" t="n">
        <v>44449</v>
      </c>
      <c r="C1209" s="1" t="n">
        <v>46093</v>
      </c>
      <c r="D1209" t="inlineStr">
        <is>
          <t>ÖSTERGÖTLANDS LÄN</t>
        </is>
      </c>
      <c r="E1209" t="inlineStr">
        <is>
          <t>MJÖLBY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13075-2022</t>
        </is>
      </c>
      <c r="B1210" s="1" t="n">
        <v>44643</v>
      </c>
      <c r="C1210" s="1" t="n">
        <v>46093</v>
      </c>
      <c r="D1210" t="inlineStr">
        <is>
          <t>ÖSTERGÖTLANDS LÄN</t>
        </is>
      </c>
      <c r="E1210" t="inlineStr">
        <is>
          <t>LINKÖPING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1424-2022</t>
        </is>
      </c>
      <c r="B1211" s="1" t="n">
        <v>44573</v>
      </c>
      <c r="C1211" s="1" t="n">
        <v>46093</v>
      </c>
      <c r="D1211" t="inlineStr">
        <is>
          <t>ÖSTERGÖTLANDS LÄN</t>
        </is>
      </c>
      <c r="E1211" t="inlineStr">
        <is>
          <t>VALDEMARSVIK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7710-2022</t>
        </is>
      </c>
      <c r="B1212" s="1" t="n">
        <v>44608</v>
      </c>
      <c r="C1212" s="1" t="n">
        <v>46093</v>
      </c>
      <c r="D1212" t="inlineStr">
        <is>
          <t>ÖSTERGÖTLANDS LÄN</t>
        </is>
      </c>
      <c r="E1212" t="inlineStr">
        <is>
          <t>MOTALA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16152-2022</t>
        </is>
      </c>
      <c r="B1213" s="1" t="n">
        <v>44666.42652777778</v>
      </c>
      <c r="C1213" s="1" t="n">
        <v>46093</v>
      </c>
      <c r="D1213" t="inlineStr">
        <is>
          <t>ÖSTERGÖTLANDS LÄN</t>
        </is>
      </c>
      <c r="E1213" t="inlineStr">
        <is>
          <t>ÖDESHÖG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36573-2022</t>
        </is>
      </c>
      <c r="B1214" s="1" t="n">
        <v>44804</v>
      </c>
      <c r="C1214" s="1" t="n">
        <v>46093</v>
      </c>
      <c r="D1214" t="inlineStr">
        <is>
          <t>ÖSTERGÖTLANDS LÄN</t>
        </is>
      </c>
      <c r="E1214" t="inlineStr">
        <is>
          <t>FINSPÅNG</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55744-2021</t>
        </is>
      </c>
      <c r="B1215" s="1" t="n">
        <v>44476</v>
      </c>
      <c r="C1215" s="1" t="n">
        <v>46093</v>
      </c>
      <c r="D1215" t="inlineStr">
        <is>
          <t>ÖSTERGÖTLANDS LÄN</t>
        </is>
      </c>
      <c r="E1215" t="inlineStr">
        <is>
          <t>FINSPÅNG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26348-2022</t>
        </is>
      </c>
      <c r="B1216" s="1" t="n">
        <v>44735</v>
      </c>
      <c r="C1216" s="1" t="n">
        <v>46093</v>
      </c>
      <c r="D1216" t="inlineStr">
        <is>
          <t>ÖSTERGÖTLANDS LÄN</t>
        </is>
      </c>
      <c r="E1216" t="inlineStr">
        <is>
          <t>ÅTVIDABERG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26929-2022</t>
        </is>
      </c>
      <c r="B1217" s="1" t="n">
        <v>44740</v>
      </c>
      <c r="C1217" s="1" t="n">
        <v>46093</v>
      </c>
      <c r="D1217" t="inlineStr">
        <is>
          <t>ÖSTERGÖTLANDS LÄN</t>
        </is>
      </c>
      <c r="E1217" t="inlineStr">
        <is>
          <t>NORRKÖPING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17879-2022</t>
        </is>
      </c>
      <c r="B1218" s="1" t="n">
        <v>44683.48711805556</v>
      </c>
      <c r="C1218" s="1" t="n">
        <v>46093</v>
      </c>
      <c r="D1218" t="inlineStr">
        <is>
          <t>ÖSTERGÖTLANDS LÄN</t>
        </is>
      </c>
      <c r="E1218" t="inlineStr">
        <is>
          <t>ÅTVIDABERG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41931-2022</t>
        </is>
      </c>
      <c r="B1219" s="1" t="n">
        <v>44830.37378472222</v>
      </c>
      <c r="C1219" s="1" t="n">
        <v>46093</v>
      </c>
      <c r="D1219" t="inlineStr">
        <is>
          <t>ÖSTERGÖTLANDS LÄN</t>
        </is>
      </c>
      <c r="E1219" t="inlineStr">
        <is>
          <t>MOTALA</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44303-2022</t>
        </is>
      </c>
      <c r="B1220" s="1" t="n">
        <v>44839.62386574074</v>
      </c>
      <c r="C1220" s="1" t="n">
        <v>46093</v>
      </c>
      <c r="D1220" t="inlineStr">
        <is>
          <t>ÖSTERGÖTLANDS LÄN</t>
        </is>
      </c>
      <c r="E1220" t="inlineStr">
        <is>
          <t>KINDA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23416-2022</t>
        </is>
      </c>
      <c r="B1221" s="1" t="n">
        <v>44720.78243055556</v>
      </c>
      <c r="C1221" s="1" t="n">
        <v>46093</v>
      </c>
      <c r="D1221" t="inlineStr">
        <is>
          <t>ÖSTERGÖTLANDS LÄN</t>
        </is>
      </c>
      <c r="E1221" t="inlineStr">
        <is>
          <t>LINKÖPING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24085-2022</t>
        </is>
      </c>
      <c r="B1222" s="1" t="n">
        <v>44724</v>
      </c>
      <c r="C1222" s="1" t="n">
        <v>46093</v>
      </c>
      <c r="D1222" t="inlineStr">
        <is>
          <t>ÖSTERGÖTLANDS LÄN</t>
        </is>
      </c>
      <c r="E1222" t="inlineStr">
        <is>
          <t>ÅTVIDABERG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5605-2022</t>
        </is>
      </c>
      <c r="B1223" s="1" t="n">
        <v>44595</v>
      </c>
      <c r="C1223" s="1" t="n">
        <v>46093</v>
      </c>
      <c r="D1223" t="inlineStr">
        <is>
          <t>ÖSTERGÖTLANDS LÄN</t>
        </is>
      </c>
      <c r="E1223" t="inlineStr">
        <is>
          <t>LINKÖPING</t>
        </is>
      </c>
      <c r="F1223" t="inlineStr">
        <is>
          <t>Övriga statliga verk och myndigheter</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56688-2021</t>
        </is>
      </c>
      <c r="B1224" s="1" t="n">
        <v>44481</v>
      </c>
      <c r="C1224" s="1" t="n">
        <v>46093</v>
      </c>
      <c r="D1224" t="inlineStr">
        <is>
          <t>ÖSTERGÖTLANDS LÄN</t>
        </is>
      </c>
      <c r="E1224" t="inlineStr">
        <is>
          <t>LINKÖPING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12685-2021</t>
        </is>
      </c>
      <c r="B1225" s="1" t="n">
        <v>44270</v>
      </c>
      <c r="C1225" s="1" t="n">
        <v>46093</v>
      </c>
      <c r="D1225" t="inlineStr">
        <is>
          <t>ÖSTERGÖTLANDS LÄN</t>
        </is>
      </c>
      <c r="E1225" t="inlineStr">
        <is>
          <t>NORRKÖPING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28902-2022</t>
        </is>
      </c>
      <c r="B1226" s="1" t="n">
        <v>44749.55334490741</v>
      </c>
      <c r="C1226" s="1" t="n">
        <v>46093</v>
      </c>
      <c r="D1226" t="inlineStr">
        <is>
          <t>ÖSTERGÖTLANDS LÄN</t>
        </is>
      </c>
      <c r="E1226" t="inlineStr">
        <is>
          <t>MOTALA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27769-2022</t>
        </is>
      </c>
      <c r="B1227" s="1" t="n">
        <v>44743.53200231482</v>
      </c>
      <c r="C1227" s="1" t="n">
        <v>46093</v>
      </c>
      <c r="D1227" t="inlineStr">
        <is>
          <t>ÖSTERGÖTLANDS LÄN</t>
        </is>
      </c>
      <c r="E1227" t="inlineStr">
        <is>
          <t>LINKÖPING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22311-2022</t>
        </is>
      </c>
      <c r="B1228" s="1" t="n">
        <v>44712</v>
      </c>
      <c r="C1228" s="1" t="n">
        <v>46093</v>
      </c>
      <c r="D1228" t="inlineStr">
        <is>
          <t>ÖSTERGÖTLANDS LÄN</t>
        </is>
      </c>
      <c r="E1228" t="inlineStr">
        <is>
          <t>VALDEMARSVIK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4927-2022</t>
        </is>
      </c>
      <c r="B1229" s="1" t="n">
        <v>44593</v>
      </c>
      <c r="C1229" s="1" t="n">
        <v>46093</v>
      </c>
      <c r="D1229" t="inlineStr">
        <is>
          <t>ÖSTERGÖTLANDS LÄN</t>
        </is>
      </c>
      <c r="E1229" t="inlineStr">
        <is>
          <t>VALDEMARSVIK</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19566-2022</t>
        </is>
      </c>
      <c r="B1230" s="1" t="n">
        <v>44693</v>
      </c>
      <c r="C1230" s="1" t="n">
        <v>46093</v>
      </c>
      <c r="D1230" t="inlineStr">
        <is>
          <t>ÖSTERGÖTLANDS LÄN</t>
        </is>
      </c>
      <c r="E1230" t="inlineStr">
        <is>
          <t>BOXHOLM</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32922-2022</t>
        </is>
      </c>
      <c r="B1231" s="1" t="n">
        <v>44784.63019675926</v>
      </c>
      <c r="C1231" s="1" t="n">
        <v>46093</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29967-2022</t>
        </is>
      </c>
      <c r="B1232" s="1" t="n">
        <v>44756.6716087963</v>
      </c>
      <c r="C1232" s="1" t="n">
        <v>46093</v>
      </c>
      <c r="D1232" t="inlineStr">
        <is>
          <t>ÖSTERGÖTLANDS LÄN</t>
        </is>
      </c>
      <c r="E1232" t="inlineStr">
        <is>
          <t>ÖDESHÖG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71035-2021</t>
        </is>
      </c>
      <c r="B1233" s="1" t="n">
        <v>44538.66128472222</v>
      </c>
      <c r="C1233" s="1" t="n">
        <v>46093</v>
      </c>
      <c r="D1233" t="inlineStr">
        <is>
          <t>ÖSTERGÖTLANDS LÄN</t>
        </is>
      </c>
      <c r="E1233" t="inlineStr">
        <is>
          <t>YDRE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29069-2021</t>
        </is>
      </c>
      <c r="B1234" s="1" t="n">
        <v>44358.54587962963</v>
      </c>
      <c r="C1234" s="1" t="n">
        <v>46093</v>
      </c>
      <c r="D1234" t="inlineStr">
        <is>
          <t>ÖSTERGÖTLANDS LÄN</t>
        </is>
      </c>
      <c r="E1234" t="inlineStr">
        <is>
          <t>YDRE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33891-2021</t>
        </is>
      </c>
      <c r="B1235" s="1" t="n">
        <v>44378</v>
      </c>
      <c r="C1235" s="1" t="n">
        <v>46093</v>
      </c>
      <c r="D1235" t="inlineStr">
        <is>
          <t>ÖSTERGÖTLANDS LÄN</t>
        </is>
      </c>
      <c r="E1235" t="inlineStr">
        <is>
          <t>LINKÖPING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30364-2021</t>
        </is>
      </c>
      <c r="B1236" s="1" t="n">
        <v>44364.44892361111</v>
      </c>
      <c r="C1236" s="1" t="n">
        <v>46093</v>
      </c>
      <c r="D1236" t="inlineStr">
        <is>
          <t>ÖSTERGÖTLANDS LÄN</t>
        </is>
      </c>
      <c r="E1236" t="inlineStr">
        <is>
          <t>KINDA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54446-2022</t>
        </is>
      </c>
      <c r="B1237" s="1" t="n">
        <v>44882.59640046296</v>
      </c>
      <c r="C1237" s="1" t="n">
        <v>46093</v>
      </c>
      <c r="D1237" t="inlineStr">
        <is>
          <t>ÖSTERGÖTLANDS LÄN</t>
        </is>
      </c>
      <c r="E1237" t="inlineStr">
        <is>
          <t>MOTALA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46093</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31334-2021</t>
        </is>
      </c>
      <c r="B1239" s="1" t="n">
        <v>44368</v>
      </c>
      <c r="C1239" s="1" t="n">
        <v>46093</v>
      </c>
      <c r="D1239" t="inlineStr">
        <is>
          <t>ÖSTERGÖTLANDS LÄN</t>
        </is>
      </c>
      <c r="E1239" t="inlineStr">
        <is>
          <t>FINSPÅNG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30953-2021</t>
        </is>
      </c>
      <c r="B1240" s="1" t="n">
        <v>44365.70483796296</v>
      </c>
      <c r="C1240" s="1" t="n">
        <v>46093</v>
      </c>
      <c r="D1240" t="inlineStr">
        <is>
          <t>ÖSTERGÖTLANDS LÄN</t>
        </is>
      </c>
      <c r="E1240" t="inlineStr">
        <is>
          <t>FINSPÅNG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26497-2021</t>
        </is>
      </c>
      <c r="B1241" s="1" t="n">
        <v>44348</v>
      </c>
      <c r="C1241" s="1" t="n">
        <v>46093</v>
      </c>
      <c r="D1241" t="inlineStr">
        <is>
          <t>ÖSTERGÖTLANDS LÄN</t>
        </is>
      </c>
      <c r="E1241" t="inlineStr">
        <is>
          <t>NORRKÖPING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31293-2021</t>
        </is>
      </c>
      <c r="B1242" s="1" t="n">
        <v>44368.86965277778</v>
      </c>
      <c r="C1242" s="1" t="n">
        <v>46093</v>
      </c>
      <c r="D1242" t="inlineStr">
        <is>
          <t>ÖSTERGÖTLANDS LÄN</t>
        </is>
      </c>
      <c r="E1242" t="inlineStr">
        <is>
          <t>ÅTVIDABERG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19799-2021</t>
        </is>
      </c>
      <c r="B1243" s="1" t="n">
        <v>44313</v>
      </c>
      <c r="C1243" s="1" t="n">
        <v>46093</v>
      </c>
      <c r="D1243" t="inlineStr">
        <is>
          <t>ÖSTERGÖTLANDS LÄN</t>
        </is>
      </c>
      <c r="E1243" t="inlineStr">
        <is>
          <t>MOTALA</t>
        </is>
      </c>
      <c r="F1243" t="inlineStr">
        <is>
          <t>Kyrkan</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31376-2021</t>
        </is>
      </c>
      <c r="B1244" s="1" t="n">
        <v>44369</v>
      </c>
      <c r="C1244" s="1" t="n">
        <v>46093</v>
      </c>
      <c r="D1244" t="inlineStr">
        <is>
          <t>ÖSTERGÖTLANDS LÄN</t>
        </is>
      </c>
      <c r="E1244" t="inlineStr">
        <is>
          <t>FINSPÅNG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30391-2021</t>
        </is>
      </c>
      <c r="B1245" s="1" t="n">
        <v>44364.50976851852</v>
      </c>
      <c r="C1245" s="1" t="n">
        <v>46093</v>
      </c>
      <c r="D1245" t="inlineStr">
        <is>
          <t>ÖSTERGÖTLANDS LÄN</t>
        </is>
      </c>
      <c r="E1245" t="inlineStr">
        <is>
          <t>YDRE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26370-2021</t>
        </is>
      </c>
      <c r="B1246" s="1" t="n">
        <v>44347</v>
      </c>
      <c r="C1246" s="1" t="n">
        <v>46093</v>
      </c>
      <c r="D1246" t="inlineStr">
        <is>
          <t>ÖSTERGÖTLANDS LÄN</t>
        </is>
      </c>
      <c r="E1246" t="inlineStr">
        <is>
          <t>YDRE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28309-2022</t>
        </is>
      </c>
      <c r="B1247" s="1" t="n">
        <v>44747.35753472222</v>
      </c>
      <c r="C1247" s="1" t="n">
        <v>46093</v>
      </c>
      <c r="D1247" t="inlineStr">
        <is>
          <t>ÖSTERGÖTLANDS LÄN</t>
        </is>
      </c>
      <c r="E1247" t="inlineStr">
        <is>
          <t>BOXHOLM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19254-2021</t>
        </is>
      </c>
      <c r="B1248" s="1" t="n">
        <v>44309.38962962963</v>
      </c>
      <c r="C1248" s="1" t="n">
        <v>46093</v>
      </c>
      <c r="D1248" t="inlineStr">
        <is>
          <t>ÖSTERGÖTLANDS LÄN</t>
        </is>
      </c>
      <c r="E1248" t="inlineStr">
        <is>
          <t>LINKÖPING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10791-2024</t>
        </is>
      </c>
      <c r="B1249" s="1" t="n">
        <v>45369.61550925926</v>
      </c>
      <c r="C1249" s="1" t="n">
        <v>46093</v>
      </c>
      <c r="D1249" t="inlineStr">
        <is>
          <t>ÖSTERGÖTLANDS LÄN</t>
        </is>
      </c>
      <c r="E1249" t="inlineStr">
        <is>
          <t>NORRKÖPING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3925-2025</t>
        </is>
      </c>
      <c r="B1250" s="1" t="n">
        <v>45684.44912037037</v>
      </c>
      <c r="C1250" s="1" t="n">
        <v>46093</v>
      </c>
      <c r="D1250" t="inlineStr">
        <is>
          <t>ÖSTERGÖTLANDS LÄN</t>
        </is>
      </c>
      <c r="E1250" t="inlineStr">
        <is>
          <t>SÖDERKÖPING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3979-2025</t>
        </is>
      </c>
      <c r="B1251" s="1" t="n">
        <v>45684.5433449074</v>
      </c>
      <c r="C1251" s="1" t="n">
        <v>46093</v>
      </c>
      <c r="D1251" t="inlineStr">
        <is>
          <t>ÖSTERGÖTLANDS LÄN</t>
        </is>
      </c>
      <c r="E1251" t="inlineStr">
        <is>
          <t>MOTALA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33445-2025</t>
        </is>
      </c>
      <c r="B1252" s="1" t="n">
        <v>45841.4630787037</v>
      </c>
      <c r="C1252" s="1" t="n">
        <v>46093</v>
      </c>
      <c r="D1252" t="inlineStr">
        <is>
          <t>ÖSTERGÖTLANDS LÄN</t>
        </is>
      </c>
      <c r="E1252" t="inlineStr">
        <is>
          <t>KINDA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11404-2022</t>
        </is>
      </c>
      <c r="B1253" s="1" t="n">
        <v>44630</v>
      </c>
      <c r="C1253" s="1" t="n">
        <v>46093</v>
      </c>
      <c r="D1253" t="inlineStr">
        <is>
          <t>ÖSTERGÖTLANDS LÄN</t>
        </is>
      </c>
      <c r="E1253" t="inlineStr">
        <is>
          <t>NORRKÖPING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21771-2023</t>
        </is>
      </c>
      <c r="B1254" s="1" t="n">
        <v>45065.8480787037</v>
      </c>
      <c r="C1254" s="1" t="n">
        <v>46093</v>
      </c>
      <c r="D1254" t="inlineStr">
        <is>
          <t>ÖSTERGÖTLANDS LÄN</t>
        </is>
      </c>
      <c r="E1254" t="inlineStr">
        <is>
          <t>ÖDESHÖG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53493-2022</t>
        </is>
      </c>
      <c r="B1255" s="1" t="n">
        <v>44874</v>
      </c>
      <c r="C1255" s="1" t="n">
        <v>46093</v>
      </c>
      <c r="D1255" t="inlineStr">
        <is>
          <t>ÖSTERGÖTLANDS LÄN</t>
        </is>
      </c>
      <c r="E1255" t="inlineStr">
        <is>
          <t>KINDA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53500-2022</t>
        </is>
      </c>
      <c r="B1256" s="1" t="n">
        <v>44874</v>
      </c>
      <c r="C1256" s="1" t="n">
        <v>46093</v>
      </c>
      <c r="D1256" t="inlineStr">
        <is>
          <t>ÖSTERGÖTLANDS LÄN</t>
        </is>
      </c>
      <c r="E1256" t="inlineStr">
        <is>
          <t>NORRKÖPING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33482-2025</t>
        </is>
      </c>
      <c r="B1257" s="1" t="n">
        <v>45841.49861111111</v>
      </c>
      <c r="C1257" s="1" t="n">
        <v>46093</v>
      </c>
      <c r="D1257" t="inlineStr">
        <is>
          <t>ÖSTERGÖTLANDS LÄN</t>
        </is>
      </c>
      <c r="E1257" t="inlineStr">
        <is>
          <t>KINDA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40562-2024</t>
        </is>
      </c>
      <c r="B1258" s="1" t="n">
        <v>45555</v>
      </c>
      <c r="C1258" s="1" t="n">
        <v>46093</v>
      </c>
      <c r="D1258" t="inlineStr">
        <is>
          <t>ÖSTERGÖTLANDS LÄN</t>
        </is>
      </c>
      <c r="E1258" t="inlineStr">
        <is>
          <t>SÖDERKÖPING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25168-2022</t>
        </is>
      </c>
      <c r="B1259" s="1" t="n">
        <v>44729.58146990741</v>
      </c>
      <c r="C1259" s="1" t="n">
        <v>46093</v>
      </c>
      <c r="D1259" t="inlineStr">
        <is>
          <t>ÖSTERGÖTLANDS LÄN</t>
        </is>
      </c>
      <c r="E1259" t="inlineStr">
        <is>
          <t>ÅTVIDABERG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25551-2022</t>
        </is>
      </c>
      <c r="B1260" s="1" t="n">
        <v>44732.62368055555</v>
      </c>
      <c r="C1260" s="1" t="n">
        <v>46093</v>
      </c>
      <c r="D1260" t="inlineStr">
        <is>
          <t>ÖSTERGÖTLANDS LÄN</t>
        </is>
      </c>
      <c r="E1260" t="inlineStr">
        <is>
          <t>ÅTVIDABERG</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24938-2022</t>
        </is>
      </c>
      <c r="B1261" s="1" t="n">
        <v>44728.63540509259</v>
      </c>
      <c r="C1261" s="1" t="n">
        <v>46093</v>
      </c>
      <c r="D1261" t="inlineStr">
        <is>
          <t>ÖSTERGÖTLANDS LÄN</t>
        </is>
      </c>
      <c r="E1261" t="inlineStr">
        <is>
          <t>YDRE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33590-2025</t>
        </is>
      </c>
      <c r="B1262" s="1" t="n">
        <v>45841.5983912037</v>
      </c>
      <c r="C1262" s="1" t="n">
        <v>46093</v>
      </c>
      <c r="D1262" t="inlineStr">
        <is>
          <t>ÖSTERGÖTLANDS LÄN</t>
        </is>
      </c>
      <c r="E1262" t="inlineStr">
        <is>
          <t>YDRE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59411-2022</t>
        </is>
      </c>
      <c r="B1263" s="1" t="n">
        <v>44907</v>
      </c>
      <c r="C1263" s="1" t="n">
        <v>46093</v>
      </c>
      <c r="D1263" t="inlineStr">
        <is>
          <t>ÖSTERGÖTLANDS LÄN</t>
        </is>
      </c>
      <c r="E1263" t="inlineStr">
        <is>
          <t>MJÖLBY</t>
        </is>
      </c>
      <c r="F1263" t="inlineStr">
        <is>
          <t>Övriga Aktiebolag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17038-2021</t>
        </is>
      </c>
      <c r="B1264" s="1" t="n">
        <v>44295.73100694444</v>
      </c>
      <c r="C1264" s="1" t="n">
        <v>46093</v>
      </c>
      <c r="D1264" t="inlineStr">
        <is>
          <t>ÖSTERGÖTLANDS LÄN</t>
        </is>
      </c>
      <c r="E1264" t="inlineStr">
        <is>
          <t>ÅTVIDABERG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53909-2021</t>
        </is>
      </c>
      <c r="B1265" s="1" t="n">
        <v>44469</v>
      </c>
      <c r="C1265" s="1" t="n">
        <v>46093</v>
      </c>
      <c r="D1265" t="inlineStr">
        <is>
          <t>ÖSTERGÖTLANDS LÄN</t>
        </is>
      </c>
      <c r="E1265" t="inlineStr">
        <is>
          <t>YDRE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55304-2022</t>
        </is>
      </c>
      <c r="B1266" s="1" t="n">
        <v>44882</v>
      </c>
      <c r="C1266" s="1" t="n">
        <v>46093</v>
      </c>
      <c r="D1266" t="inlineStr">
        <is>
          <t>ÖSTERGÖTLANDS LÄN</t>
        </is>
      </c>
      <c r="E1266" t="inlineStr">
        <is>
          <t>VALDEMARSVIK</t>
        </is>
      </c>
      <c r="F1266" t="inlineStr">
        <is>
          <t>Övriga Aktiebolag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22174-2021</t>
        </is>
      </c>
      <c r="B1267" s="1" t="n">
        <v>44325.87206018518</v>
      </c>
      <c r="C1267" s="1" t="n">
        <v>46093</v>
      </c>
      <c r="D1267" t="inlineStr">
        <is>
          <t>ÖSTERGÖTLANDS LÄN</t>
        </is>
      </c>
      <c r="E1267" t="inlineStr">
        <is>
          <t>ÅTVIDABERG</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24971-2022</t>
        </is>
      </c>
      <c r="B1268" s="1" t="n">
        <v>44728.68993055556</v>
      </c>
      <c r="C1268" s="1" t="n">
        <v>46093</v>
      </c>
      <c r="D1268" t="inlineStr">
        <is>
          <t>ÖSTERGÖTLANDS LÄN</t>
        </is>
      </c>
      <c r="E1268" t="inlineStr">
        <is>
          <t>VALDEMARSVIK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22687-2022</t>
        </is>
      </c>
      <c r="B1269" s="1" t="n">
        <v>44714.53115740741</v>
      </c>
      <c r="C1269" s="1" t="n">
        <v>46093</v>
      </c>
      <c r="D1269" t="inlineStr">
        <is>
          <t>ÖSTERGÖTLANDS LÄN</t>
        </is>
      </c>
      <c r="E1269" t="inlineStr">
        <is>
          <t>KINDA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27896-2025</t>
        </is>
      </c>
      <c r="B1270" s="1" t="n">
        <v>45817</v>
      </c>
      <c r="C1270" s="1" t="n">
        <v>46093</v>
      </c>
      <c r="D1270" t="inlineStr">
        <is>
          <t>ÖSTERGÖTLANDS LÄN</t>
        </is>
      </c>
      <c r="E1270" t="inlineStr">
        <is>
          <t>MOTALA</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46187-2024</t>
        </is>
      </c>
      <c r="B1271" s="1" t="n">
        <v>45581</v>
      </c>
      <c r="C1271" s="1" t="n">
        <v>46093</v>
      </c>
      <c r="D1271" t="inlineStr">
        <is>
          <t>ÖSTERGÖTLANDS LÄN</t>
        </is>
      </c>
      <c r="E1271" t="inlineStr">
        <is>
          <t>VALDEMARSVIK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7634-2022</t>
        </is>
      </c>
      <c r="B1272" s="1" t="n">
        <v>44607.71590277777</v>
      </c>
      <c r="C1272" s="1" t="n">
        <v>46093</v>
      </c>
      <c r="D1272" t="inlineStr">
        <is>
          <t>ÖSTERGÖTLANDS LÄN</t>
        </is>
      </c>
      <c r="E1272" t="inlineStr">
        <is>
          <t>VALDEMARSVIK</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69307-2021</t>
        </is>
      </c>
      <c r="B1273" s="1" t="n">
        <v>44531</v>
      </c>
      <c r="C1273" s="1" t="n">
        <v>46093</v>
      </c>
      <c r="D1273" t="inlineStr">
        <is>
          <t>ÖSTERGÖTLANDS LÄN</t>
        </is>
      </c>
      <c r="E1273" t="inlineStr">
        <is>
          <t>YDRE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30321-2022</t>
        </is>
      </c>
      <c r="B1274" s="1" t="n">
        <v>44760</v>
      </c>
      <c r="C1274" s="1" t="n">
        <v>46093</v>
      </c>
      <c r="D1274" t="inlineStr">
        <is>
          <t>ÖSTERGÖTLANDS LÄN</t>
        </is>
      </c>
      <c r="E1274" t="inlineStr">
        <is>
          <t>ÅTVIDABERG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14480-2021</t>
        </is>
      </c>
      <c r="B1275" s="1" t="n">
        <v>44279</v>
      </c>
      <c r="C1275" s="1" t="n">
        <v>46093</v>
      </c>
      <c r="D1275" t="inlineStr">
        <is>
          <t>ÖSTERGÖTLANDS LÄN</t>
        </is>
      </c>
      <c r="E1275" t="inlineStr">
        <is>
          <t>NORRKÖPING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68288-2021</t>
        </is>
      </c>
      <c r="B1276" s="1" t="n">
        <v>44526</v>
      </c>
      <c r="C1276" s="1" t="n">
        <v>46093</v>
      </c>
      <c r="D1276" t="inlineStr">
        <is>
          <t>ÖSTERGÖTLANDS LÄN</t>
        </is>
      </c>
      <c r="E1276" t="inlineStr">
        <is>
          <t>MOTALA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6488-2022</t>
        </is>
      </c>
      <c r="B1277" s="1" t="n">
        <v>44601</v>
      </c>
      <c r="C1277" s="1" t="n">
        <v>46093</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14561-2021</t>
        </is>
      </c>
      <c r="B1278" s="1" t="n">
        <v>44279.75896990741</v>
      </c>
      <c r="C1278" s="1" t="n">
        <v>46093</v>
      </c>
      <c r="D1278" t="inlineStr">
        <is>
          <t>ÖSTERGÖTLANDS LÄN</t>
        </is>
      </c>
      <c r="E1278" t="inlineStr">
        <is>
          <t>VALDEMARSVIK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61153-2021</t>
        </is>
      </c>
      <c r="B1279" s="1" t="n">
        <v>44497</v>
      </c>
      <c r="C1279" s="1" t="n">
        <v>46093</v>
      </c>
      <c r="D1279" t="inlineStr">
        <is>
          <t>ÖSTERGÖTLANDS LÄN</t>
        </is>
      </c>
      <c r="E1279" t="inlineStr">
        <is>
          <t>LINKÖPING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49366-2023</t>
        </is>
      </c>
      <c r="B1280" s="1" t="n">
        <v>45211</v>
      </c>
      <c r="C1280" s="1" t="n">
        <v>46093</v>
      </c>
      <c r="D1280" t="inlineStr">
        <is>
          <t>ÖSTERGÖTLANDS LÄN</t>
        </is>
      </c>
      <c r="E1280" t="inlineStr">
        <is>
          <t>SÖDERKÖPING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33885-2021</t>
        </is>
      </c>
      <c r="B1281" s="1" t="n">
        <v>44378</v>
      </c>
      <c r="C1281" s="1" t="n">
        <v>46093</v>
      </c>
      <c r="D1281" t="inlineStr">
        <is>
          <t>ÖSTERGÖTLANDS LÄN</t>
        </is>
      </c>
      <c r="E1281" t="inlineStr">
        <is>
          <t>LINKÖPING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68348-2021</t>
        </is>
      </c>
      <c r="B1282" s="1" t="n">
        <v>44528</v>
      </c>
      <c r="C1282" s="1" t="n">
        <v>46093</v>
      </c>
      <c r="D1282" t="inlineStr">
        <is>
          <t>ÖSTERGÖTLANDS LÄN</t>
        </is>
      </c>
      <c r="E1282" t="inlineStr">
        <is>
          <t>MOTALA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21190-2022</t>
        </is>
      </c>
      <c r="B1283" s="1" t="n">
        <v>44704.93234953703</v>
      </c>
      <c r="C1283" s="1" t="n">
        <v>46093</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32341-2021</t>
        </is>
      </c>
      <c r="B1284" s="1" t="n">
        <v>44371</v>
      </c>
      <c r="C1284" s="1" t="n">
        <v>46093</v>
      </c>
      <c r="D1284" t="inlineStr">
        <is>
          <t>ÖSTERGÖTLANDS LÄN</t>
        </is>
      </c>
      <c r="E1284" t="inlineStr">
        <is>
          <t>MOTALA</t>
        </is>
      </c>
      <c r="F1284" t="inlineStr">
        <is>
          <t>Kommuner</t>
        </is>
      </c>
      <c r="G1284" t="n">
        <v>2.8</v>
      </c>
      <c r="H1284" t="n">
        <v>0</v>
      </c>
      <c r="I1284" t="n">
        <v>0</v>
      </c>
      <c r="J1284" t="n">
        <v>0</v>
      </c>
      <c r="K1284" t="n">
        <v>0</v>
      </c>
      <c r="L1284" t="n">
        <v>0</v>
      </c>
      <c r="M1284" t="n">
        <v>0</v>
      </c>
      <c r="N1284" t="n">
        <v>0</v>
      </c>
      <c r="O1284" t="n">
        <v>0</v>
      </c>
      <c r="P1284" t="n">
        <v>0</v>
      </c>
      <c r="Q1284" t="n">
        <v>0</v>
      </c>
      <c r="R1284" s="2" t="inlineStr"/>
      <c r="U1284">
        <f>HYPERLINK("https://klasma.github.io/Logging_0583/knärot/A 32341-2021 karta knärot.png", "A 32341-2021")</f>
        <v/>
      </c>
      <c r="V1284">
        <f>HYPERLINK("https://klasma.github.io/Logging_0583/klagomål/A 32341-2021 FSC-klagomål.docx", "A 32341-2021")</f>
        <v/>
      </c>
      <c r="W1284">
        <f>HYPERLINK("https://klasma.github.io/Logging_0583/klagomålsmail/A 32341-2021 FSC-klagomål mail.docx", "A 32341-2021")</f>
        <v/>
      </c>
      <c r="X1284">
        <f>HYPERLINK("https://klasma.github.io/Logging_0583/tillsyn/A 32341-2021 tillsynsbegäran.docx", "A 32341-2021")</f>
        <v/>
      </c>
      <c r="Y1284">
        <f>HYPERLINK("https://klasma.github.io/Logging_0583/tillsynsmail/A 32341-2021 tillsynsbegäran mail.docx", "A 32341-2021")</f>
        <v/>
      </c>
    </row>
    <row r="1285" ht="15" customHeight="1">
      <c r="A1285" t="inlineStr">
        <is>
          <t>A 6527-2023</t>
        </is>
      </c>
      <c r="B1285" s="1" t="n">
        <v>44966</v>
      </c>
      <c r="C1285" s="1" t="n">
        <v>46093</v>
      </c>
      <c r="D1285" t="inlineStr">
        <is>
          <t>ÖSTERGÖTLANDS LÄN</t>
        </is>
      </c>
      <c r="E1285" t="inlineStr">
        <is>
          <t>FINSPÅNG</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46580-2021</t>
        </is>
      </c>
      <c r="B1286" s="1" t="n">
        <v>44445</v>
      </c>
      <c r="C1286" s="1" t="n">
        <v>46093</v>
      </c>
      <c r="D1286" t="inlineStr">
        <is>
          <t>ÖSTERGÖTLANDS LÄN</t>
        </is>
      </c>
      <c r="E1286" t="inlineStr">
        <is>
          <t>NORRKÖPING</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6546-2023</t>
        </is>
      </c>
      <c r="B1287" s="1" t="n">
        <v>44966</v>
      </c>
      <c r="C1287" s="1" t="n">
        <v>46093</v>
      </c>
      <c r="D1287" t="inlineStr">
        <is>
          <t>ÖSTERGÖTLANDS LÄN</t>
        </is>
      </c>
      <c r="E1287" t="inlineStr">
        <is>
          <t>SÖDERKÖPING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34877-2022</t>
        </is>
      </c>
      <c r="B1288" s="1" t="n">
        <v>44796</v>
      </c>
      <c r="C1288" s="1" t="n">
        <v>46093</v>
      </c>
      <c r="D1288" t="inlineStr">
        <is>
          <t>ÖSTERGÖTLANDS LÄN</t>
        </is>
      </c>
      <c r="E1288" t="inlineStr">
        <is>
          <t>MOTALA</t>
        </is>
      </c>
      <c r="F1288" t="inlineStr">
        <is>
          <t>Övriga statliga verk och myndigheter</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12413-2022</t>
        </is>
      </c>
      <c r="B1289" s="1" t="n">
        <v>44638</v>
      </c>
      <c r="C1289" s="1" t="n">
        <v>46093</v>
      </c>
      <c r="D1289" t="inlineStr">
        <is>
          <t>ÖSTERGÖTLANDS LÄN</t>
        </is>
      </c>
      <c r="E1289" t="inlineStr">
        <is>
          <t>LINKÖPING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83-2022</t>
        </is>
      </c>
      <c r="B1290" s="1" t="n">
        <v>44564.47854166666</v>
      </c>
      <c r="C1290" s="1" t="n">
        <v>46093</v>
      </c>
      <c r="D1290" t="inlineStr">
        <is>
          <t>ÖSTERGÖTLANDS LÄN</t>
        </is>
      </c>
      <c r="E1290" t="inlineStr">
        <is>
          <t>FINSPÅNG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74113-2021</t>
        </is>
      </c>
      <c r="B1291" s="1" t="n">
        <v>44557</v>
      </c>
      <c r="C1291" s="1" t="n">
        <v>46093</v>
      </c>
      <c r="D1291" t="inlineStr">
        <is>
          <t>ÖSTERGÖTLANDS LÄN</t>
        </is>
      </c>
      <c r="E1291" t="inlineStr">
        <is>
          <t>NORRKÖPING</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48977-2022</t>
        </is>
      </c>
      <c r="B1292" s="1" t="n">
        <v>44860</v>
      </c>
      <c r="C1292" s="1" t="n">
        <v>46093</v>
      </c>
      <c r="D1292" t="inlineStr">
        <is>
          <t>ÖSTERGÖTLANDS LÄN</t>
        </is>
      </c>
      <c r="E1292" t="inlineStr">
        <is>
          <t>ÅTVIDABERG</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3030-2024</t>
        </is>
      </c>
      <c r="B1293" s="1" t="n">
        <v>45316.31804398148</v>
      </c>
      <c r="C1293" s="1" t="n">
        <v>46093</v>
      </c>
      <c r="D1293" t="inlineStr">
        <is>
          <t>ÖSTERGÖTLANDS LÄN</t>
        </is>
      </c>
      <c r="E1293" t="inlineStr">
        <is>
          <t>MOTALA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12856-2025</t>
        </is>
      </c>
      <c r="B1294" s="1" t="n">
        <v>45733.66236111111</v>
      </c>
      <c r="C1294" s="1" t="n">
        <v>46093</v>
      </c>
      <c r="D1294" t="inlineStr">
        <is>
          <t>ÖSTERGÖTLANDS LÄN</t>
        </is>
      </c>
      <c r="E1294" t="inlineStr">
        <is>
          <t>KINDA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12898-2022</t>
        </is>
      </c>
      <c r="B1295" s="1" t="n">
        <v>44642</v>
      </c>
      <c r="C1295" s="1" t="n">
        <v>46093</v>
      </c>
      <c r="D1295" t="inlineStr">
        <is>
          <t>ÖSTERGÖTLANDS LÄN</t>
        </is>
      </c>
      <c r="E1295" t="inlineStr">
        <is>
          <t>FINSPÅNG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32255-2021</t>
        </is>
      </c>
      <c r="B1296" s="1" t="n">
        <v>44371.45949074074</v>
      </c>
      <c r="C1296" s="1" t="n">
        <v>46093</v>
      </c>
      <c r="D1296" t="inlineStr">
        <is>
          <t>ÖSTERGÖTLANDS LÄN</t>
        </is>
      </c>
      <c r="E1296" t="inlineStr">
        <is>
          <t>LINKÖPING</t>
        </is>
      </c>
      <c r="F1296" t="inlineStr">
        <is>
          <t>Övriga Aktiebolag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32571-2021</t>
        </is>
      </c>
      <c r="B1297" s="1" t="n">
        <v>44371</v>
      </c>
      <c r="C1297" s="1" t="n">
        <v>46093</v>
      </c>
      <c r="D1297" t="inlineStr">
        <is>
          <t>ÖSTERGÖTLANDS LÄN</t>
        </is>
      </c>
      <c r="E1297" t="inlineStr">
        <is>
          <t>VALDEMARSVIK</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26581-2021</t>
        </is>
      </c>
      <c r="B1298" s="1" t="n">
        <v>44348</v>
      </c>
      <c r="C1298" s="1" t="n">
        <v>46093</v>
      </c>
      <c r="D1298" t="inlineStr">
        <is>
          <t>ÖSTERGÖTLANDS LÄN</t>
        </is>
      </c>
      <c r="E1298" t="inlineStr">
        <is>
          <t>MJÖLBY</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57290-2021</t>
        </is>
      </c>
      <c r="B1299" s="1" t="n">
        <v>44483.40997685185</v>
      </c>
      <c r="C1299" s="1" t="n">
        <v>46093</v>
      </c>
      <c r="D1299" t="inlineStr">
        <is>
          <t>ÖSTERGÖTLANDS LÄN</t>
        </is>
      </c>
      <c r="E1299" t="inlineStr">
        <is>
          <t>YDRE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41440-2021</t>
        </is>
      </c>
      <c r="B1300" s="1" t="n">
        <v>44424</v>
      </c>
      <c r="C1300" s="1" t="n">
        <v>46093</v>
      </c>
      <c r="D1300" t="inlineStr">
        <is>
          <t>ÖSTERGÖTLANDS LÄN</t>
        </is>
      </c>
      <c r="E1300" t="inlineStr">
        <is>
          <t>ÅTVIDABERG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1606-2022</t>
        </is>
      </c>
      <c r="B1301" s="1" t="n">
        <v>44573</v>
      </c>
      <c r="C1301" s="1" t="n">
        <v>46093</v>
      </c>
      <c r="D1301" t="inlineStr">
        <is>
          <t>ÖSTERGÖTLANDS LÄN</t>
        </is>
      </c>
      <c r="E1301" t="inlineStr">
        <is>
          <t>VALDEMARSVIK</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8678-2024</t>
        </is>
      </c>
      <c r="B1302" s="1" t="n">
        <v>45354</v>
      </c>
      <c r="C1302" s="1" t="n">
        <v>46093</v>
      </c>
      <c r="D1302" t="inlineStr">
        <is>
          <t>ÖSTERGÖTLANDS LÄN</t>
        </is>
      </c>
      <c r="E1302" t="inlineStr">
        <is>
          <t>VALDEMARSVIK</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61532-2021</t>
        </is>
      </c>
      <c r="B1303" s="1" t="n">
        <v>44501</v>
      </c>
      <c r="C1303" s="1" t="n">
        <v>46093</v>
      </c>
      <c r="D1303" t="inlineStr">
        <is>
          <t>ÖSTERGÖTLANDS LÄN</t>
        </is>
      </c>
      <c r="E1303" t="inlineStr">
        <is>
          <t>LINKÖPING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10950-2022</t>
        </is>
      </c>
      <c r="B1304" s="1" t="n">
        <v>44627</v>
      </c>
      <c r="C1304" s="1" t="n">
        <v>46093</v>
      </c>
      <c r="D1304" t="inlineStr">
        <is>
          <t>ÖSTERGÖTLANDS LÄN</t>
        </is>
      </c>
      <c r="E1304" t="inlineStr">
        <is>
          <t>MJÖLBY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23248-2022</t>
        </is>
      </c>
      <c r="B1305" s="1" t="n">
        <v>44720</v>
      </c>
      <c r="C1305" s="1" t="n">
        <v>46093</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58344-2022</t>
        </is>
      </c>
      <c r="B1306" s="1" t="n">
        <v>44893</v>
      </c>
      <c r="C1306" s="1" t="n">
        <v>46093</v>
      </c>
      <c r="D1306" t="inlineStr">
        <is>
          <t>ÖSTERGÖTLANDS LÄN</t>
        </is>
      </c>
      <c r="E1306" t="inlineStr">
        <is>
          <t>MOTALA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3374-2023</t>
        </is>
      </c>
      <c r="B1307" s="1" t="n">
        <v>44949</v>
      </c>
      <c r="C1307" s="1" t="n">
        <v>46093</v>
      </c>
      <c r="D1307" t="inlineStr">
        <is>
          <t>ÖSTERGÖTLANDS LÄN</t>
        </is>
      </c>
      <c r="E1307" t="inlineStr">
        <is>
          <t>LINKÖPING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32067-2022</t>
        </is>
      </c>
      <c r="B1308" s="1" t="n">
        <v>44778</v>
      </c>
      <c r="C1308" s="1" t="n">
        <v>46093</v>
      </c>
      <c r="D1308" t="inlineStr">
        <is>
          <t>ÖSTERGÖTLANDS LÄN</t>
        </is>
      </c>
      <c r="E1308" t="inlineStr">
        <is>
          <t>ÅTVIDABERG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32069-2022</t>
        </is>
      </c>
      <c r="B1309" s="1" t="n">
        <v>44778</v>
      </c>
      <c r="C1309" s="1" t="n">
        <v>46093</v>
      </c>
      <c r="D1309" t="inlineStr">
        <is>
          <t>ÖSTERGÖTLANDS LÄN</t>
        </is>
      </c>
      <c r="E1309" t="inlineStr">
        <is>
          <t>ÅTVIDABERG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224-2024</t>
        </is>
      </c>
      <c r="B1310" s="1" t="n">
        <v>45294</v>
      </c>
      <c r="C1310" s="1" t="n">
        <v>46093</v>
      </c>
      <c r="D1310" t="inlineStr">
        <is>
          <t>ÖSTERGÖTLANDS LÄN</t>
        </is>
      </c>
      <c r="E1310" t="inlineStr">
        <is>
          <t>LINKÖPING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225-2024</t>
        </is>
      </c>
      <c r="B1311" s="1" t="n">
        <v>45293</v>
      </c>
      <c r="C1311" s="1" t="n">
        <v>46093</v>
      </c>
      <c r="D1311" t="inlineStr">
        <is>
          <t>ÖSTERGÖTLANDS LÄN</t>
        </is>
      </c>
      <c r="E1311" t="inlineStr">
        <is>
          <t>FINSPÅNG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6726-2024</t>
        </is>
      </c>
      <c r="B1312" s="1" t="n">
        <v>45341</v>
      </c>
      <c r="C1312" s="1" t="n">
        <v>46093</v>
      </c>
      <c r="D1312" t="inlineStr">
        <is>
          <t>ÖSTERGÖTLANDS LÄN</t>
        </is>
      </c>
      <c r="E1312" t="inlineStr">
        <is>
          <t>LINKÖPING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31838-2023</t>
        </is>
      </c>
      <c r="B1313" s="1" t="n">
        <v>45106</v>
      </c>
      <c r="C1313" s="1" t="n">
        <v>46093</v>
      </c>
      <c r="D1313" t="inlineStr">
        <is>
          <t>ÖSTERGÖTLANDS LÄN</t>
        </is>
      </c>
      <c r="E1313" t="inlineStr">
        <is>
          <t>NORRKÖPING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44661-2021</t>
        </is>
      </c>
      <c r="B1314" s="1" t="n">
        <v>44438</v>
      </c>
      <c r="C1314" s="1" t="n">
        <v>46093</v>
      </c>
      <c r="D1314" t="inlineStr">
        <is>
          <t>ÖSTERGÖTLANDS LÄN</t>
        </is>
      </c>
      <c r="E1314" t="inlineStr">
        <is>
          <t>FINSPÅNG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44663-2021</t>
        </is>
      </c>
      <c r="B1315" s="1" t="n">
        <v>44438</v>
      </c>
      <c r="C1315" s="1" t="n">
        <v>46093</v>
      </c>
      <c r="D1315" t="inlineStr">
        <is>
          <t>ÖSTERGÖTLANDS LÄN</t>
        </is>
      </c>
      <c r="E1315" t="inlineStr">
        <is>
          <t>FINSPÅNG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15356-2022</t>
        </is>
      </c>
      <c r="B1316" s="1" t="n">
        <v>44659.55756944444</v>
      </c>
      <c r="C1316" s="1" t="n">
        <v>46093</v>
      </c>
      <c r="D1316" t="inlineStr">
        <is>
          <t>ÖSTERGÖTLANDS LÄN</t>
        </is>
      </c>
      <c r="E1316" t="inlineStr">
        <is>
          <t>FINSPÅNG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27493-2022</t>
        </is>
      </c>
      <c r="B1317" s="1" t="n">
        <v>44742</v>
      </c>
      <c r="C1317" s="1" t="n">
        <v>46093</v>
      </c>
      <c r="D1317" t="inlineStr">
        <is>
          <t>ÖSTERGÖTLANDS LÄN</t>
        </is>
      </c>
      <c r="E1317" t="inlineStr">
        <is>
          <t>FINSPÅNG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49230-2022</t>
        </is>
      </c>
      <c r="B1318" s="1" t="n">
        <v>44861.36121527778</v>
      </c>
      <c r="C1318" s="1" t="n">
        <v>46093</v>
      </c>
      <c r="D1318" t="inlineStr">
        <is>
          <t>ÖSTERGÖTLANDS LÄN</t>
        </is>
      </c>
      <c r="E1318" t="inlineStr">
        <is>
          <t>SÖDERKÖPING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42103-2021</t>
        </is>
      </c>
      <c r="B1319" s="1" t="n">
        <v>44426.61268518519</v>
      </c>
      <c r="C1319" s="1" t="n">
        <v>46093</v>
      </c>
      <c r="D1319" t="inlineStr">
        <is>
          <t>ÖSTERGÖTLANDS LÄN</t>
        </is>
      </c>
      <c r="E1319" t="inlineStr">
        <is>
          <t>YDRE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12538-2024</t>
        </is>
      </c>
      <c r="B1320" s="1" t="n">
        <v>45379</v>
      </c>
      <c r="C1320" s="1" t="n">
        <v>46093</v>
      </c>
      <c r="D1320" t="inlineStr">
        <is>
          <t>ÖSTERGÖTLANDS LÄN</t>
        </is>
      </c>
      <c r="E1320" t="inlineStr">
        <is>
          <t>NORRKÖPING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13357-2024</t>
        </is>
      </c>
      <c r="B1321" s="1" t="n">
        <v>45387.34957175926</v>
      </c>
      <c r="C1321" s="1" t="n">
        <v>46093</v>
      </c>
      <c r="D1321" t="inlineStr">
        <is>
          <t>ÖSTERGÖTLANDS LÄN</t>
        </is>
      </c>
      <c r="E1321" t="inlineStr">
        <is>
          <t>ÅTVIDABERG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12948-2023</t>
        </is>
      </c>
      <c r="B1322" s="1" t="n">
        <v>45001.72512731481</v>
      </c>
      <c r="C1322" s="1" t="n">
        <v>46093</v>
      </c>
      <c r="D1322" t="inlineStr">
        <is>
          <t>ÖSTERGÖTLANDS LÄN</t>
        </is>
      </c>
      <c r="E1322" t="inlineStr">
        <is>
          <t>KINDA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46490-2022</t>
        </is>
      </c>
      <c r="B1323" s="1" t="n">
        <v>44848</v>
      </c>
      <c r="C1323" s="1" t="n">
        <v>46093</v>
      </c>
      <c r="D1323" t="inlineStr">
        <is>
          <t>ÖSTERGÖTLANDS LÄN</t>
        </is>
      </c>
      <c r="E1323" t="inlineStr">
        <is>
          <t>LINKÖPING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47145-2022</t>
        </is>
      </c>
      <c r="B1324" s="1" t="n">
        <v>44852</v>
      </c>
      <c r="C1324" s="1" t="n">
        <v>46093</v>
      </c>
      <c r="D1324" t="inlineStr">
        <is>
          <t>ÖSTERGÖTLANDS LÄN</t>
        </is>
      </c>
      <c r="E1324" t="inlineStr">
        <is>
          <t>BOXHOLM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62019-2021</t>
        </is>
      </c>
      <c r="B1325" s="1" t="n">
        <v>44501</v>
      </c>
      <c r="C1325" s="1" t="n">
        <v>46093</v>
      </c>
      <c r="D1325" t="inlineStr">
        <is>
          <t>ÖSTERGÖTLANDS LÄN</t>
        </is>
      </c>
      <c r="E1325" t="inlineStr">
        <is>
          <t>MOTALA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49299-2021</t>
        </is>
      </c>
      <c r="B1326" s="1" t="n">
        <v>44454</v>
      </c>
      <c r="C1326" s="1" t="n">
        <v>46093</v>
      </c>
      <c r="D1326" t="inlineStr">
        <is>
          <t>ÖSTERGÖTLANDS LÄN</t>
        </is>
      </c>
      <c r="E1326" t="inlineStr">
        <is>
          <t>VALDEMARSVIK</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32741-2023</t>
        </is>
      </c>
      <c r="B1327" s="1" t="n">
        <v>45122.39195601852</v>
      </c>
      <c r="C1327" s="1" t="n">
        <v>46093</v>
      </c>
      <c r="D1327" t="inlineStr">
        <is>
          <t>ÖSTERGÖTLANDS LÄN</t>
        </is>
      </c>
      <c r="E1327" t="inlineStr">
        <is>
          <t>ÅTVIDABERG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11532-2025</t>
        </is>
      </c>
      <c r="B1328" s="1" t="n">
        <v>45727.331875</v>
      </c>
      <c r="C1328" s="1" t="n">
        <v>46093</v>
      </c>
      <c r="D1328" t="inlineStr">
        <is>
          <t>ÖSTERGÖTLANDS LÄN</t>
        </is>
      </c>
      <c r="E1328" t="inlineStr">
        <is>
          <t>ÅTVIDABERG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38235-2022</t>
        </is>
      </c>
      <c r="B1329" s="1" t="n">
        <v>44812</v>
      </c>
      <c r="C1329" s="1" t="n">
        <v>46093</v>
      </c>
      <c r="D1329" t="inlineStr">
        <is>
          <t>ÖSTERGÖTLANDS LÄN</t>
        </is>
      </c>
      <c r="E1329" t="inlineStr">
        <is>
          <t>LINKÖPING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46405-2021</t>
        </is>
      </c>
      <c r="B1330" s="1" t="n">
        <v>44444</v>
      </c>
      <c r="C1330" s="1" t="n">
        <v>46093</v>
      </c>
      <c r="D1330" t="inlineStr">
        <is>
          <t>ÖSTERGÖTLANDS LÄN</t>
        </is>
      </c>
      <c r="E1330" t="inlineStr">
        <is>
          <t>FINSPÅNG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54230-2022</t>
        </is>
      </c>
      <c r="B1331" s="1" t="n">
        <v>44881.90604166667</v>
      </c>
      <c r="C1331" s="1" t="n">
        <v>46093</v>
      </c>
      <c r="D1331" t="inlineStr">
        <is>
          <t>ÖSTERGÖTLANDS LÄN</t>
        </is>
      </c>
      <c r="E1331" t="inlineStr">
        <is>
          <t>VALDEMARSVIK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33562-2022</t>
        </is>
      </c>
      <c r="B1332" s="1" t="n">
        <v>44789.39914351852</v>
      </c>
      <c r="C1332" s="1" t="n">
        <v>46093</v>
      </c>
      <c r="D1332" t="inlineStr">
        <is>
          <t>ÖSTERGÖTLANDS LÄN</t>
        </is>
      </c>
      <c r="E1332" t="inlineStr">
        <is>
          <t>KINDA</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13821-2024</t>
        </is>
      </c>
      <c r="B1333" s="1" t="n">
        <v>45391.42537037037</v>
      </c>
      <c r="C1333" s="1" t="n">
        <v>46093</v>
      </c>
      <c r="D1333" t="inlineStr">
        <is>
          <t>ÖSTERGÖTLANDS LÄN</t>
        </is>
      </c>
      <c r="E1333" t="inlineStr">
        <is>
          <t>FINSPÅNG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51419-2022</t>
        </is>
      </c>
      <c r="B1334" s="1" t="n">
        <v>44869.4575</v>
      </c>
      <c r="C1334" s="1" t="n">
        <v>46093</v>
      </c>
      <c r="D1334" t="inlineStr">
        <is>
          <t>ÖSTERGÖTLANDS LÄN</t>
        </is>
      </c>
      <c r="E1334" t="inlineStr">
        <is>
          <t>NORRKÖPING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45947-2021</t>
        </is>
      </c>
      <c r="B1335" s="1" t="n">
        <v>44441</v>
      </c>
      <c r="C1335" s="1" t="n">
        <v>46093</v>
      </c>
      <c r="D1335" t="inlineStr">
        <is>
          <t>ÖSTERGÖTLANDS LÄN</t>
        </is>
      </c>
      <c r="E1335" t="inlineStr">
        <is>
          <t>NORRKÖPING</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57841-2021</t>
        </is>
      </c>
      <c r="B1336" s="1" t="n">
        <v>44484.72994212963</v>
      </c>
      <c r="C1336" s="1" t="n">
        <v>46093</v>
      </c>
      <c r="D1336" t="inlineStr">
        <is>
          <t>ÖSTERGÖTLANDS LÄN</t>
        </is>
      </c>
      <c r="E1336" t="inlineStr">
        <is>
          <t>MOTALA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23857-2023</t>
        </is>
      </c>
      <c r="B1337" s="1" t="n">
        <v>45078.47771990741</v>
      </c>
      <c r="C1337" s="1" t="n">
        <v>46093</v>
      </c>
      <c r="D1337" t="inlineStr">
        <is>
          <t>ÖSTERGÖTLANDS LÄN</t>
        </is>
      </c>
      <c r="E1337" t="inlineStr">
        <is>
          <t>BOXHOLM</t>
        </is>
      </c>
      <c r="F1337" t="inlineStr">
        <is>
          <t>Övriga Aktiebolag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36281-2022</t>
        </is>
      </c>
      <c r="B1338" s="1" t="n">
        <v>44803.62625</v>
      </c>
      <c r="C1338" s="1" t="n">
        <v>46093</v>
      </c>
      <c r="D1338" t="inlineStr">
        <is>
          <t>ÖSTERGÖTLANDS LÄN</t>
        </is>
      </c>
      <c r="E1338" t="inlineStr">
        <is>
          <t>BOXHOLM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61182-2022</t>
        </is>
      </c>
      <c r="B1339" s="1" t="n">
        <v>44915</v>
      </c>
      <c r="C1339" s="1" t="n">
        <v>46093</v>
      </c>
      <c r="D1339" t="inlineStr">
        <is>
          <t>ÖSTERGÖTLANDS LÄN</t>
        </is>
      </c>
      <c r="E1339" t="inlineStr">
        <is>
          <t>ÅTVIDABERG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29782-2025</t>
        </is>
      </c>
      <c r="B1340" s="1" t="n">
        <v>45825.6502662037</v>
      </c>
      <c r="C1340" s="1" t="n">
        <v>46093</v>
      </c>
      <c r="D1340" t="inlineStr">
        <is>
          <t>ÖSTERGÖTLANDS LÄN</t>
        </is>
      </c>
      <c r="E1340" t="inlineStr">
        <is>
          <t>KINDA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74111-2021</t>
        </is>
      </c>
      <c r="B1341" s="1" t="n">
        <v>44557</v>
      </c>
      <c r="C1341" s="1" t="n">
        <v>46093</v>
      </c>
      <c r="D1341" t="inlineStr">
        <is>
          <t>ÖSTERGÖTLANDS LÄN</t>
        </is>
      </c>
      <c r="E1341" t="inlineStr">
        <is>
          <t>BOXHOLM</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74128-2021</t>
        </is>
      </c>
      <c r="B1342" s="1" t="n">
        <v>44557</v>
      </c>
      <c r="C1342" s="1" t="n">
        <v>46093</v>
      </c>
      <c r="D1342" t="inlineStr">
        <is>
          <t>ÖSTERGÖTLANDS LÄN</t>
        </is>
      </c>
      <c r="E1342" t="inlineStr">
        <is>
          <t>BOXHOLM</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51633-2021</t>
        </is>
      </c>
      <c r="B1343" s="1" t="n">
        <v>44462</v>
      </c>
      <c r="C1343" s="1" t="n">
        <v>46093</v>
      </c>
      <c r="D1343" t="inlineStr">
        <is>
          <t>ÖSTERGÖTLANDS LÄN</t>
        </is>
      </c>
      <c r="E1343" t="inlineStr">
        <is>
          <t>FINSPÅNG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6404-2023</t>
        </is>
      </c>
      <c r="B1344" s="1" t="n">
        <v>44965.67148148148</v>
      </c>
      <c r="C1344" s="1" t="n">
        <v>46093</v>
      </c>
      <c r="D1344" t="inlineStr">
        <is>
          <t>ÖSTERGÖTLANDS LÄN</t>
        </is>
      </c>
      <c r="E1344" t="inlineStr">
        <is>
          <t>KINDA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48684-2022</t>
        </is>
      </c>
      <c r="B1345" s="1" t="n">
        <v>44859</v>
      </c>
      <c r="C1345" s="1" t="n">
        <v>46093</v>
      </c>
      <c r="D1345" t="inlineStr">
        <is>
          <t>ÖSTERGÖTLANDS LÄN</t>
        </is>
      </c>
      <c r="E1345" t="inlineStr">
        <is>
          <t>FINSPÅNG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48386-2021</t>
        </is>
      </c>
      <c r="B1346" s="1" t="n">
        <v>44451.97046296296</v>
      </c>
      <c r="C1346" s="1" t="n">
        <v>46093</v>
      </c>
      <c r="D1346" t="inlineStr">
        <is>
          <t>ÖSTERGÖTLANDS LÄN</t>
        </is>
      </c>
      <c r="E1346" t="inlineStr">
        <is>
          <t>KINDA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48438-2021</t>
        </is>
      </c>
      <c r="B1347" s="1" t="n">
        <v>44449</v>
      </c>
      <c r="C1347" s="1" t="n">
        <v>46093</v>
      </c>
      <c r="D1347" t="inlineStr">
        <is>
          <t>ÖSTERGÖTLANDS LÄN</t>
        </is>
      </c>
      <c r="E1347" t="inlineStr">
        <is>
          <t>MJÖLBY</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72287-2021</t>
        </is>
      </c>
      <c r="B1348" s="1" t="n">
        <v>44545.37116898148</v>
      </c>
      <c r="C1348" s="1" t="n">
        <v>46093</v>
      </c>
      <c r="D1348" t="inlineStr">
        <is>
          <t>ÖSTERGÖTLANDS LÄN</t>
        </is>
      </c>
      <c r="E1348" t="inlineStr">
        <is>
          <t>BOXHOLM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37477-2022</t>
        </is>
      </c>
      <c r="B1349" s="1" t="n">
        <v>44809</v>
      </c>
      <c r="C1349" s="1" t="n">
        <v>46093</v>
      </c>
      <c r="D1349" t="inlineStr">
        <is>
          <t>ÖSTERGÖTLANDS LÄN</t>
        </is>
      </c>
      <c r="E1349" t="inlineStr">
        <is>
          <t>MOTALA</t>
        </is>
      </c>
      <c r="F1349" t="inlineStr">
        <is>
          <t>Övriga statliga verk och myndigheter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56210-2023</t>
        </is>
      </c>
      <c r="B1350" s="1" t="n">
        <v>45240</v>
      </c>
      <c r="C1350" s="1" t="n">
        <v>46093</v>
      </c>
      <c r="D1350" t="inlineStr">
        <is>
          <t>ÖSTERGÖTLANDS LÄN</t>
        </is>
      </c>
      <c r="E1350" t="inlineStr">
        <is>
          <t>NORRKÖPING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39864-2021</t>
        </is>
      </c>
      <c r="B1351" s="1" t="n">
        <v>44417</v>
      </c>
      <c r="C1351" s="1" t="n">
        <v>46093</v>
      </c>
      <c r="D1351" t="inlineStr">
        <is>
          <t>ÖSTERGÖTLANDS LÄN</t>
        </is>
      </c>
      <c r="E1351" t="inlineStr">
        <is>
          <t>VALDEMARSVIK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34880-2022</t>
        </is>
      </c>
      <c r="B1352" s="1" t="n">
        <v>44796</v>
      </c>
      <c r="C1352" s="1" t="n">
        <v>46093</v>
      </c>
      <c r="D1352" t="inlineStr">
        <is>
          <t>ÖSTERGÖTLANDS LÄN</t>
        </is>
      </c>
      <c r="E1352" t="inlineStr">
        <is>
          <t>LINKÖPING</t>
        </is>
      </c>
      <c r="F1352" t="inlineStr">
        <is>
          <t>Övriga statliga verk och myndigheter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48042-2022</t>
        </is>
      </c>
      <c r="B1353" s="1" t="n">
        <v>44855</v>
      </c>
      <c r="C1353" s="1" t="n">
        <v>46093</v>
      </c>
      <c r="D1353" t="inlineStr">
        <is>
          <t>ÖSTERGÖTLANDS LÄN</t>
        </is>
      </c>
      <c r="E1353" t="inlineStr">
        <is>
          <t>LINKÖPING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58367-2023</t>
        </is>
      </c>
      <c r="B1354" s="1" t="n">
        <v>45250</v>
      </c>
      <c r="C1354" s="1" t="n">
        <v>46093</v>
      </c>
      <c r="D1354" t="inlineStr">
        <is>
          <t>ÖSTERGÖTLANDS LÄN</t>
        </is>
      </c>
      <c r="E1354" t="inlineStr">
        <is>
          <t>FINSPÅNG</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58412-2023</t>
        </is>
      </c>
      <c r="B1355" s="1" t="n">
        <v>45250.71864583333</v>
      </c>
      <c r="C1355" s="1" t="n">
        <v>46093</v>
      </c>
      <c r="D1355" t="inlineStr">
        <is>
          <t>ÖSTERGÖTLANDS LÄN</t>
        </is>
      </c>
      <c r="E1355" t="inlineStr">
        <is>
          <t>MJÖLBY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7026-2025</t>
        </is>
      </c>
      <c r="B1356" s="1" t="n">
        <v>45701.62771990741</v>
      </c>
      <c r="C1356" s="1" t="n">
        <v>46093</v>
      </c>
      <c r="D1356" t="inlineStr">
        <is>
          <t>ÖSTERGÖTLANDS LÄN</t>
        </is>
      </c>
      <c r="E1356" t="inlineStr">
        <is>
          <t>YDRE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56041-2024</t>
        </is>
      </c>
      <c r="B1357" s="1" t="n">
        <v>45624.33611111111</v>
      </c>
      <c r="C1357" s="1" t="n">
        <v>46093</v>
      </c>
      <c r="D1357" t="inlineStr">
        <is>
          <t>ÖSTERGÖTLANDS LÄN</t>
        </is>
      </c>
      <c r="E1357" t="inlineStr">
        <is>
          <t>KINDA</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49990-2021</t>
        </is>
      </c>
      <c r="B1358" s="1" t="n">
        <v>44456</v>
      </c>
      <c r="C1358" s="1" t="n">
        <v>46093</v>
      </c>
      <c r="D1358" t="inlineStr">
        <is>
          <t>ÖSTERGÖTLANDS LÄN</t>
        </is>
      </c>
      <c r="E1358" t="inlineStr">
        <is>
          <t>BOXHOLM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41300-2021</t>
        </is>
      </c>
      <c r="B1359" s="1" t="n">
        <v>44424</v>
      </c>
      <c r="C1359" s="1" t="n">
        <v>46093</v>
      </c>
      <c r="D1359" t="inlineStr">
        <is>
          <t>ÖSTERGÖTLANDS LÄN</t>
        </is>
      </c>
      <c r="E1359" t="inlineStr">
        <is>
          <t>SÖDERKÖPING</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2955-2025</t>
        </is>
      </c>
      <c r="B1360" s="1" t="n">
        <v>45678.44092592593</v>
      </c>
      <c r="C1360" s="1" t="n">
        <v>46093</v>
      </c>
      <c r="D1360" t="inlineStr">
        <is>
          <t>ÖSTERGÖTLANDS LÄN</t>
        </is>
      </c>
      <c r="E1360" t="inlineStr">
        <is>
          <t>NORRKÖPING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61550-2024</t>
        </is>
      </c>
      <c r="B1361" s="1" t="n">
        <v>45646.60424768519</v>
      </c>
      <c r="C1361" s="1" t="n">
        <v>46093</v>
      </c>
      <c r="D1361" t="inlineStr">
        <is>
          <t>ÖSTERGÖTLANDS LÄN</t>
        </is>
      </c>
      <c r="E1361" t="inlineStr">
        <is>
          <t>ÅTVIDABERG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25254-2023</t>
        </is>
      </c>
      <c r="B1362" s="1" t="n">
        <v>45086.65193287037</v>
      </c>
      <c r="C1362" s="1" t="n">
        <v>46093</v>
      </c>
      <c r="D1362" t="inlineStr">
        <is>
          <t>ÖSTERGÖTLANDS LÄN</t>
        </is>
      </c>
      <c r="E1362" t="inlineStr">
        <is>
          <t>BOXHOLM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62012-2024</t>
        </is>
      </c>
      <c r="B1363" s="1" t="n">
        <v>45655.79679398148</v>
      </c>
      <c r="C1363" s="1" t="n">
        <v>46093</v>
      </c>
      <c r="D1363" t="inlineStr">
        <is>
          <t>ÖSTERGÖTLANDS LÄN</t>
        </is>
      </c>
      <c r="E1363" t="inlineStr">
        <is>
          <t>LINKÖPING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53625-2022</t>
        </is>
      </c>
      <c r="B1364" s="1" t="n">
        <v>44879.82269675926</v>
      </c>
      <c r="C1364" s="1" t="n">
        <v>46093</v>
      </c>
      <c r="D1364" t="inlineStr">
        <is>
          <t>ÖSTERGÖTLANDS LÄN</t>
        </is>
      </c>
      <c r="E1364" t="inlineStr">
        <is>
          <t>ÅTVIDABERG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9196-2024</t>
        </is>
      </c>
      <c r="B1365" s="1" t="n">
        <v>45358.46060185185</v>
      </c>
      <c r="C1365" s="1" t="n">
        <v>46093</v>
      </c>
      <c r="D1365" t="inlineStr">
        <is>
          <t>ÖSTERGÖTLANDS LÄN</t>
        </is>
      </c>
      <c r="E1365" t="inlineStr">
        <is>
          <t>ÅTVIDABERG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61043-2024</t>
        </is>
      </c>
      <c r="B1366" s="1" t="n">
        <v>45644</v>
      </c>
      <c r="C1366" s="1" t="n">
        <v>46093</v>
      </c>
      <c r="D1366" t="inlineStr">
        <is>
          <t>ÖSTERGÖTLANDS LÄN</t>
        </is>
      </c>
      <c r="E1366" t="inlineStr">
        <is>
          <t>NORRKÖPING</t>
        </is>
      </c>
      <c r="F1366" t="inlineStr">
        <is>
          <t>Allmännings- och besparingsskogar</t>
        </is>
      </c>
      <c r="G1366" t="n">
        <v>10.5</v>
      </c>
      <c r="H1366" t="n">
        <v>0</v>
      </c>
      <c r="I1366" t="n">
        <v>0</v>
      </c>
      <c r="J1366" t="n">
        <v>0</v>
      </c>
      <c r="K1366" t="n">
        <v>0</v>
      </c>
      <c r="L1366" t="n">
        <v>0</v>
      </c>
      <c r="M1366" t="n">
        <v>0</v>
      </c>
      <c r="N1366" t="n">
        <v>0</v>
      </c>
      <c r="O1366" t="n">
        <v>0</v>
      </c>
      <c r="P1366" t="n">
        <v>0</v>
      </c>
      <c r="Q1366" t="n">
        <v>0</v>
      </c>
      <c r="R1366" s="2" t="inlineStr"/>
    </row>
    <row r="1367" ht="15" customHeight="1">
      <c r="A1367" t="inlineStr">
        <is>
          <t>A 41939-2022</t>
        </is>
      </c>
      <c r="B1367" s="1" t="n">
        <v>44830.37873842593</v>
      </c>
      <c r="C1367" s="1" t="n">
        <v>46093</v>
      </c>
      <c r="D1367" t="inlineStr">
        <is>
          <t>ÖSTERGÖTLANDS LÄN</t>
        </is>
      </c>
      <c r="E1367" t="inlineStr">
        <is>
          <t>MOTALA</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16292-2021</t>
        </is>
      </c>
      <c r="B1368" s="1" t="n">
        <v>44292</v>
      </c>
      <c r="C1368" s="1" t="n">
        <v>46093</v>
      </c>
      <c r="D1368" t="inlineStr">
        <is>
          <t>ÖSTERGÖTLANDS LÄN</t>
        </is>
      </c>
      <c r="E1368" t="inlineStr">
        <is>
          <t>ÅTVIDABERG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25268-2023</t>
        </is>
      </c>
      <c r="B1369" s="1" t="n">
        <v>45086.66693287037</v>
      </c>
      <c r="C1369" s="1" t="n">
        <v>46093</v>
      </c>
      <c r="D1369" t="inlineStr">
        <is>
          <t>ÖSTERGÖTLANDS LÄN</t>
        </is>
      </c>
      <c r="E1369" t="inlineStr">
        <is>
          <t>KINDA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48591-2021</t>
        </is>
      </c>
      <c r="B1370" s="1" t="n">
        <v>44452</v>
      </c>
      <c r="C1370" s="1" t="n">
        <v>46093</v>
      </c>
      <c r="D1370" t="inlineStr">
        <is>
          <t>ÖSTERGÖTLANDS LÄN</t>
        </is>
      </c>
      <c r="E1370" t="inlineStr">
        <is>
          <t>NORRKÖPING</t>
        </is>
      </c>
      <c r="F1370" t="inlineStr">
        <is>
          <t>Holmen skog AB</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59410-2022</t>
        </is>
      </c>
      <c r="B1371" s="1" t="n">
        <v>44907</v>
      </c>
      <c r="C1371" s="1" t="n">
        <v>46093</v>
      </c>
      <c r="D1371" t="inlineStr">
        <is>
          <t>ÖSTERGÖTLANDS LÄN</t>
        </is>
      </c>
      <c r="E1371" t="inlineStr">
        <is>
          <t>MJÖLBY</t>
        </is>
      </c>
      <c r="F1371" t="inlineStr">
        <is>
          <t>Övriga Aktiebolag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34309-2025</t>
        </is>
      </c>
      <c r="B1372" s="1" t="n">
        <v>45846.37765046296</v>
      </c>
      <c r="C1372" s="1" t="n">
        <v>46093</v>
      </c>
      <c r="D1372" t="inlineStr">
        <is>
          <t>ÖSTERGÖTLANDS LÄN</t>
        </is>
      </c>
      <c r="E1372" t="inlineStr">
        <is>
          <t>FINSPÅNG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10935-2023</t>
        </is>
      </c>
      <c r="B1373" s="1" t="n">
        <v>44991.5281712963</v>
      </c>
      <c r="C1373" s="1" t="n">
        <v>46093</v>
      </c>
      <c r="D1373" t="inlineStr">
        <is>
          <t>ÖSTERGÖTLANDS LÄN</t>
        </is>
      </c>
      <c r="E1373" t="inlineStr">
        <is>
          <t>KINDA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29445-2024</t>
        </is>
      </c>
      <c r="B1374" s="1" t="n">
        <v>45483.86824074074</v>
      </c>
      <c r="C1374" s="1" t="n">
        <v>46093</v>
      </c>
      <c r="D1374" t="inlineStr">
        <is>
          <t>ÖSTERGÖTLANDS LÄN</t>
        </is>
      </c>
      <c r="E1374" t="inlineStr">
        <is>
          <t>KINDA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54505-2024</t>
        </is>
      </c>
      <c r="B1375" s="1" t="n">
        <v>45617.58458333334</v>
      </c>
      <c r="C1375" s="1" t="n">
        <v>46093</v>
      </c>
      <c r="D1375" t="inlineStr">
        <is>
          <t>ÖSTERGÖTLANDS LÄN</t>
        </is>
      </c>
      <c r="E1375" t="inlineStr">
        <is>
          <t>FINSPÅNG</t>
        </is>
      </c>
      <c r="F1375" t="inlineStr">
        <is>
          <t>Holmen skog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1881-2025</t>
        </is>
      </c>
      <c r="B1376" s="1" t="n">
        <v>45671.62480324074</v>
      </c>
      <c r="C1376" s="1" t="n">
        <v>46093</v>
      </c>
      <c r="D1376" t="inlineStr">
        <is>
          <t>ÖSTERGÖTLANDS LÄN</t>
        </is>
      </c>
      <c r="E1376" t="inlineStr">
        <is>
          <t>KINDA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8410-2025</t>
        </is>
      </c>
      <c r="B1377" s="1" t="n">
        <v>45709.39152777778</v>
      </c>
      <c r="C1377" s="1" t="n">
        <v>46093</v>
      </c>
      <c r="D1377" t="inlineStr">
        <is>
          <t>ÖSTERGÖTLANDS LÄN</t>
        </is>
      </c>
      <c r="E1377" t="inlineStr">
        <is>
          <t>KINDA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8426-2025</t>
        </is>
      </c>
      <c r="B1378" s="1" t="n">
        <v>45709.4119212963</v>
      </c>
      <c r="C1378" s="1" t="n">
        <v>46093</v>
      </c>
      <c r="D1378" t="inlineStr">
        <is>
          <t>ÖSTERGÖTLANDS LÄN</t>
        </is>
      </c>
      <c r="E1378" t="inlineStr">
        <is>
          <t>NORRKÖPING</t>
        </is>
      </c>
      <c r="F1378" t="inlineStr">
        <is>
          <t>Holmen skog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13275-2021</t>
        </is>
      </c>
      <c r="B1379" s="1" t="n">
        <v>44272</v>
      </c>
      <c r="C1379" s="1" t="n">
        <v>46093</v>
      </c>
      <c r="D1379" t="inlineStr">
        <is>
          <t>ÖSTERGÖTLANDS LÄN</t>
        </is>
      </c>
      <c r="E1379" t="inlineStr">
        <is>
          <t>NORRKÖPING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19050-2021</t>
        </is>
      </c>
      <c r="B1380" s="1" t="n">
        <v>44308</v>
      </c>
      <c r="C1380" s="1" t="n">
        <v>46093</v>
      </c>
      <c r="D1380" t="inlineStr">
        <is>
          <t>ÖSTERGÖTLANDS LÄN</t>
        </is>
      </c>
      <c r="E1380" t="inlineStr">
        <is>
          <t>VALDEMARSVIK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54961-2021</t>
        </is>
      </c>
      <c r="B1381" s="1" t="n">
        <v>44474</v>
      </c>
      <c r="C1381" s="1" t="n">
        <v>46093</v>
      </c>
      <c r="D1381" t="inlineStr">
        <is>
          <t>ÖSTERGÖTLANDS LÄN</t>
        </is>
      </c>
      <c r="E1381" t="inlineStr">
        <is>
          <t>SÖDERKÖPING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35650-2022</t>
        </is>
      </c>
      <c r="B1382" s="1" t="n">
        <v>44799</v>
      </c>
      <c r="C1382" s="1" t="n">
        <v>46093</v>
      </c>
      <c r="D1382" t="inlineStr">
        <is>
          <t>ÖSTERGÖTLANDS LÄN</t>
        </is>
      </c>
      <c r="E1382" t="inlineStr">
        <is>
          <t>KINDA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65333-2021</t>
        </is>
      </c>
      <c r="B1383" s="1" t="n">
        <v>44515</v>
      </c>
      <c r="C1383" s="1" t="n">
        <v>46093</v>
      </c>
      <c r="D1383" t="inlineStr">
        <is>
          <t>ÖSTERGÖTLANDS LÄN</t>
        </is>
      </c>
      <c r="E1383" t="inlineStr">
        <is>
          <t>BOXHOLM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35654-2022</t>
        </is>
      </c>
      <c r="B1384" s="1" t="n">
        <v>44799.57753472222</v>
      </c>
      <c r="C1384" s="1" t="n">
        <v>46093</v>
      </c>
      <c r="D1384" t="inlineStr">
        <is>
          <t>ÖSTERGÖTLANDS LÄN</t>
        </is>
      </c>
      <c r="E1384" t="inlineStr">
        <is>
          <t>KINDA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35659-2022</t>
        </is>
      </c>
      <c r="B1385" s="1" t="n">
        <v>44799.58418981481</v>
      </c>
      <c r="C1385" s="1" t="n">
        <v>46093</v>
      </c>
      <c r="D1385" t="inlineStr">
        <is>
          <t>ÖSTERGÖTLANDS LÄN</t>
        </is>
      </c>
      <c r="E1385" t="inlineStr">
        <is>
          <t>VALDEMARSVIK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34262-2025</t>
        </is>
      </c>
      <c r="B1386" s="1" t="n">
        <v>45845</v>
      </c>
      <c r="C1386" s="1" t="n">
        <v>46093</v>
      </c>
      <c r="D1386" t="inlineStr">
        <is>
          <t>ÖSTERGÖTLANDS LÄN</t>
        </is>
      </c>
      <c r="E1386" t="inlineStr">
        <is>
          <t>KINDA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15504-2023</t>
        </is>
      </c>
      <c r="B1387" s="1" t="n">
        <v>45020.49516203703</v>
      </c>
      <c r="C1387" s="1" t="n">
        <v>46093</v>
      </c>
      <c r="D1387" t="inlineStr">
        <is>
          <t>ÖSTERGÖTLANDS LÄN</t>
        </is>
      </c>
      <c r="E1387" t="inlineStr">
        <is>
          <t>BOXHOLM</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53814-2023</t>
        </is>
      </c>
      <c r="B1388" s="1" t="n">
        <v>45231</v>
      </c>
      <c r="C1388" s="1" t="n">
        <v>46093</v>
      </c>
      <c r="D1388" t="inlineStr">
        <is>
          <t>ÖSTERGÖTLANDS LÄN</t>
        </is>
      </c>
      <c r="E1388" t="inlineStr">
        <is>
          <t>LINKÖPING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53342-2024</t>
        </is>
      </c>
      <c r="B1389" s="1" t="n">
        <v>45614.43695601852</v>
      </c>
      <c r="C1389" s="1" t="n">
        <v>46093</v>
      </c>
      <c r="D1389" t="inlineStr">
        <is>
          <t>ÖSTERGÖTLANDS LÄN</t>
        </is>
      </c>
      <c r="E1389" t="inlineStr">
        <is>
          <t>BOXHOLM</t>
        </is>
      </c>
      <c r="F1389" t="inlineStr">
        <is>
          <t>Övriga Aktiebolag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34310-2025</t>
        </is>
      </c>
      <c r="B1390" s="1" t="n">
        <v>45846.38990740741</v>
      </c>
      <c r="C1390" s="1" t="n">
        <v>46093</v>
      </c>
      <c r="D1390" t="inlineStr">
        <is>
          <t>ÖSTERGÖTLANDS LÄN</t>
        </is>
      </c>
      <c r="E1390" t="inlineStr">
        <is>
          <t>FINSPÅNG</t>
        </is>
      </c>
      <c r="F1390" t="inlineStr">
        <is>
          <t>Holmen skog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29396-2023</t>
        </is>
      </c>
      <c r="B1391" s="1" t="n">
        <v>45106.43715277778</v>
      </c>
      <c r="C1391" s="1" t="n">
        <v>46093</v>
      </c>
      <c r="D1391" t="inlineStr">
        <is>
          <t>ÖSTERGÖTLANDS LÄN</t>
        </is>
      </c>
      <c r="E1391" t="inlineStr">
        <is>
          <t>BOXHOLM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8409-2025</t>
        </is>
      </c>
      <c r="B1392" s="1" t="n">
        <v>45709.38978009259</v>
      </c>
      <c r="C1392" s="1" t="n">
        <v>46093</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c r="U1392">
        <f>HYPERLINK("https://klasma.github.io/Logging_0513/knärot/A 8409-2025 karta knärot.png", "A 8409-2025")</f>
        <v/>
      </c>
      <c r="V1392">
        <f>HYPERLINK("https://klasma.github.io/Logging_0513/klagomål/A 8409-2025 FSC-klagomål.docx", "A 8409-2025")</f>
        <v/>
      </c>
      <c r="W1392">
        <f>HYPERLINK("https://klasma.github.io/Logging_0513/klagomålsmail/A 8409-2025 FSC-klagomål mail.docx", "A 8409-2025")</f>
        <v/>
      </c>
      <c r="X1392">
        <f>HYPERLINK("https://klasma.github.io/Logging_0513/tillsyn/A 8409-2025 tillsynsbegäran.docx", "A 8409-2025")</f>
        <v/>
      </c>
      <c r="Y1392">
        <f>HYPERLINK("https://klasma.github.io/Logging_0513/tillsynsmail/A 8409-2025 tillsynsbegäran mail.docx", "A 8409-2025")</f>
        <v/>
      </c>
    </row>
    <row r="1393" ht="15" customHeight="1">
      <c r="A1393" t="inlineStr">
        <is>
          <t>A 7237-2024</t>
        </is>
      </c>
      <c r="B1393" s="1" t="n">
        <v>45344</v>
      </c>
      <c r="C1393" s="1" t="n">
        <v>46093</v>
      </c>
      <c r="D1393" t="inlineStr">
        <is>
          <t>ÖSTERGÖTLANDS LÄN</t>
        </is>
      </c>
      <c r="E1393" t="inlineStr">
        <is>
          <t>VALDEMARSVIK</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22961-2025</t>
        </is>
      </c>
      <c r="B1394" s="1" t="n">
        <v>45790.53825231481</v>
      </c>
      <c r="C1394" s="1" t="n">
        <v>46093</v>
      </c>
      <c r="D1394" t="inlineStr">
        <is>
          <t>ÖSTERGÖTLANDS LÄN</t>
        </is>
      </c>
      <c r="E1394" t="inlineStr">
        <is>
          <t>YDRE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13802-2025</t>
        </is>
      </c>
      <c r="B1395" s="1" t="n">
        <v>45737.48712962963</v>
      </c>
      <c r="C1395" s="1" t="n">
        <v>46093</v>
      </c>
      <c r="D1395" t="inlineStr">
        <is>
          <t>ÖSTERGÖTLANDS LÄN</t>
        </is>
      </c>
      <c r="E1395" t="inlineStr">
        <is>
          <t>SÖDERKÖPING</t>
        </is>
      </c>
      <c r="F1395" t="inlineStr">
        <is>
          <t>Holmen skog AB</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3440-2023</t>
        </is>
      </c>
      <c r="B1396" s="1" t="n">
        <v>44949.59946759259</v>
      </c>
      <c r="C1396" s="1" t="n">
        <v>46093</v>
      </c>
      <c r="D1396" t="inlineStr">
        <is>
          <t>ÖSTERGÖTLANDS LÄN</t>
        </is>
      </c>
      <c r="E1396" t="inlineStr">
        <is>
          <t>FINSPÅNG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54916-2024</t>
        </is>
      </c>
      <c r="B1397" s="1" t="n">
        <v>45618.69439814815</v>
      </c>
      <c r="C1397" s="1" t="n">
        <v>46093</v>
      </c>
      <c r="D1397" t="inlineStr">
        <is>
          <t>ÖSTERGÖTLANDS LÄN</t>
        </is>
      </c>
      <c r="E1397" t="inlineStr">
        <is>
          <t>FINSPÅNG</t>
        </is>
      </c>
      <c r="G1397" t="n">
        <v>11.8</v>
      </c>
      <c r="H1397" t="n">
        <v>0</v>
      </c>
      <c r="I1397" t="n">
        <v>0</v>
      </c>
      <c r="J1397" t="n">
        <v>0</v>
      </c>
      <c r="K1397" t="n">
        <v>0</v>
      </c>
      <c r="L1397" t="n">
        <v>0</v>
      </c>
      <c r="M1397" t="n">
        <v>0</v>
      </c>
      <c r="N1397" t="n">
        <v>0</v>
      </c>
      <c r="O1397" t="n">
        <v>0</v>
      </c>
      <c r="P1397" t="n">
        <v>0</v>
      </c>
      <c r="Q1397" t="n">
        <v>0</v>
      </c>
      <c r="R1397" s="2" t="inlineStr"/>
    </row>
    <row r="1398" ht="15" customHeight="1">
      <c r="A1398" t="inlineStr">
        <is>
          <t>A 26592-2023</t>
        </is>
      </c>
      <c r="B1398" s="1" t="n">
        <v>45092</v>
      </c>
      <c r="C1398" s="1" t="n">
        <v>46093</v>
      </c>
      <c r="D1398" t="inlineStr">
        <is>
          <t>ÖSTERGÖTLANDS LÄN</t>
        </is>
      </c>
      <c r="E1398" t="inlineStr">
        <is>
          <t>ÅTVIDABERG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59278-2021</t>
        </is>
      </c>
      <c r="B1399" s="1" t="n">
        <v>44490.73391203704</v>
      </c>
      <c r="C1399" s="1" t="n">
        <v>46093</v>
      </c>
      <c r="D1399" t="inlineStr">
        <is>
          <t>ÖSTERGÖTLANDS LÄN</t>
        </is>
      </c>
      <c r="E1399" t="inlineStr">
        <is>
          <t>SÖDERKÖPING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55620-2021</t>
        </is>
      </c>
      <c r="B1400" s="1" t="n">
        <v>44476</v>
      </c>
      <c r="C1400" s="1" t="n">
        <v>46093</v>
      </c>
      <c r="D1400" t="inlineStr">
        <is>
          <t>ÖSTERGÖTLANDS LÄN</t>
        </is>
      </c>
      <c r="E1400" t="inlineStr">
        <is>
          <t>FINSPÅNG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10407-2025</t>
        </is>
      </c>
      <c r="B1401" s="1" t="n">
        <v>45720.62863425926</v>
      </c>
      <c r="C1401" s="1" t="n">
        <v>46093</v>
      </c>
      <c r="D1401" t="inlineStr">
        <is>
          <t>ÖSTERGÖTLANDS LÄN</t>
        </is>
      </c>
      <c r="E1401" t="inlineStr">
        <is>
          <t>LINKÖPING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50050-2023</t>
        </is>
      </c>
      <c r="B1402" s="1" t="n">
        <v>45215</v>
      </c>
      <c r="C1402" s="1" t="n">
        <v>46093</v>
      </c>
      <c r="D1402" t="inlineStr">
        <is>
          <t>ÖSTERGÖTLANDS LÄN</t>
        </is>
      </c>
      <c r="E1402" t="inlineStr">
        <is>
          <t>SÖDERKÖPING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1176-2022</t>
        </is>
      </c>
      <c r="B1403" s="1" t="n">
        <v>44572</v>
      </c>
      <c r="C1403" s="1" t="n">
        <v>46093</v>
      </c>
      <c r="D1403" t="inlineStr">
        <is>
          <t>ÖSTERGÖTLANDS LÄN</t>
        </is>
      </c>
      <c r="E1403" t="inlineStr">
        <is>
          <t>YDRE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14244-2024</t>
        </is>
      </c>
      <c r="B1404" s="1" t="n">
        <v>45393</v>
      </c>
      <c r="C1404" s="1" t="n">
        <v>46093</v>
      </c>
      <c r="D1404" t="inlineStr">
        <is>
          <t>ÖSTERGÖTLANDS LÄN</t>
        </is>
      </c>
      <c r="E1404" t="inlineStr">
        <is>
          <t>KINDA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47419-2024</t>
        </is>
      </c>
      <c r="B1405" s="1" t="n">
        <v>45586</v>
      </c>
      <c r="C1405" s="1" t="n">
        <v>46093</v>
      </c>
      <c r="D1405" t="inlineStr">
        <is>
          <t>ÖSTERGÖTLANDS LÄN</t>
        </is>
      </c>
      <c r="E1405" t="inlineStr">
        <is>
          <t>SÖDERKÖPING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7061-2024</t>
        </is>
      </c>
      <c r="B1406" s="1" t="n">
        <v>45343</v>
      </c>
      <c r="C1406" s="1" t="n">
        <v>46093</v>
      </c>
      <c r="D1406" t="inlineStr">
        <is>
          <t>ÖSTERGÖTLANDS LÄN</t>
        </is>
      </c>
      <c r="E1406" t="inlineStr">
        <is>
          <t>BOXHOLM</t>
        </is>
      </c>
      <c r="F1406" t="inlineStr">
        <is>
          <t>Allmännings- och besparingsskogar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57497-2021</t>
        </is>
      </c>
      <c r="B1407" s="1" t="n">
        <v>44483</v>
      </c>
      <c r="C1407" s="1" t="n">
        <v>46093</v>
      </c>
      <c r="D1407" t="inlineStr">
        <is>
          <t>ÖSTERGÖTLANDS LÄN</t>
        </is>
      </c>
      <c r="E1407" t="inlineStr">
        <is>
          <t>KINDA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16892-2021</t>
        </is>
      </c>
      <c r="B1408" s="1" t="n">
        <v>44294</v>
      </c>
      <c r="C1408" s="1" t="n">
        <v>46093</v>
      </c>
      <c r="D1408" t="inlineStr">
        <is>
          <t>ÖSTERGÖTLANDS LÄN</t>
        </is>
      </c>
      <c r="E1408" t="inlineStr">
        <is>
          <t>ÅTVIDABERG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15869-2024</t>
        </is>
      </c>
      <c r="B1409" s="1" t="n">
        <v>45405</v>
      </c>
      <c r="C1409" s="1" t="n">
        <v>46093</v>
      </c>
      <c r="D1409" t="inlineStr">
        <is>
          <t>ÖSTERGÖTLANDS LÄN</t>
        </is>
      </c>
      <c r="E1409" t="inlineStr">
        <is>
          <t>NORRKÖPING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29630-2022</t>
        </is>
      </c>
      <c r="B1410" s="1" t="n">
        <v>44754.60368055556</v>
      </c>
      <c r="C1410" s="1" t="n">
        <v>46093</v>
      </c>
      <c r="D1410" t="inlineStr">
        <is>
          <t>ÖSTERGÖTLANDS LÄN</t>
        </is>
      </c>
      <c r="E1410" t="inlineStr">
        <is>
          <t>FINSPÅNG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11163-2023</t>
        </is>
      </c>
      <c r="B1411" s="1" t="n">
        <v>44987</v>
      </c>
      <c r="C1411" s="1" t="n">
        <v>46093</v>
      </c>
      <c r="D1411" t="inlineStr">
        <is>
          <t>ÖSTERGÖTLANDS LÄN</t>
        </is>
      </c>
      <c r="E1411" t="inlineStr">
        <is>
          <t>YDRE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4982-2022</t>
        </is>
      </c>
      <c r="B1412" s="1" t="n">
        <v>44593</v>
      </c>
      <c r="C1412" s="1" t="n">
        <v>46093</v>
      </c>
      <c r="D1412" t="inlineStr">
        <is>
          <t>ÖSTERGÖTLANDS LÄN</t>
        </is>
      </c>
      <c r="E1412" t="inlineStr">
        <is>
          <t>YDRE</t>
        </is>
      </c>
      <c r="F1412" t="inlineStr">
        <is>
          <t>Övriga Aktiebolag</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7743-2023</t>
        </is>
      </c>
      <c r="B1413" s="1" t="n">
        <v>44973</v>
      </c>
      <c r="C1413" s="1" t="n">
        <v>46093</v>
      </c>
      <c r="D1413" t="inlineStr">
        <is>
          <t>ÖSTERGÖTLANDS LÄN</t>
        </is>
      </c>
      <c r="E1413" t="inlineStr">
        <is>
          <t>FINSPÅNG</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35079-2023</t>
        </is>
      </c>
      <c r="B1414" s="1" t="n">
        <v>45145.42855324074</v>
      </c>
      <c r="C1414" s="1" t="n">
        <v>46093</v>
      </c>
      <c r="D1414" t="inlineStr">
        <is>
          <t>ÖSTERGÖTLANDS LÄN</t>
        </is>
      </c>
      <c r="E1414" t="inlineStr">
        <is>
          <t>ÖDESHÖG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61486-2024</t>
        </is>
      </c>
      <c r="B1415" s="1" t="n">
        <v>45646.54402777777</v>
      </c>
      <c r="C1415" s="1" t="n">
        <v>46093</v>
      </c>
      <c r="D1415" t="inlineStr">
        <is>
          <t>ÖSTERGÖTLANDS LÄN</t>
        </is>
      </c>
      <c r="E1415" t="inlineStr">
        <is>
          <t>BOXHOLM</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34172-2025</t>
        </is>
      </c>
      <c r="B1416" s="1" t="n">
        <v>45845.59033564815</v>
      </c>
      <c r="C1416" s="1" t="n">
        <v>46093</v>
      </c>
      <c r="D1416" t="inlineStr">
        <is>
          <t>ÖSTERGÖTLANDS LÄN</t>
        </is>
      </c>
      <c r="E1416" t="inlineStr">
        <is>
          <t>FINSPÅNG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25951-2021</t>
        </is>
      </c>
      <c r="B1417" s="1" t="n">
        <v>44344.49251157408</v>
      </c>
      <c r="C1417" s="1" t="n">
        <v>46093</v>
      </c>
      <c r="D1417" t="inlineStr">
        <is>
          <t>ÖSTERGÖTLANDS LÄN</t>
        </is>
      </c>
      <c r="E1417" t="inlineStr">
        <is>
          <t>NORRKÖPING</t>
        </is>
      </c>
      <c r="F1417" t="inlineStr">
        <is>
          <t>Holmen skog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30236-2021</t>
        </is>
      </c>
      <c r="B1418" s="1" t="n">
        <v>44363</v>
      </c>
      <c r="C1418" s="1" t="n">
        <v>46093</v>
      </c>
      <c r="D1418" t="inlineStr">
        <is>
          <t>ÖSTERGÖTLANDS LÄN</t>
        </is>
      </c>
      <c r="E1418" t="inlineStr">
        <is>
          <t>NORRKÖPING</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20226-2021</t>
        </is>
      </c>
      <c r="B1419" s="1" t="n">
        <v>44314</v>
      </c>
      <c r="C1419" s="1" t="n">
        <v>46093</v>
      </c>
      <c r="D1419" t="inlineStr">
        <is>
          <t>ÖSTERGÖTLANDS LÄN</t>
        </is>
      </c>
      <c r="E1419" t="inlineStr">
        <is>
          <t>FINSPÅNG</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17872-2025</t>
        </is>
      </c>
      <c r="B1420" s="1" t="n">
        <v>45758.64047453704</v>
      </c>
      <c r="C1420" s="1" t="n">
        <v>46093</v>
      </c>
      <c r="D1420" t="inlineStr">
        <is>
          <t>ÖSTERGÖTLANDS LÄN</t>
        </is>
      </c>
      <c r="E1420" t="inlineStr">
        <is>
          <t>BOXHOLM</t>
        </is>
      </c>
      <c r="F1420" t="inlineStr">
        <is>
          <t>Övriga Aktiebolag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34392-2025</t>
        </is>
      </c>
      <c r="B1421" s="1" t="n">
        <v>45846</v>
      </c>
      <c r="C1421" s="1" t="n">
        <v>46093</v>
      </c>
      <c r="D1421" t="inlineStr">
        <is>
          <t>ÖSTERGÖTLANDS LÄN</t>
        </is>
      </c>
      <c r="E1421" t="inlineStr">
        <is>
          <t>SÖDERKÖPING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7091-2024</t>
        </is>
      </c>
      <c r="B1422" s="1" t="n">
        <v>45343.80733796296</v>
      </c>
      <c r="C1422" s="1" t="n">
        <v>46093</v>
      </c>
      <c r="D1422" t="inlineStr">
        <is>
          <t>ÖSTERGÖTLANDS LÄN</t>
        </is>
      </c>
      <c r="E1422" t="inlineStr">
        <is>
          <t>ÅTVIDABERG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39021-2021</t>
        </is>
      </c>
      <c r="B1423" s="1" t="n">
        <v>44412</v>
      </c>
      <c r="C1423" s="1" t="n">
        <v>46093</v>
      </c>
      <c r="D1423" t="inlineStr">
        <is>
          <t>ÖSTERGÖTLANDS LÄN</t>
        </is>
      </c>
      <c r="E1423" t="inlineStr">
        <is>
          <t>LINKÖPING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19654-2025</t>
        </is>
      </c>
      <c r="B1424" s="1" t="n">
        <v>45770.67305555556</v>
      </c>
      <c r="C1424" s="1" t="n">
        <v>46093</v>
      </c>
      <c r="D1424" t="inlineStr">
        <is>
          <t>ÖSTERGÖTLANDS LÄN</t>
        </is>
      </c>
      <c r="E1424" t="inlineStr">
        <is>
          <t>KINDA</t>
        </is>
      </c>
      <c r="F1424" t="inlineStr">
        <is>
          <t>Allmännings- och besparingsskogar</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29709-2021</t>
        </is>
      </c>
      <c r="B1425" s="1" t="n">
        <v>44362</v>
      </c>
      <c r="C1425" s="1" t="n">
        <v>46093</v>
      </c>
      <c r="D1425" t="inlineStr">
        <is>
          <t>ÖSTERGÖTLANDS LÄN</t>
        </is>
      </c>
      <c r="E1425" t="inlineStr">
        <is>
          <t>FINSPÅNG</t>
        </is>
      </c>
      <c r="F1425" t="inlineStr">
        <is>
          <t>Holmen skog AB</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62158-2022</t>
        </is>
      </c>
      <c r="B1426" s="1" t="n">
        <v>44922.43804398148</v>
      </c>
      <c r="C1426" s="1" t="n">
        <v>46093</v>
      </c>
      <c r="D1426" t="inlineStr">
        <is>
          <t>ÖSTERGÖTLANDS LÄN</t>
        </is>
      </c>
      <c r="E1426" t="inlineStr">
        <is>
          <t>FINSPÅNG</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5706-2024</t>
        </is>
      </c>
      <c r="B1427" s="1" t="n">
        <v>45334.82431712963</v>
      </c>
      <c r="C1427" s="1" t="n">
        <v>46093</v>
      </c>
      <c r="D1427" t="inlineStr">
        <is>
          <t>ÖSTERGÖTLANDS LÄN</t>
        </is>
      </c>
      <c r="E1427" t="inlineStr">
        <is>
          <t>KINDA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6490-2024</t>
        </is>
      </c>
      <c r="B1428" s="1" t="n">
        <v>45339.5277199074</v>
      </c>
      <c r="C1428" s="1" t="n">
        <v>46093</v>
      </c>
      <c r="D1428" t="inlineStr">
        <is>
          <t>ÖSTERGÖTLANDS LÄN</t>
        </is>
      </c>
      <c r="E1428" t="inlineStr">
        <is>
          <t>NORRKÖPING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9480-2024</t>
        </is>
      </c>
      <c r="B1429" s="1" t="n">
        <v>45359.57516203704</v>
      </c>
      <c r="C1429" s="1" t="n">
        <v>46093</v>
      </c>
      <c r="D1429" t="inlineStr">
        <is>
          <t>ÖSTERGÖTLANDS LÄN</t>
        </is>
      </c>
      <c r="E1429" t="inlineStr">
        <is>
          <t>SÖDERKÖPING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19785-2021</t>
        </is>
      </c>
      <c r="B1430" s="1" t="n">
        <v>44313</v>
      </c>
      <c r="C1430" s="1" t="n">
        <v>46093</v>
      </c>
      <c r="D1430" t="inlineStr">
        <is>
          <t>ÖSTERGÖTLANDS LÄN</t>
        </is>
      </c>
      <c r="E1430" t="inlineStr">
        <is>
          <t>NORRKÖPING</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45918-2024</t>
        </is>
      </c>
      <c r="B1431" s="1" t="n">
        <v>45580.4637037037</v>
      </c>
      <c r="C1431" s="1" t="n">
        <v>46093</v>
      </c>
      <c r="D1431" t="inlineStr">
        <is>
          <t>ÖSTERGÖTLANDS LÄN</t>
        </is>
      </c>
      <c r="E1431" t="inlineStr">
        <is>
          <t>MJÖLBY</t>
        </is>
      </c>
      <c r="G1431" t="n">
        <v>0</v>
      </c>
      <c r="H1431" t="n">
        <v>0</v>
      </c>
      <c r="I1431" t="n">
        <v>0</v>
      </c>
      <c r="J1431" t="n">
        <v>0</v>
      </c>
      <c r="K1431" t="n">
        <v>0</v>
      </c>
      <c r="L1431" t="n">
        <v>0</v>
      </c>
      <c r="M1431" t="n">
        <v>0</v>
      </c>
      <c r="N1431" t="n">
        <v>0</v>
      </c>
      <c r="O1431" t="n">
        <v>0</v>
      </c>
      <c r="P1431" t="n">
        <v>0</v>
      </c>
      <c r="Q1431" t="n">
        <v>0</v>
      </c>
      <c r="R1431" s="2" t="inlineStr"/>
    </row>
    <row r="1432" ht="15" customHeight="1">
      <c r="A1432" t="inlineStr">
        <is>
          <t>A 36100-2022</t>
        </is>
      </c>
      <c r="B1432" s="1" t="n">
        <v>44802</v>
      </c>
      <c r="C1432" s="1" t="n">
        <v>46093</v>
      </c>
      <c r="D1432" t="inlineStr">
        <is>
          <t>ÖSTERGÖTLANDS LÄN</t>
        </is>
      </c>
      <c r="E1432" t="inlineStr">
        <is>
          <t>FINSPÅNG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36114-2022</t>
        </is>
      </c>
      <c r="B1433" s="1" t="n">
        <v>44803.27201388889</v>
      </c>
      <c r="C1433" s="1" t="n">
        <v>46093</v>
      </c>
      <c r="D1433" t="inlineStr">
        <is>
          <t>ÖSTERGÖTLANDS LÄN</t>
        </is>
      </c>
      <c r="E1433" t="inlineStr">
        <is>
          <t>ÖDESHÖG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45973-2024</t>
        </is>
      </c>
      <c r="B1434" s="1" t="n">
        <v>45580</v>
      </c>
      <c r="C1434" s="1" t="n">
        <v>46093</v>
      </c>
      <c r="D1434" t="inlineStr">
        <is>
          <t>ÖSTERGÖTLANDS LÄN</t>
        </is>
      </c>
      <c r="E1434" t="inlineStr">
        <is>
          <t>ÖDESHÖG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16590-2024</t>
        </is>
      </c>
      <c r="B1435" s="1" t="n">
        <v>45408.49326388889</v>
      </c>
      <c r="C1435" s="1" t="n">
        <v>46093</v>
      </c>
      <c r="D1435" t="inlineStr">
        <is>
          <t>ÖSTERGÖTLANDS LÄN</t>
        </is>
      </c>
      <c r="E1435" t="inlineStr">
        <is>
          <t>NORRKÖPING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12155-2024</t>
        </is>
      </c>
      <c r="B1436" s="1" t="n">
        <v>45377</v>
      </c>
      <c r="C1436" s="1" t="n">
        <v>46093</v>
      </c>
      <c r="D1436" t="inlineStr">
        <is>
          <t>ÖSTERGÖTLANDS LÄN</t>
        </is>
      </c>
      <c r="E1436" t="inlineStr">
        <is>
          <t>MOTALA</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28732-2023</t>
        </is>
      </c>
      <c r="B1437" s="1" t="n">
        <v>45103.91359953704</v>
      </c>
      <c r="C1437" s="1" t="n">
        <v>46093</v>
      </c>
      <c r="D1437" t="inlineStr">
        <is>
          <t>ÖSTERGÖTLANDS LÄN</t>
        </is>
      </c>
      <c r="E1437" t="inlineStr">
        <is>
          <t>FINSPÅNG</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55295-2023</t>
        </is>
      </c>
      <c r="B1438" s="1" t="n">
        <v>45237</v>
      </c>
      <c r="C1438" s="1" t="n">
        <v>46093</v>
      </c>
      <c r="D1438" t="inlineStr">
        <is>
          <t>ÖSTERGÖTLANDS LÄN</t>
        </is>
      </c>
      <c r="E1438" t="inlineStr">
        <is>
          <t>MOTALA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47600-2023</t>
        </is>
      </c>
      <c r="B1439" s="1" t="n">
        <v>45203.45528935185</v>
      </c>
      <c r="C1439" s="1" t="n">
        <v>46093</v>
      </c>
      <c r="D1439" t="inlineStr">
        <is>
          <t>ÖSTERGÖTLANDS LÄN</t>
        </is>
      </c>
      <c r="E1439" t="inlineStr">
        <is>
          <t>ÖDESHÖG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68547-2021</t>
        </is>
      </c>
      <c r="B1440" s="1" t="n">
        <v>44528</v>
      </c>
      <c r="C1440" s="1" t="n">
        <v>46093</v>
      </c>
      <c r="D1440" t="inlineStr">
        <is>
          <t>ÖSTERGÖTLANDS LÄN</t>
        </is>
      </c>
      <c r="E1440" t="inlineStr">
        <is>
          <t>ÅTVIDABERG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59520-2023</t>
        </is>
      </c>
      <c r="B1441" s="1" t="n">
        <v>45254</v>
      </c>
      <c r="C1441" s="1" t="n">
        <v>46093</v>
      </c>
      <c r="D1441" t="inlineStr">
        <is>
          <t>ÖSTERGÖTLANDS LÄN</t>
        </is>
      </c>
      <c r="E1441" t="inlineStr">
        <is>
          <t>NORRKÖPING</t>
        </is>
      </c>
      <c r="F1441" t="inlineStr">
        <is>
          <t>BillerudKorsnäs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21874-2021</t>
        </is>
      </c>
      <c r="B1442" s="1" t="n">
        <v>44322</v>
      </c>
      <c r="C1442" s="1" t="n">
        <v>46093</v>
      </c>
      <c r="D1442" t="inlineStr">
        <is>
          <t>ÖSTERGÖTLANDS LÄN</t>
        </is>
      </c>
      <c r="E1442" t="inlineStr">
        <is>
          <t>VALDEMARSVIK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60004-2022</t>
        </is>
      </c>
      <c r="B1443" s="1" t="n">
        <v>44909.47206018519</v>
      </c>
      <c r="C1443" s="1" t="n">
        <v>46093</v>
      </c>
      <c r="D1443" t="inlineStr">
        <is>
          <t>ÖSTERGÖTLANDS LÄN</t>
        </is>
      </c>
      <c r="E1443" t="inlineStr">
        <is>
          <t>LINKÖPING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34139-2021</t>
        </is>
      </c>
      <c r="B1444" s="1" t="n">
        <v>44379</v>
      </c>
      <c r="C1444" s="1" t="n">
        <v>46093</v>
      </c>
      <c r="D1444" t="inlineStr">
        <is>
          <t>ÖSTERGÖTLANDS LÄN</t>
        </is>
      </c>
      <c r="E1444" t="inlineStr">
        <is>
          <t>KINDA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34486-2021</t>
        </is>
      </c>
      <c r="B1445" s="1" t="n">
        <v>44382.29295138889</v>
      </c>
      <c r="C1445" s="1" t="n">
        <v>46093</v>
      </c>
      <c r="D1445" t="inlineStr">
        <is>
          <t>ÖSTERGÖTLANDS LÄN</t>
        </is>
      </c>
      <c r="E1445" t="inlineStr">
        <is>
          <t>LINKÖPING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34431-2022</t>
        </is>
      </c>
      <c r="B1446" s="1" t="n">
        <v>44792.57164351852</v>
      </c>
      <c r="C1446" s="1" t="n">
        <v>46093</v>
      </c>
      <c r="D1446" t="inlineStr">
        <is>
          <t>ÖSTERGÖTLANDS LÄN</t>
        </is>
      </c>
      <c r="E1446" t="inlineStr">
        <is>
          <t>MJÖLBY</t>
        </is>
      </c>
      <c r="F1446" t="inlineStr">
        <is>
          <t>Kommuner</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22512-2024</t>
        </is>
      </c>
      <c r="B1447" s="1" t="n">
        <v>45447.38427083333</v>
      </c>
      <c r="C1447" s="1" t="n">
        <v>46093</v>
      </c>
      <c r="D1447" t="inlineStr">
        <is>
          <t>ÖSTERGÖTLANDS LÄN</t>
        </is>
      </c>
      <c r="E1447" t="inlineStr">
        <is>
          <t>SÖDERKÖPING</t>
        </is>
      </c>
      <c r="F1447" t="inlineStr">
        <is>
          <t>Kommuner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39319-2021</t>
        </is>
      </c>
      <c r="B1448" s="1" t="n">
        <v>44413</v>
      </c>
      <c r="C1448" s="1" t="n">
        <v>46093</v>
      </c>
      <c r="D1448" t="inlineStr">
        <is>
          <t>ÖSTERGÖTLANDS LÄN</t>
        </is>
      </c>
      <c r="E1448" t="inlineStr">
        <is>
          <t>YDRE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12035-2025</t>
        </is>
      </c>
      <c r="B1449" s="1" t="n">
        <v>45728.64946759259</v>
      </c>
      <c r="C1449" s="1" t="n">
        <v>46093</v>
      </c>
      <c r="D1449" t="inlineStr">
        <is>
          <t>ÖSTERGÖTLANDS LÄN</t>
        </is>
      </c>
      <c r="E1449" t="inlineStr">
        <is>
          <t>LINKÖPING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12046-2025</t>
        </is>
      </c>
      <c r="B1450" s="1" t="n">
        <v>45728.66420138889</v>
      </c>
      <c r="C1450" s="1" t="n">
        <v>46093</v>
      </c>
      <c r="D1450" t="inlineStr">
        <is>
          <t>ÖSTERGÖTLANDS LÄN</t>
        </is>
      </c>
      <c r="E1450" t="inlineStr">
        <is>
          <t>SÖDERKÖPING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14679-2021</t>
        </is>
      </c>
      <c r="B1451" s="1" t="n">
        <v>44280.43516203704</v>
      </c>
      <c r="C1451" s="1" t="n">
        <v>46093</v>
      </c>
      <c r="D1451" t="inlineStr">
        <is>
          <t>ÖSTERGÖTLANDS LÄN</t>
        </is>
      </c>
      <c r="E1451" t="inlineStr">
        <is>
          <t>MJÖLBY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52796-2023</t>
        </is>
      </c>
      <c r="B1452" s="1" t="n">
        <v>45219</v>
      </c>
      <c r="C1452" s="1" t="n">
        <v>46093</v>
      </c>
      <c r="D1452" t="inlineStr">
        <is>
          <t>ÖSTERGÖTLANDS LÄN</t>
        </is>
      </c>
      <c r="E1452" t="inlineStr">
        <is>
          <t>LINKÖPING</t>
        </is>
      </c>
      <c r="F1452" t="inlineStr">
        <is>
          <t>Övriga statliga verk och myndigheter</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18439-2023</t>
        </is>
      </c>
      <c r="B1453" s="1" t="n">
        <v>45042.48407407408</v>
      </c>
      <c r="C1453" s="1" t="n">
        <v>46093</v>
      </c>
      <c r="D1453" t="inlineStr">
        <is>
          <t>ÖSTERGÖTLANDS LÄN</t>
        </is>
      </c>
      <c r="E1453" t="inlineStr">
        <is>
          <t>FINSPÅNG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50743-2023</t>
        </is>
      </c>
      <c r="B1454" s="1" t="n">
        <v>45217</v>
      </c>
      <c r="C1454" s="1" t="n">
        <v>46093</v>
      </c>
      <c r="D1454" t="inlineStr">
        <is>
          <t>ÖSTERGÖTLANDS LÄN</t>
        </is>
      </c>
      <c r="E1454" t="inlineStr">
        <is>
          <t>LINKÖPING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47368-2021</t>
        </is>
      </c>
      <c r="B1455" s="1" t="n">
        <v>44447</v>
      </c>
      <c r="C1455" s="1" t="n">
        <v>46093</v>
      </c>
      <c r="D1455" t="inlineStr">
        <is>
          <t>ÖSTERGÖTLANDS LÄN</t>
        </is>
      </c>
      <c r="E1455" t="inlineStr">
        <is>
          <t>SÖDERKÖPING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17307-2021</t>
        </is>
      </c>
      <c r="B1456" s="1" t="n">
        <v>44298</v>
      </c>
      <c r="C1456" s="1" t="n">
        <v>46093</v>
      </c>
      <c r="D1456" t="inlineStr">
        <is>
          <t>ÖSTERGÖTLANDS LÄN</t>
        </is>
      </c>
      <c r="E1456" t="inlineStr">
        <is>
          <t>YDRE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4873-2024</t>
        </is>
      </c>
      <c r="B1457" s="1" t="n">
        <v>45329.43833333333</v>
      </c>
      <c r="C1457" s="1" t="n">
        <v>46093</v>
      </c>
      <c r="D1457" t="inlineStr">
        <is>
          <t>ÖSTERGÖTLANDS LÄN</t>
        </is>
      </c>
      <c r="E1457" t="inlineStr">
        <is>
          <t>MOTALA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5232-2024</t>
        </is>
      </c>
      <c r="B1458" s="1" t="n">
        <v>45330</v>
      </c>
      <c r="C1458" s="1" t="n">
        <v>46093</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16050-2025</t>
        </is>
      </c>
      <c r="B1459" s="1" t="n">
        <v>45748</v>
      </c>
      <c r="C1459" s="1" t="n">
        <v>46093</v>
      </c>
      <c r="D1459" t="inlineStr">
        <is>
          <t>ÖSTERGÖTLANDS LÄN</t>
        </is>
      </c>
      <c r="E1459" t="inlineStr">
        <is>
          <t>YDRE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6561-2024</t>
        </is>
      </c>
      <c r="B1460" s="1" t="n">
        <v>45341</v>
      </c>
      <c r="C1460" s="1" t="n">
        <v>46093</v>
      </c>
      <c r="D1460" t="inlineStr">
        <is>
          <t>ÖSTERGÖTLANDS LÄN</t>
        </is>
      </c>
      <c r="E1460" t="inlineStr">
        <is>
          <t>KINDA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45771-2023</t>
        </is>
      </c>
      <c r="B1461" s="1" t="n">
        <v>45195.4384375</v>
      </c>
      <c r="C1461" s="1" t="n">
        <v>46093</v>
      </c>
      <c r="D1461" t="inlineStr">
        <is>
          <t>ÖSTERGÖTLANDS LÄN</t>
        </is>
      </c>
      <c r="E1461" t="inlineStr">
        <is>
          <t>LINKÖPING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66199-2021</t>
        </is>
      </c>
      <c r="B1462" s="1" t="n">
        <v>44518.32844907408</v>
      </c>
      <c r="C1462" s="1" t="n">
        <v>46093</v>
      </c>
      <c r="D1462" t="inlineStr">
        <is>
          <t>ÖSTERGÖTLANDS LÄN</t>
        </is>
      </c>
      <c r="E1462" t="inlineStr">
        <is>
          <t>MOTALA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6575-2024</t>
        </is>
      </c>
      <c r="B1463" s="1" t="n">
        <v>45341</v>
      </c>
      <c r="C1463" s="1" t="n">
        <v>46093</v>
      </c>
      <c r="D1463" t="inlineStr">
        <is>
          <t>ÖSTERGÖTLANDS LÄN</t>
        </is>
      </c>
      <c r="E1463" t="inlineStr">
        <is>
          <t>FINSPÅNG</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32044-2022</t>
        </is>
      </c>
      <c r="B1464" s="1" t="n">
        <v>44778.47692129629</v>
      </c>
      <c r="C1464" s="1" t="n">
        <v>46093</v>
      </c>
      <c r="D1464" t="inlineStr">
        <is>
          <t>ÖSTERGÖTLANDS LÄN</t>
        </is>
      </c>
      <c r="E1464" t="inlineStr">
        <is>
          <t>FINSPÅNG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32066-2022</t>
        </is>
      </c>
      <c r="B1465" s="1" t="n">
        <v>44778</v>
      </c>
      <c r="C1465" s="1" t="n">
        <v>46093</v>
      </c>
      <c r="D1465" t="inlineStr">
        <is>
          <t>ÖSTERGÖTLANDS LÄN</t>
        </is>
      </c>
      <c r="E1465" t="inlineStr">
        <is>
          <t>ÅTVIDABERG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60516-2021</t>
        </is>
      </c>
      <c r="B1466" s="1" t="n">
        <v>44495</v>
      </c>
      <c r="C1466" s="1" t="n">
        <v>46093</v>
      </c>
      <c r="D1466" t="inlineStr">
        <is>
          <t>ÖSTERGÖTLANDS LÄN</t>
        </is>
      </c>
      <c r="E1466" t="inlineStr">
        <is>
          <t>ÅTVIDABERG</t>
        </is>
      </c>
      <c r="F1466" t="inlineStr">
        <is>
          <t>Övriga Aktiebolag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42343-2022</t>
        </is>
      </c>
      <c r="B1467" s="1" t="n">
        <v>44831.35163194445</v>
      </c>
      <c r="C1467" s="1" t="n">
        <v>46093</v>
      </c>
      <c r="D1467" t="inlineStr">
        <is>
          <t>ÖSTERGÖTLANDS LÄN</t>
        </is>
      </c>
      <c r="E1467" t="inlineStr">
        <is>
          <t>YDRE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220-2024</t>
        </is>
      </c>
      <c r="B1468" s="1" t="n">
        <v>45293</v>
      </c>
      <c r="C1468" s="1" t="n">
        <v>46093</v>
      </c>
      <c r="D1468" t="inlineStr">
        <is>
          <t>ÖSTERGÖTLANDS LÄN</t>
        </is>
      </c>
      <c r="E1468" t="inlineStr">
        <is>
          <t>FINSPÅNG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15500-2025</t>
        </is>
      </c>
      <c r="B1469" s="1" t="n">
        <v>45747.58354166667</v>
      </c>
      <c r="C1469" s="1" t="n">
        <v>46093</v>
      </c>
      <c r="D1469" t="inlineStr">
        <is>
          <t>ÖSTERGÖTLANDS LÄN</t>
        </is>
      </c>
      <c r="E1469" t="inlineStr">
        <is>
          <t>BOXHOLM</t>
        </is>
      </c>
      <c r="F1469" t="inlineStr">
        <is>
          <t>Övriga Aktiebolag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17008-2022</t>
        </is>
      </c>
      <c r="B1470" s="1" t="n">
        <v>44676</v>
      </c>
      <c r="C1470" s="1" t="n">
        <v>46093</v>
      </c>
      <c r="D1470" t="inlineStr">
        <is>
          <t>ÖSTERGÖTLANDS LÄN</t>
        </is>
      </c>
      <c r="E1470" t="inlineStr">
        <is>
          <t>MOTALA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28802-2021</t>
        </is>
      </c>
      <c r="B1471" s="1" t="n">
        <v>44357</v>
      </c>
      <c r="C1471" s="1" t="n">
        <v>46093</v>
      </c>
      <c r="D1471" t="inlineStr">
        <is>
          <t>ÖSTERGÖTLANDS LÄN</t>
        </is>
      </c>
      <c r="E1471" t="inlineStr">
        <is>
          <t>KINDA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62475-2023</t>
        </is>
      </c>
      <c r="B1472" s="1" t="n">
        <v>45268</v>
      </c>
      <c r="C1472" s="1" t="n">
        <v>46093</v>
      </c>
      <c r="D1472" t="inlineStr">
        <is>
          <t>ÖSTERGÖTLANDS LÄN</t>
        </is>
      </c>
      <c r="E1472" t="inlineStr">
        <is>
          <t>NORRKÖPING</t>
        </is>
      </c>
      <c r="G1472" t="n">
        <v>12.5</v>
      </c>
      <c r="H1472" t="n">
        <v>0</v>
      </c>
      <c r="I1472" t="n">
        <v>0</v>
      </c>
      <c r="J1472" t="n">
        <v>0</v>
      </c>
      <c r="K1472" t="n">
        <v>0</v>
      </c>
      <c r="L1472" t="n">
        <v>0</v>
      </c>
      <c r="M1472" t="n">
        <v>0</v>
      </c>
      <c r="N1472" t="n">
        <v>0</v>
      </c>
      <c r="O1472" t="n">
        <v>0</v>
      </c>
      <c r="P1472" t="n">
        <v>0</v>
      </c>
      <c r="Q1472" t="n">
        <v>0</v>
      </c>
      <c r="R1472" s="2" t="inlineStr"/>
    </row>
    <row r="1473" ht="15" customHeight="1">
      <c r="A1473" t="inlineStr">
        <is>
          <t>A 58472-2021</t>
        </is>
      </c>
      <c r="B1473" s="1" t="n">
        <v>44488.59386574074</v>
      </c>
      <c r="C1473" s="1" t="n">
        <v>46093</v>
      </c>
      <c r="D1473" t="inlineStr">
        <is>
          <t>ÖSTERGÖTLANDS LÄN</t>
        </is>
      </c>
      <c r="E1473" t="inlineStr">
        <is>
          <t>BOXHOLM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39583-2022</t>
        </is>
      </c>
      <c r="B1474" s="1" t="n">
        <v>44818.60185185185</v>
      </c>
      <c r="C1474" s="1" t="n">
        <v>46093</v>
      </c>
      <c r="D1474" t="inlineStr">
        <is>
          <t>ÖSTERGÖTLANDS LÄN</t>
        </is>
      </c>
      <c r="E1474" t="inlineStr">
        <is>
          <t>VALDEMARSVIK</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13826-2024</t>
        </is>
      </c>
      <c r="B1475" s="1" t="n">
        <v>45391.43108796296</v>
      </c>
      <c r="C1475" s="1" t="n">
        <v>46093</v>
      </c>
      <c r="D1475" t="inlineStr">
        <is>
          <t>ÖSTERGÖTLANDS LÄN</t>
        </is>
      </c>
      <c r="E1475" t="inlineStr">
        <is>
          <t>FINSPÅNG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49658-2021</t>
        </is>
      </c>
      <c r="B1476" s="1" t="n">
        <v>44455</v>
      </c>
      <c r="C1476" s="1" t="n">
        <v>46093</v>
      </c>
      <c r="D1476" t="inlineStr">
        <is>
          <t>ÖSTERGÖTLANDS LÄN</t>
        </is>
      </c>
      <c r="E1476" t="inlineStr">
        <is>
          <t>MOTALA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18650-2023</t>
        </is>
      </c>
      <c r="B1477" s="1" t="n">
        <v>45043.53597222222</v>
      </c>
      <c r="C1477" s="1" t="n">
        <v>46093</v>
      </c>
      <c r="D1477" t="inlineStr">
        <is>
          <t>ÖSTERGÖTLANDS LÄN</t>
        </is>
      </c>
      <c r="E1477" t="inlineStr">
        <is>
          <t>NORRKÖPING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3908-2024</t>
        </is>
      </c>
      <c r="B1478" s="1" t="n">
        <v>45322.49793981481</v>
      </c>
      <c r="C1478" s="1" t="n">
        <v>46093</v>
      </c>
      <c r="D1478" t="inlineStr">
        <is>
          <t>ÖSTERGÖTLANDS LÄN</t>
        </is>
      </c>
      <c r="E1478" t="inlineStr">
        <is>
          <t>FINSPÅNG</t>
        </is>
      </c>
      <c r="F1478" t="inlineStr">
        <is>
          <t>Övriga Aktiebolag</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6402-2022</t>
        </is>
      </c>
      <c r="B1479" s="1" t="n">
        <v>44600</v>
      </c>
      <c r="C1479" s="1" t="n">
        <v>46093</v>
      </c>
      <c r="D1479" t="inlineStr">
        <is>
          <t>ÖSTERGÖTLANDS LÄN</t>
        </is>
      </c>
      <c r="E1479" t="inlineStr">
        <is>
          <t>FINSPÅNG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50117-2023</t>
        </is>
      </c>
      <c r="B1480" s="1" t="n">
        <v>45215.63818287037</v>
      </c>
      <c r="C1480" s="1" t="n">
        <v>46093</v>
      </c>
      <c r="D1480" t="inlineStr">
        <is>
          <t>ÖSTERGÖTLANDS LÄN</t>
        </is>
      </c>
      <c r="E1480" t="inlineStr">
        <is>
          <t>NORRKÖPING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50126-2023</t>
        </is>
      </c>
      <c r="B1481" s="1" t="n">
        <v>45215.64910879629</v>
      </c>
      <c r="C1481" s="1" t="n">
        <v>46093</v>
      </c>
      <c r="D1481" t="inlineStr">
        <is>
          <t>ÖSTERGÖTLANDS LÄN</t>
        </is>
      </c>
      <c r="E1481" t="inlineStr">
        <is>
          <t>MOTALA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9722-2024</t>
        </is>
      </c>
      <c r="B1482" s="1" t="n">
        <v>45362.55030092593</v>
      </c>
      <c r="C1482" s="1" t="n">
        <v>46093</v>
      </c>
      <c r="D1482" t="inlineStr">
        <is>
          <t>ÖSTERGÖTLANDS LÄN</t>
        </is>
      </c>
      <c r="E1482" t="inlineStr">
        <is>
          <t>ÅTVIDABERG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48684-2024</t>
        </is>
      </c>
      <c r="B1483" s="1" t="n">
        <v>45593.49686342593</v>
      </c>
      <c r="C1483" s="1" t="n">
        <v>46093</v>
      </c>
      <c r="D1483" t="inlineStr">
        <is>
          <t>ÖSTERGÖTLANDS LÄN</t>
        </is>
      </c>
      <c r="E1483" t="inlineStr">
        <is>
          <t>MOTALA</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37880-2022</t>
        </is>
      </c>
      <c r="B1484" s="1" t="n">
        <v>44811.38229166667</v>
      </c>
      <c r="C1484" s="1" t="n">
        <v>46093</v>
      </c>
      <c r="D1484" t="inlineStr">
        <is>
          <t>ÖSTERGÖTLANDS LÄN</t>
        </is>
      </c>
      <c r="E1484" t="inlineStr">
        <is>
          <t>KINDA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63554-2023</t>
        </is>
      </c>
      <c r="B1485" s="1" t="n">
        <v>45275</v>
      </c>
      <c r="C1485" s="1" t="n">
        <v>46093</v>
      </c>
      <c r="D1485" t="inlineStr">
        <is>
          <t>ÖSTERGÖTLANDS LÄN</t>
        </is>
      </c>
      <c r="E1485" t="inlineStr">
        <is>
          <t>LINKÖPING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28390-2021</t>
        </is>
      </c>
      <c r="B1486" s="1" t="n">
        <v>44356.46009259259</v>
      </c>
      <c r="C1486" s="1" t="n">
        <v>46093</v>
      </c>
      <c r="D1486" t="inlineStr">
        <is>
          <t>ÖSTERGÖTLANDS LÄN</t>
        </is>
      </c>
      <c r="E1486" t="inlineStr">
        <is>
          <t>ÖDESHÖG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5773-2024</t>
        </is>
      </c>
      <c r="B1487" s="1" t="n">
        <v>45335.39863425926</v>
      </c>
      <c r="C1487" s="1" t="n">
        <v>46093</v>
      </c>
      <c r="D1487" t="inlineStr">
        <is>
          <t>ÖSTERGÖTLANDS LÄN</t>
        </is>
      </c>
      <c r="E1487" t="inlineStr">
        <is>
          <t>MOTALA</t>
        </is>
      </c>
      <c r="F1487" t="inlineStr">
        <is>
          <t>Sveaskog</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27417-2022</t>
        </is>
      </c>
      <c r="B1488" s="1" t="n">
        <v>44742</v>
      </c>
      <c r="C1488" s="1" t="n">
        <v>46093</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62914-2023</t>
        </is>
      </c>
      <c r="B1489" s="1" t="n">
        <v>45271</v>
      </c>
      <c r="C1489" s="1" t="n">
        <v>46093</v>
      </c>
      <c r="D1489" t="inlineStr">
        <is>
          <t>ÖSTERGÖTLANDS LÄN</t>
        </is>
      </c>
      <c r="E1489" t="inlineStr">
        <is>
          <t>VALDEMARSVIK</t>
        </is>
      </c>
      <c r="F1489" t="inlineStr">
        <is>
          <t>Övriga Aktiebolag</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9115-2023</t>
        </is>
      </c>
      <c r="B1490" s="1" t="n">
        <v>44980</v>
      </c>
      <c r="C1490" s="1" t="n">
        <v>46093</v>
      </c>
      <c r="D1490" t="inlineStr">
        <is>
          <t>ÖSTERGÖTLANDS LÄN</t>
        </is>
      </c>
      <c r="E1490" t="inlineStr">
        <is>
          <t>BOXHOLM</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17321-2022</t>
        </is>
      </c>
      <c r="B1491" s="1" t="n">
        <v>44678</v>
      </c>
      <c r="C1491" s="1" t="n">
        <v>46093</v>
      </c>
      <c r="D1491" t="inlineStr">
        <is>
          <t>ÖSTERGÖTLANDS LÄN</t>
        </is>
      </c>
      <c r="E1491" t="inlineStr">
        <is>
          <t>FINSPÅNG</t>
        </is>
      </c>
      <c r="F1491" t="inlineStr">
        <is>
          <t>Holmen skog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11061-2022</t>
        </is>
      </c>
      <c r="B1492" s="1" t="n">
        <v>44628</v>
      </c>
      <c r="C1492" s="1" t="n">
        <v>46093</v>
      </c>
      <c r="D1492" t="inlineStr">
        <is>
          <t>ÖSTERGÖTLANDS LÄN</t>
        </is>
      </c>
      <c r="E1492" t="inlineStr">
        <is>
          <t>MOTALA</t>
        </is>
      </c>
      <c r="F1492" t="inlineStr">
        <is>
          <t>Allmännings- och besparingsskogar</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47333-2024</t>
        </is>
      </c>
      <c r="B1493" s="1" t="n">
        <v>45587.39556712963</v>
      </c>
      <c r="C1493" s="1" t="n">
        <v>46093</v>
      </c>
      <c r="D1493" t="inlineStr">
        <is>
          <t>ÖSTERGÖTLANDS LÄN</t>
        </is>
      </c>
      <c r="E1493" t="inlineStr">
        <is>
          <t>BOXHOLM</t>
        </is>
      </c>
      <c r="F1493" t="inlineStr">
        <is>
          <t>Allmännings- och besparingsskogar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47338-2024</t>
        </is>
      </c>
      <c r="B1494" s="1" t="n">
        <v>45587.40487268518</v>
      </c>
      <c r="C1494" s="1" t="n">
        <v>46093</v>
      </c>
      <c r="D1494" t="inlineStr">
        <is>
          <t>ÖSTERGÖTLANDS LÄN</t>
        </is>
      </c>
      <c r="E1494" t="inlineStr">
        <is>
          <t>YDRE</t>
        </is>
      </c>
      <c r="F1494" t="inlineStr">
        <is>
          <t>Kyrkan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52756-2021</t>
        </is>
      </c>
      <c r="B1495" s="1" t="n">
        <v>44467</v>
      </c>
      <c r="C1495" s="1" t="n">
        <v>46093</v>
      </c>
      <c r="D1495" t="inlineStr">
        <is>
          <t>ÖSTERGÖTLANDS LÄN</t>
        </is>
      </c>
      <c r="E1495" t="inlineStr">
        <is>
          <t>ÅTVIDABERG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52763-2021</t>
        </is>
      </c>
      <c r="B1496" s="1" t="n">
        <v>44467</v>
      </c>
      <c r="C1496" s="1" t="n">
        <v>46093</v>
      </c>
      <c r="D1496" t="inlineStr">
        <is>
          <t>ÖSTERGÖTLANDS LÄN</t>
        </is>
      </c>
      <c r="E1496" t="inlineStr">
        <is>
          <t>ÅTVIDABERG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57894-2021</t>
        </is>
      </c>
      <c r="B1497" s="1" t="n">
        <v>44486</v>
      </c>
      <c r="C1497" s="1" t="n">
        <v>46093</v>
      </c>
      <c r="D1497" t="inlineStr">
        <is>
          <t>ÖSTERGÖTLANDS LÄN</t>
        </is>
      </c>
      <c r="E1497" t="inlineStr">
        <is>
          <t>KINDA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7709-2022</t>
        </is>
      </c>
      <c r="B1498" s="1" t="n">
        <v>44607</v>
      </c>
      <c r="C1498" s="1" t="n">
        <v>46093</v>
      </c>
      <c r="D1498" t="inlineStr">
        <is>
          <t>ÖSTERGÖTLANDS LÄN</t>
        </is>
      </c>
      <c r="E1498" t="inlineStr">
        <is>
          <t>NORRKÖPING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5371-2024</t>
        </is>
      </c>
      <c r="B1499" s="1" t="n">
        <v>45331</v>
      </c>
      <c r="C1499" s="1" t="n">
        <v>46093</v>
      </c>
      <c r="D1499" t="inlineStr">
        <is>
          <t>ÖSTERGÖTLANDS LÄN</t>
        </is>
      </c>
      <c r="E1499" t="inlineStr">
        <is>
          <t>KINDA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17880-2021</t>
        </is>
      </c>
      <c r="B1500" s="1" t="n">
        <v>44301.38633101852</v>
      </c>
      <c r="C1500" s="1" t="n">
        <v>46093</v>
      </c>
      <c r="D1500" t="inlineStr">
        <is>
          <t>ÖSTERGÖTLANDS LÄN</t>
        </is>
      </c>
      <c r="E1500" t="inlineStr">
        <is>
          <t>BOXHOLM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56727-2021</t>
        </is>
      </c>
      <c r="B1501" s="1" t="n">
        <v>44481</v>
      </c>
      <c r="C1501" s="1" t="n">
        <v>46093</v>
      </c>
      <c r="D1501" t="inlineStr">
        <is>
          <t>ÖSTERGÖTLANDS LÄN</t>
        </is>
      </c>
      <c r="E1501" t="inlineStr">
        <is>
          <t>FINSPÅNG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41083-2022</t>
        </is>
      </c>
      <c r="B1502" s="1" t="n">
        <v>44825</v>
      </c>
      <c r="C1502" s="1" t="n">
        <v>46093</v>
      </c>
      <c r="D1502" t="inlineStr">
        <is>
          <t>ÖSTERGÖTLANDS LÄN</t>
        </is>
      </c>
      <c r="E1502" t="inlineStr">
        <is>
          <t>NORRKÖPING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51475-2023</t>
        </is>
      </c>
      <c r="B1503" s="1" t="n">
        <v>45221</v>
      </c>
      <c r="C1503" s="1" t="n">
        <v>46093</v>
      </c>
      <c r="D1503" t="inlineStr">
        <is>
          <t>ÖSTERGÖTLANDS LÄN</t>
        </is>
      </c>
      <c r="E1503" t="inlineStr">
        <is>
          <t>MJÖLBY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51484-2023</t>
        </is>
      </c>
      <c r="B1504" s="1" t="n">
        <v>45222</v>
      </c>
      <c r="C1504" s="1" t="n">
        <v>46093</v>
      </c>
      <c r="D1504" t="inlineStr">
        <is>
          <t>ÖSTERGÖTLANDS LÄN</t>
        </is>
      </c>
      <c r="E1504" t="inlineStr">
        <is>
          <t>LINKÖPING</t>
        </is>
      </c>
      <c r="F1504" t="inlineStr">
        <is>
          <t>Övriga Aktiebolag</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11992-2022</t>
        </is>
      </c>
      <c r="B1505" s="1" t="n">
        <v>44635.71011574074</v>
      </c>
      <c r="C1505" s="1" t="n">
        <v>46093</v>
      </c>
      <c r="D1505" t="inlineStr">
        <is>
          <t>ÖSTERGÖTLANDS LÄN</t>
        </is>
      </c>
      <c r="E1505" t="inlineStr">
        <is>
          <t>FINSPÅNG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20920-2021</t>
        </is>
      </c>
      <c r="B1506" s="1" t="n">
        <v>44319</v>
      </c>
      <c r="C1506" s="1" t="n">
        <v>46093</v>
      </c>
      <c r="D1506" t="inlineStr">
        <is>
          <t>ÖSTERGÖTLANDS LÄN</t>
        </is>
      </c>
      <c r="E1506" t="inlineStr">
        <is>
          <t>KINDA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57586-2023</t>
        </is>
      </c>
      <c r="B1507" s="1" t="n">
        <v>45246.54465277777</v>
      </c>
      <c r="C1507" s="1" t="n">
        <v>46093</v>
      </c>
      <c r="D1507" t="inlineStr">
        <is>
          <t>ÖSTERGÖTLANDS LÄN</t>
        </is>
      </c>
      <c r="E1507" t="inlineStr">
        <is>
          <t>YDRE</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57587-2023</t>
        </is>
      </c>
      <c r="B1508" s="1" t="n">
        <v>45246.54546296296</v>
      </c>
      <c r="C1508" s="1" t="n">
        <v>46093</v>
      </c>
      <c r="D1508" t="inlineStr">
        <is>
          <t>ÖSTERGÖTLANDS LÄN</t>
        </is>
      </c>
      <c r="E1508" t="inlineStr">
        <is>
          <t>YDRE</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69855-2021</t>
        </is>
      </c>
      <c r="B1509" s="1" t="n">
        <v>44532</v>
      </c>
      <c r="C1509" s="1" t="n">
        <v>46093</v>
      </c>
      <c r="D1509" t="inlineStr">
        <is>
          <t>ÖSTERGÖTLANDS LÄN</t>
        </is>
      </c>
      <c r="E1509" t="inlineStr">
        <is>
          <t>ÅTVIDABERG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57590-2023</t>
        </is>
      </c>
      <c r="B1510" s="1" t="n">
        <v>45246.54761574074</v>
      </c>
      <c r="C1510" s="1" t="n">
        <v>46093</v>
      </c>
      <c r="D1510" t="inlineStr">
        <is>
          <t>ÖSTERGÖTLANDS LÄN</t>
        </is>
      </c>
      <c r="E1510" t="inlineStr">
        <is>
          <t>YDRE</t>
        </is>
      </c>
      <c r="F1510" t="inlineStr">
        <is>
          <t>Sveaskog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9573-2024</t>
        </is>
      </c>
      <c r="B1511" s="1" t="n">
        <v>45360.40449074074</v>
      </c>
      <c r="C1511" s="1" t="n">
        <v>46093</v>
      </c>
      <c r="D1511" t="inlineStr">
        <is>
          <t>ÖSTERGÖTLANDS LÄN</t>
        </is>
      </c>
      <c r="E1511" t="inlineStr">
        <is>
          <t>KINDA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9578-2024</t>
        </is>
      </c>
      <c r="B1512" s="1" t="n">
        <v>45360.41894675926</v>
      </c>
      <c r="C1512" s="1" t="n">
        <v>46093</v>
      </c>
      <c r="D1512" t="inlineStr">
        <is>
          <t>ÖSTERGÖTLANDS LÄN</t>
        </is>
      </c>
      <c r="E1512" t="inlineStr">
        <is>
          <t>KINDA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21863-2021</t>
        </is>
      </c>
      <c r="B1513" s="1" t="n">
        <v>44322</v>
      </c>
      <c r="C1513" s="1" t="n">
        <v>46093</v>
      </c>
      <c r="D1513" t="inlineStr">
        <is>
          <t>ÖSTERGÖTLANDS LÄN</t>
        </is>
      </c>
      <c r="E1513" t="inlineStr">
        <is>
          <t>NORRKÖPING</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30377-2023</t>
        </is>
      </c>
      <c r="B1514" s="1" t="n">
        <v>45111</v>
      </c>
      <c r="C1514" s="1" t="n">
        <v>46093</v>
      </c>
      <c r="D1514" t="inlineStr">
        <is>
          <t>ÖSTERGÖTLANDS LÄN</t>
        </is>
      </c>
      <c r="E1514" t="inlineStr">
        <is>
          <t>MOTALA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74446-2021</t>
        </is>
      </c>
      <c r="B1515" s="1" t="n">
        <v>44560</v>
      </c>
      <c r="C1515" s="1" t="n">
        <v>46093</v>
      </c>
      <c r="D1515" t="inlineStr">
        <is>
          <t>ÖSTERGÖTLANDS LÄN</t>
        </is>
      </c>
      <c r="E1515" t="inlineStr">
        <is>
          <t>KINDA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4805-2024</t>
        </is>
      </c>
      <c r="B1516" s="1" t="n">
        <v>45328</v>
      </c>
      <c r="C1516" s="1" t="n">
        <v>46093</v>
      </c>
      <c r="D1516" t="inlineStr">
        <is>
          <t>ÖSTERGÖTLANDS LÄN</t>
        </is>
      </c>
      <c r="E1516" t="inlineStr">
        <is>
          <t>ÅTVIDABERG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5491-2024</t>
        </is>
      </c>
      <c r="B1517" s="1" t="n">
        <v>45334</v>
      </c>
      <c r="C1517" s="1" t="n">
        <v>46093</v>
      </c>
      <c r="D1517" t="inlineStr">
        <is>
          <t>ÖSTERGÖTLANDS LÄN</t>
        </is>
      </c>
      <c r="E1517" t="inlineStr">
        <is>
          <t>ÅTVIDABERG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50157-2022</t>
        </is>
      </c>
      <c r="B1518" s="1" t="n">
        <v>44865</v>
      </c>
      <c r="C1518" s="1" t="n">
        <v>46093</v>
      </c>
      <c r="D1518" t="inlineStr">
        <is>
          <t>ÖSTERGÖTLANDS LÄN</t>
        </is>
      </c>
      <c r="E1518" t="inlineStr">
        <is>
          <t>NORRKÖPING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30111-2024</t>
        </is>
      </c>
      <c r="B1519" s="1" t="n">
        <v>45489.46947916667</v>
      </c>
      <c r="C1519" s="1" t="n">
        <v>46093</v>
      </c>
      <c r="D1519" t="inlineStr">
        <is>
          <t>ÖSTERGÖTLANDS LÄN</t>
        </is>
      </c>
      <c r="E1519" t="inlineStr">
        <is>
          <t>LINKÖPING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30119-2024</t>
        </is>
      </c>
      <c r="B1520" s="1" t="n">
        <v>45489</v>
      </c>
      <c r="C1520" s="1" t="n">
        <v>46093</v>
      </c>
      <c r="D1520" t="inlineStr">
        <is>
          <t>ÖSTERGÖTLANDS LÄN</t>
        </is>
      </c>
      <c r="E1520" t="inlineStr">
        <is>
          <t>LINKÖPING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12253-2024</t>
        </is>
      </c>
      <c r="B1521" s="1" t="n">
        <v>45378</v>
      </c>
      <c r="C1521" s="1" t="n">
        <v>46093</v>
      </c>
      <c r="D1521" t="inlineStr">
        <is>
          <t>ÖSTERGÖTLANDS LÄN</t>
        </is>
      </c>
      <c r="E1521" t="inlineStr">
        <is>
          <t>MJÖLBY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12254-2024</t>
        </is>
      </c>
      <c r="B1522" s="1" t="n">
        <v>45378.43430555556</v>
      </c>
      <c r="C1522" s="1" t="n">
        <v>46093</v>
      </c>
      <c r="D1522" t="inlineStr">
        <is>
          <t>ÖSTERGÖTLANDS LÄN</t>
        </is>
      </c>
      <c r="E1522" t="inlineStr">
        <is>
          <t>MJÖLBY</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12258-2024</t>
        </is>
      </c>
      <c r="B1523" s="1" t="n">
        <v>45378.45327546296</v>
      </c>
      <c r="C1523" s="1" t="n">
        <v>46093</v>
      </c>
      <c r="D1523" t="inlineStr">
        <is>
          <t>ÖSTERGÖTLANDS LÄN</t>
        </is>
      </c>
      <c r="E1523" t="inlineStr">
        <is>
          <t>MOTALA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24067-2022</t>
        </is>
      </c>
      <c r="B1524" s="1" t="n">
        <v>44725.33693287037</v>
      </c>
      <c r="C1524" s="1" t="n">
        <v>46093</v>
      </c>
      <c r="D1524" t="inlineStr">
        <is>
          <t>ÖSTERGÖTLANDS LÄN</t>
        </is>
      </c>
      <c r="E1524" t="inlineStr">
        <is>
          <t>KINDA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30232-2021</t>
        </is>
      </c>
      <c r="B1525" s="1" t="n">
        <v>44363</v>
      </c>
      <c r="C1525" s="1" t="n">
        <v>46093</v>
      </c>
      <c r="D1525" t="inlineStr">
        <is>
          <t>ÖSTERGÖTLANDS LÄN</t>
        </is>
      </c>
      <c r="E1525" t="inlineStr">
        <is>
          <t>NORRKÖPING</t>
        </is>
      </c>
      <c r="F1525" t="inlineStr">
        <is>
          <t>Holmen skog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39043-2021</t>
        </is>
      </c>
      <c r="B1526" s="1" t="n">
        <v>44412</v>
      </c>
      <c r="C1526" s="1" t="n">
        <v>46093</v>
      </c>
      <c r="D1526" t="inlineStr">
        <is>
          <t>ÖSTERGÖTLANDS LÄN</t>
        </is>
      </c>
      <c r="E1526" t="inlineStr">
        <is>
          <t>FINSPÅNG</t>
        </is>
      </c>
      <c r="F1526" t="inlineStr">
        <is>
          <t>Holmen skog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21233-2023</t>
        </is>
      </c>
      <c r="B1527" s="1" t="n">
        <v>45062</v>
      </c>
      <c r="C1527" s="1" t="n">
        <v>46093</v>
      </c>
      <c r="D1527" t="inlineStr">
        <is>
          <t>ÖSTERGÖTLANDS LÄN</t>
        </is>
      </c>
      <c r="E1527" t="inlineStr">
        <is>
          <t>VALDEMARSVIK</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22956-2023</t>
        </is>
      </c>
      <c r="B1528" s="1" t="n">
        <v>45072</v>
      </c>
      <c r="C1528" s="1" t="n">
        <v>46093</v>
      </c>
      <c r="D1528" t="inlineStr">
        <is>
          <t>ÖSTERGÖTLANDS LÄN</t>
        </is>
      </c>
      <c r="E1528" t="inlineStr">
        <is>
          <t>NORRKÖPING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6206-2024</t>
        </is>
      </c>
      <c r="B1529" s="1" t="n">
        <v>45337.5977662037</v>
      </c>
      <c r="C1529" s="1" t="n">
        <v>46093</v>
      </c>
      <c r="D1529" t="inlineStr">
        <is>
          <t>ÖSTERGÖTLANDS LÄN</t>
        </is>
      </c>
      <c r="E1529" t="inlineStr">
        <is>
          <t>LINKÖPING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45130-2022</t>
        </is>
      </c>
      <c r="B1530" s="1" t="n">
        <v>44841</v>
      </c>
      <c r="C1530" s="1" t="n">
        <v>46093</v>
      </c>
      <c r="D1530" t="inlineStr">
        <is>
          <t>ÖSTERGÖTLANDS LÄN</t>
        </is>
      </c>
      <c r="E1530" t="inlineStr">
        <is>
          <t>SÖDERKÖPING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31744-2022</t>
        </is>
      </c>
      <c r="B1531" s="1" t="n">
        <v>44776</v>
      </c>
      <c r="C1531" s="1" t="n">
        <v>46093</v>
      </c>
      <c r="D1531" t="inlineStr">
        <is>
          <t>ÖSTERGÖTLANDS LÄN</t>
        </is>
      </c>
      <c r="E1531" t="inlineStr">
        <is>
          <t>MOTALA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49799-2022</t>
        </is>
      </c>
      <c r="B1532" s="1" t="n">
        <v>44862</v>
      </c>
      <c r="C1532" s="1" t="n">
        <v>46093</v>
      </c>
      <c r="D1532" t="inlineStr">
        <is>
          <t>ÖSTERGÖTLANDS LÄN</t>
        </is>
      </c>
      <c r="E1532" t="inlineStr">
        <is>
          <t>NORRKÖPING</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6996-2022</t>
        </is>
      </c>
      <c r="B1533" s="1" t="n">
        <v>44603</v>
      </c>
      <c r="C1533" s="1" t="n">
        <v>46093</v>
      </c>
      <c r="D1533" t="inlineStr">
        <is>
          <t>ÖSTERGÖTLANDS LÄN</t>
        </is>
      </c>
      <c r="E1533" t="inlineStr">
        <is>
          <t>VALDEMARSVIK</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20158-2022</t>
        </is>
      </c>
      <c r="B1534" s="1" t="n">
        <v>44698</v>
      </c>
      <c r="C1534" s="1" t="n">
        <v>46093</v>
      </c>
      <c r="D1534" t="inlineStr">
        <is>
          <t>ÖSTERGÖTLANDS LÄN</t>
        </is>
      </c>
      <c r="E1534" t="inlineStr">
        <is>
          <t>YDRE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34119-2025</t>
        </is>
      </c>
      <c r="B1535" s="1" t="n">
        <v>45845</v>
      </c>
      <c r="C1535" s="1" t="n">
        <v>46093</v>
      </c>
      <c r="D1535" t="inlineStr">
        <is>
          <t>ÖSTERGÖTLANDS LÄN</t>
        </is>
      </c>
      <c r="E1535" t="inlineStr">
        <is>
          <t>FINSPÅNG</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45877-2022</t>
        </is>
      </c>
      <c r="B1536" s="1" t="n">
        <v>44846</v>
      </c>
      <c r="C1536" s="1" t="n">
        <v>46093</v>
      </c>
      <c r="D1536" t="inlineStr">
        <is>
          <t>ÖSTERGÖTLANDS LÄN</t>
        </is>
      </c>
      <c r="E1536" t="inlineStr">
        <is>
          <t>BOXHOLM</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31732-2022</t>
        </is>
      </c>
      <c r="B1537" s="1" t="n">
        <v>44776.49267361111</v>
      </c>
      <c r="C1537" s="1" t="n">
        <v>46093</v>
      </c>
      <c r="D1537" t="inlineStr">
        <is>
          <t>ÖSTERGÖTLANDS LÄN</t>
        </is>
      </c>
      <c r="E1537" t="inlineStr">
        <is>
          <t>LINKÖPING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31811-2022</t>
        </is>
      </c>
      <c r="B1538" s="1" t="n">
        <v>44776</v>
      </c>
      <c r="C1538" s="1" t="n">
        <v>46093</v>
      </c>
      <c r="D1538" t="inlineStr">
        <is>
          <t>ÖSTERGÖTLANDS LÄN</t>
        </is>
      </c>
      <c r="E1538" t="inlineStr">
        <is>
          <t>FINSPÅNG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35203-2023</t>
        </is>
      </c>
      <c r="B1539" s="1" t="n">
        <v>45145</v>
      </c>
      <c r="C1539" s="1" t="n">
        <v>46093</v>
      </c>
      <c r="D1539" t="inlineStr">
        <is>
          <t>ÖSTERGÖTLANDS LÄN</t>
        </is>
      </c>
      <c r="E1539" t="inlineStr">
        <is>
          <t>KINDA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35229-2023</t>
        </is>
      </c>
      <c r="B1540" s="1" t="n">
        <v>45145.65895833333</v>
      </c>
      <c r="C1540" s="1" t="n">
        <v>46093</v>
      </c>
      <c r="D1540" t="inlineStr">
        <is>
          <t>ÖSTERGÖTLANDS LÄN</t>
        </is>
      </c>
      <c r="E1540" t="inlineStr">
        <is>
          <t>ÖDESHÖG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13229-2023</t>
        </is>
      </c>
      <c r="B1541" s="1" t="n">
        <v>45002.7171875</v>
      </c>
      <c r="C1541" s="1" t="n">
        <v>46093</v>
      </c>
      <c r="D1541" t="inlineStr">
        <is>
          <t>ÖSTERGÖTLANDS LÄN</t>
        </is>
      </c>
      <c r="E1541" t="inlineStr">
        <is>
          <t>FINSPÅNG</t>
        </is>
      </c>
      <c r="F1541" t="inlineStr">
        <is>
          <t>Kyrkan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39580-2023</t>
        </is>
      </c>
      <c r="B1542" s="1" t="n">
        <v>45167</v>
      </c>
      <c r="C1542" s="1" t="n">
        <v>46093</v>
      </c>
      <c r="D1542" t="inlineStr">
        <is>
          <t>ÖSTERGÖTLANDS LÄN</t>
        </is>
      </c>
      <c r="E1542" t="inlineStr">
        <is>
          <t>ÅTVIDABERG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18667-2023</t>
        </is>
      </c>
      <c r="B1543" s="1" t="n">
        <v>45043</v>
      </c>
      <c r="C1543" s="1" t="n">
        <v>46093</v>
      </c>
      <c r="D1543" t="inlineStr">
        <is>
          <t>ÖSTERGÖTLANDS LÄN</t>
        </is>
      </c>
      <c r="E1543" t="inlineStr">
        <is>
          <t>NORRKÖPING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41805-2021</t>
        </is>
      </c>
      <c r="B1544" s="1" t="n">
        <v>44425.69079861111</v>
      </c>
      <c r="C1544" s="1" t="n">
        <v>46093</v>
      </c>
      <c r="D1544" t="inlineStr">
        <is>
          <t>ÖSTERGÖTLANDS LÄN</t>
        </is>
      </c>
      <c r="E1544" t="inlineStr">
        <is>
          <t>FINSPÅNG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68983-2021</t>
        </is>
      </c>
      <c r="B1545" s="1" t="n">
        <v>44530.56768518518</v>
      </c>
      <c r="C1545" s="1" t="n">
        <v>46093</v>
      </c>
      <c r="D1545" t="inlineStr">
        <is>
          <t>ÖSTERGÖTLANDS LÄN</t>
        </is>
      </c>
      <c r="E1545" t="inlineStr">
        <is>
          <t>YDRE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40544-2021</t>
        </is>
      </c>
      <c r="B1546" s="1" t="n">
        <v>44420</v>
      </c>
      <c r="C1546" s="1" t="n">
        <v>46093</v>
      </c>
      <c r="D1546" t="inlineStr">
        <is>
          <t>ÖSTERGÖTLANDS LÄN</t>
        </is>
      </c>
      <c r="E1546" t="inlineStr">
        <is>
          <t>FINSPÅNG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5819-2024</t>
        </is>
      </c>
      <c r="B1547" s="1" t="n">
        <v>45335</v>
      </c>
      <c r="C1547" s="1" t="n">
        <v>46093</v>
      </c>
      <c r="D1547" t="inlineStr">
        <is>
          <t>ÖSTERGÖTLANDS LÄN</t>
        </is>
      </c>
      <c r="E1547" t="inlineStr">
        <is>
          <t>ÖDESHÖG</t>
        </is>
      </c>
      <c r="F1547" t="inlineStr">
        <is>
          <t>Allmännings- och besparingsskogar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23614-2022</t>
        </is>
      </c>
      <c r="B1548" s="1" t="n">
        <v>44721.6180787037</v>
      </c>
      <c r="C1548" s="1" t="n">
        <v>46093</v>
      </c>
      <c r="D1548" t="inlineStr">
        <is>
          <t>ÖSTERGÖTLANDS LÄN</t>
        </is>
      </c>
      <c r="E1548" t="inlineStr">
        <is>
          <t>KINDA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5843-2024</t>
        </is>
      </c>
      <c r="B1549" s="1" t="n">
        <v>45335.60815972222</v>
      </c>
      <c r="C1549" s="1" t="n">
        <v>46093</v>
      </c>
      <c r="D1549" t="inlineStr">
        <is>
          <t>ÖSTERGÖTLANDS LÄN</t>
        </is>
      </c>
      <c r="E1549" t="inlineStr">
        <is>
          <t>YDRE</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52048-2022</t>
        </is>
      </c>
      <c r="B1550" s="1" t="n">
        <v>44873.32138888889</v>
      </c>
      <c r="C1550" s="1" t="n">
        <v>46093</v>
      </c>
      <c r="D1550" t="inlineStr">
        <is>
          <t>ÖSTERGÖTLANDS LÄN</t>
        </is>
      </c>
      <c r="E1550" t="inlineStr">
        <is>
          <t>KINDA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50463-2022</t>
        </is>
      </c>
      <c r="B1551" s="1" t="n">
        <v>44866.48938657407</v>
      </c>
      <c r="C1551" s="1" t="n">
        <v>46093</v>
      </c>
      <c r="D1551" t="inlineStr">
        <is>
          <t>ÖSTERGÖTLANDS LÄN</t>
        </is>
      </c>
      <c r="E1551" t="inlineStr">
        <is>
          <t>BOXHOLM</t>
        </is>
      </c>
      <c r="F1551" t="inlineStr">
        <is>
          <t>Övriga Aktiebolag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24498-2022</t>
        </is>
      </c>
      <c r="B1552" s="1" t="n">
        <v>44726</v>
      </c>
      <c r="C1552" s="1" t="n">
        <v>46093</v>
      </c>
      <c r="D1552" t="inlineStr">
        <is>
          <t>ÖSTERGÖTLANDS LÄN</t>
        </is>
      </c>
      <c r="E1552" t="inlineStr">
        <is>
          <t>NORRKÖPING</t>
        </is>
      </c>
      <c r="F1552" t="inlineStr">
        <is>
          <t>Allmännings- och besparingsskogar</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11099-2025</t>
        </is>
      </c>
      <c r="B1553" s="1" t="n">
        <v>45723.58368055556</v>
      </c>
      <c r="C1553" s="1" t="n">
        <v>46093</v>
      </c>
      <c r="D1553" t="inlineStr">
        <is>
          <t>ÖSTERGÖTLANDS LÄN</t>
        </is>
      </c>
      <c r="E1553" t="inlineStr">
        <is>
          <t>ÖDESHÖG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47435-2023</t>
        </is>
      </c>
      <c r="B1554" s="1" t="n">
        <v>45202</v>
      </c>
      <c r="C1554" s="1" t="n">
        <v>46093</v>
      </c>
      <c r="D1554" t="inlineStr">
        <is>
          <t>ÖSTERGÖTLANDS LÄN</t>
        </is>
      </c>
      <c r="E1554" t="inlineStr">
        <is>
          <t>NORRKÖPING</t>
        </is>
      </c>
      <c r="F1554" t="inlineStr">
        <is>
          <t>Holmen skog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43221-2022</t>
        </is>
      </c>
      <c r="B1555" s="1" t="n">
        <v>44833</v>
      </c>
      <c r="C1555" s="1" t="n">
        <v>46093</v>
      </c>
      <c r="D1555" t="inlineStr">
        <is>
          <t>ÖSTERGÖTLANDS LÄN</t>
        </is>
      </c>
      <c r="E1555" t="inlineStr">
        <is>
          <t>FINSPÅNG</t>
        </is>
      </c>
      <c r="F1555" t="inlineStr">
        <is>
          <t>Övriga Aktiebolag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35701-2024</t>
        </is>
      </c>
      <c r="B1556" s="1" t="n">
        <v>45532</v>
      </c>
      <c r="C1556" s="1" t="n">
        <v>46093</v>
      </c>
      <c r="D1556" t="inlineStr">
        <is>
          <t>ÖSTERGÖTLANDS LÄN</t>
        </is>
      </c>
      <c r="E1556" t="inlineStr">
        <is>
          <t>NORRKÖPING</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21436-2025</t>
        </is>
      </c>
      <c r="B1557" s="1" t="n">
        <v>45782.51927083333</v>
      </c>
      <c r="C1557" s="1" t="n">
        <v>46093</v>
      </c>
      <c r="D1557" t="inlineStr">
        <is>
          <t>ÖSTERGÖTLANDS LÄN</t>
        </is>
      </c>
      <c r="E1557" t="inlineStr">
        <is>
          <t>BOXHOLM</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56581-2021</t>
        </is>
      </c>
      <c r="B1558" s="1" t="n">
        <v>44480.65591435185</v>
      </c>
      <c r="C1558" s="1" t="n">
        <v>46093</v>
      </c>
      <c r="D1558" t="inlineStr">
        <is>
          <t>ÖSTERGÖTLANDS LÄN</t>
        </is>
      </c>
      <c r="E1558" t="inlineStr">
        <is>
          <t>VALDEMARSVIK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3650-2023</t>
        </is>
      </c>
      <c r="B1559" s="1" t="n">
        <v>44950</v>
      </c>
      <c r="C1559" s="1" t="n">
        <v>46093</v>
      </c>
      <c r="D1559" t="inlineStr">
        <is>
          <t>ÖSTERGÖTLANDS LÄN</t>
        </is>
      </c>
      <c r="E1559" t="inlineStr">
        <is>
          <t>NORRKÖPING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58963-2021</t>
        </is>
      </c>
      <c r="B1560" s="1" t="n">
        <v>44489.94530092592</v>
      </c>
      <c r="C1560" s="1" t="n">
        <v>46093</v>
      </c>
      <c r="D1560" t="inlineStr">
        <is>
          <t>ÖSTERGÖTLANDS LÄN</t>
        </is>
      </c>
      <c r="E1560" t="inlineStr">
        <is>
          <t>ÅTVIDABERG</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26391-2023</t>
        </is>
      </c>
      <c r="B1561" s="1" t="n">
        <v>45092.35266203704</v>
      </c>
      <c r="C1561" s="1" t="n">
        <v>46093</v>
      </c>
      <c r="D1561" t="inlineStr">
        <is>
          <t>ÖSTERGÖTLANDS LÄN</t>
        </is>
      </c>
      <c r="E1561" t="inlineStr">
        <is>
          <t>NORRKÖPING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36406-2024</t>
        </is>
      </c>
      <c r="B1562" s="1" t="n">
        <v>45535</v>
      </c>
      <c r="C1562" s="1" t="n">
        <v>46093</v>
      </c>
      <c r="D1562" t="inlineStr">
        <is>
          <t>ÖSTERGÖTLANDS LÄN</t>
        </is>
      </c>
      <c r="E1562" t="inlineStr">
        <is>
          <t>FINSPÅNG</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31176-2022</t>
        </is>
      </c>
      <c r="B1563" s="1" t="n">
        <v>44770.56407407407</v>
      </c>
      <c r="C1563" s="1" t="n">
        <v>46093</v>
      </c>
      <c r="D1563" t="inlineStr">
        <is>
          <t>ÖSTERGÖTLANDS LÄN</t>
        </is>
      </c>
      <c r="E1563" t="inlineStr">
        <is>
          <t>FINSPÅNG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53529-2024</t>
        </is>
      </c>
      <c r="B1564" s="1" t="n">
        <v>45614</v>
      </c>
      <c r="C1564" s="1" t="n">
        <v>46093</v>
      </c>
      <c r="D1564" t="inlineStr">
        <is>
          <t>ÖSTERGÖTLANDS LÄN</t>
        </is>
      </c>
      <c r="E1564" t="inlineStr">
        <is>
          <t>LINKÖPING</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13579-2023</t>
        </is>
      </c>
      <c r="B1565" s="1" t="n">
        <v>45006</v>
      </c>
      <c r="C1565" s="1" t="n">
        <v>46093</v>
      </c>
      <c r="D1565" t="inlineStr">
        <is>
          <t>ÖSTERGÖTLANDS LÄN</t>
        </is>
      </c>
      <c r="E1565" t="inlineStr">
        <is>
          <t>NORRKÖPING</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22412-2022</t>
        </is>
      </c>
      <c r="B1566" s="1" t="n">
        <v>44713</v>
      </c>
      <c r="C1566" s="1" t="n">
        <v>46093</v>
      </c>
      <c r="D1566" t="inlineStr">
        <is>
          <t>ÖSTERGÖTLANDS LÄN</t>
        </is>
      </c>
      <c r="E1566" t="inlineStr">
        <is>
          <t>FINSPÅNG</t>
        </is>
      </c>
      <c r="F1566" t="inlineStr">
        <is>
          <t>Holmen skog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60618-2021</t>
        </is>
      </c>
      <c r="B1567" s="1" t="n">
        <v>44496</v>
      </c>
      <c r="C1567" s="1" t="n">
        <v>46093</v>
      </c>
      <c r="D1567" t="inlineStr">
        <is>
          <t>ÖSTERGÖTLANDS LÄN</t>
        </is>
      </c>
      <c r="E1567" t="inlineStr">
        <is>
          <t>MOTALA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48580-2023</t>
        </is>
      </c>
      <c r="B1568" s="1" t="n">
        <v>45208.47564814815</v>
      </c>
      <c r="C1568" s="1" t="n">
        <v>46093</v>
      </c>
      <c r="D1568" t="inlineStr">
        <is>
          <t>ÖSTERGÖTLANDS LÄN</t>
        </is>
      </c>
      <c r="E1568" t="inlineStr">
        <is>
          <t>ÅTVIDABERG</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61302-2021</t>
        </is>
      </c>
      <c r="B1569" s="1" t="n">
        <v>44498.63189814815</v>
      </c>
      <c r="C1569" s="1" t="n">
        <v>46093</v>
      </c>
      <c r="D1569" t="inlineStr">
        <is>
          <t>ÖSTERGÖTLANDS LÄN</t>
        </is>
      </c>
      <c r="E1569" t="inlineStr">
        <is>
          <t>LINKÖPING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16659-2021</t>
        </is>
      </c>
      <c r="B1570" s="1" t="n">
        <v>44294</v>
      </c>
      <c r="C1570" s="1" t="n">
        <v>46093</v>
      </c>
      <c r="D1570" t="inlineStr">
        <is>
          <t>ÖSTERGÖTLANDS LÄN</t>
        </is>
      </c>
      <c r="E1570" t="inlineStr">
        <is>
          <t>SÖDERKÖPING</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27099-2023</t>
        </is>
      </c>
      <c r="B1571" s="1" t="n">
        <v>45096</v>
      </c>
      <c r="C1571" s="1" t="n">
        <v>46093</v>
      </c>
      <c r="D1571" t="inlineStr">
        <is>
          <t>ÖSTERGÖTLANDS LÄN</t>
        </is>
      </c>
      <c r="E1571" t="inlineStr">
        <is>
          <t>KINDA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59777-2023</t>
        </is>
      </c>
      <c r="B1572" s="1" t="n">
        <v>45257.43741898148</v>
      </c>
      <c r="C1572" s="1" t="n">
        <v>46093</v>
      </c>
      <c r="D1572" t="inlineStr">
        <is>
          <t>ÖSTERGÖTLANDS LÄN</t>
        </is>
      </c>
      <c r="E1572" t="inlineStr">
        <is>
          <t>FINSPÅNG</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15714-2024</t>
        </is>
      </c>
      <c r="B1573" s="1" t="n">
        <v>45404.48288194444</v>
      </c>
      <c r="C1573" s="1" t="n">
        <v>46093</v>
      </c>
      <c r="D1573" t="inlineStr">
        <is>
          <t>ÖSTERGÖTLANDS LÄN</t>
        </is>
      </c>
      <c r="E1573" t="inlineStr">
        <is>
          <t>LINKÖPING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13935-2022</t>
        </is>
      </c>
      <c r="B1574" s="1" t="n">
        <v>44650</v>
      </c>
      <c r="C1574" s="1" t="n">
        <v>46093</v>
      </c>
      <c r="D1574" t="inlineStr">
        <is>
          <t>ÖSTERGÖTLANDS LÄN</t>
        </is>
      </c>
      <c r="E1574" t="inlineStr">
        <is>
          <t>YDRE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62570-2023</t>
        </is>
      </c>
      <c r="B1575" s="1" t="n">
        <v>45269</v>
      </c>
      <c r="C1575" s="1" t="n">
        <v>46093</v>
      </c>
      <c r="D1575" t="inlineStr">
        <is>
          <t>ÖSTERGÖTLANDS LÄN</t>
        </is>
      </c>
      <c r="E1575" t="inlineStr">
        <is>
          <t>MJÖLBY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3011-2025</t>
        </is>
      </c>
      <c r="B1576" s="1" t="n">
        <v>45678.57045138889</v>
      </c>
      <c r="C1576" s="1" t="n">
        <v>46093</v>
      </c>
      <c r="D1576" t="inlineStr">
        <is>
          <t>ÖSTERGÖTLANDS LÄN</t>
        </is>
      </c>
      <c r="E1576" t="inlineStr">
        <is>
          <t>NORRKÖPING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59827-2023</t>
        </is>
      </c>
      <c r="B1577" s="1" t="n">
        <v>45257</v>
      </c>
      <c r="C1577" s="1" t="n">
        <v>46093</v>
      </c>
      <c r="D1577" t="inlineStr">
        <is>
          <t>ÖSTERGÖTLANDS LÄN</t>
        </is>
      </c>
      <c r="E1577" t="inlineStr">
        <is>
          <t>FINSPÅNG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47464-2021</t>
        </is>
      </c>
      <c r="B1578" s="1" t="n">
        <v>44447.64655092593</v>
      </c>
      <c r="C1578" s="1" t="n">
        <v>46093</v>
      </c>
      <c r="D1578" t="inlineStr">
        <is>
          <t>ÖSTERGÖTLANDS LÄN</t>
        </is>
      </c>
      <c r="E1578" t="inlineStr">
        <is>
          <t>YDRE</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22108-2023</t>
        </is>
      </c>
      <c r="B1579" s="1" t="n">
        <v>45069.55658564815</v>
      </c>
      <c r="C1579" s="1" t="n">
        <v>46093</v>
      </c>
      <c r="D1579" t="inlineStr">
        <is>
          <t>ÖSTERGÖTLANDS LÄN</t>
        </is>
      </c>
      <c r="E1579" t="inlineStr">
        <is>
          <t>MOTALA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26784-2025</t>
        </is>
      </c>
      <c r="B1580" s="1" t="n">
        <v>45810.58356481481</v>
      </c>
      <c r="C1580" s="1" t="n">
        <v>46093</v>
      </c>
      <c r="D1580" t="inlineStr">
        <is>
          <t>ÖSTERGÖTLANDS LÄN</t>
        </is>
      </c>
      <c r="E1580" t="inlineStr">
        <is>
          <t>YDRE</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30481-2023</t>
        </is>
      </c>
      <c r="B1581" s="1" t="n">
        <v>45111</v>
      </c>
      <c r="C1581" s="1" t="n">
        <v>46093</v>
      </c>
      <c r="D1581" t="inlineStr">
        <is>
          <t>ÖSTERGÖTLANDS LÄN</t>
        </is>
      </c>
      <c r="E1581" t="inlineStr">
        <is>
          <t>LINKÖPING</t>
        </is>
      </c>
      <c r="F1581" t="inlineStr">
        <is>
          <t>Övriga Aktiebolag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58093-2021</t>
        </is>
      </c>
      <c r="B1582" s="1" t="n">
        <v>44487</v>
      </c>
      <c r="C1582" s="1" t="n">
        <v>46093</v>
      </c>
      <c r="D1582" t="inlineStr">
        <is>
          <t>ÖSTERGÖTLANDS LÄN</t>
        </is>
      </c>
      <c r="E1582" t="inlineStr">
        <is>
          <t>NORRKÖPING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58100-2021</t>
        </is>
      </c>
      <c r="B1583" s="1" t="n">
        <v>44487</v>
      </c>
      <c r="C1583" s="1" t="n">
        <v>46093</v>
      </c>
      <c r="D1583" t="inlineStr">
        <is>
          <t>ÖSTERGÖTLANDS LÄN</t>
        </is>
      </c>
      <c r="E1583" t="inlineStr">
        <is>
          <t>VALDEMARSVIK</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60867-2022</t>
        </is>
      </c>
      <c r="B1584" s="1" t="n">
        <v>44914</v>
      </c>
      <c r="C1584" s="1" t="n">
        <v>46093</v>
      </c>
      <c r="D1584" t="inlineStr">
        <is>
          <t>ÖSTERGÖTLANDS LÄN</t>
        </is>
      </c>
      <c r="E1584" t="inlineStr">
        <is>
          <t>BOXHOLM</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50248-2022</t>
        </is>
      </c>
      <c r="B1585" s="1" t="n">
        <v>44865</v>
      </c>
      <c r="C1585" s="1" t="n">
        <v>46093</v>
      </c>
      <c r="D1585" t="inlineStr">
        <is>
          <t>ÖSTERGÖTLANDS LÄN</t>
        </is>
      </c>
      <c r="E1585" t="inlineStr">
        <is>
          <t>MOTALA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37647-2024</t>
        </is>
      </c>
      <c r="B1586" s="1" t="n">
        <v>45541.55064814815</v>
      </c>
      <c r="C1586" s="1" t="n">
        <v>46093</v>
      </c>
      <c r="D1586" t="inlineStr">
        <is>
          <t>ÖSTERGÖTLANDS LÄN</t>
        </is>
      </c>
      <c r="E1586" t="inlineStr">
        <is>
          <t>FINSPÅNG</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74160-2021</t>
        </is>
      </c>
      <c r="B1587" s="1" t="n">
        <v>44558</v>
      </c>
      <c r="C1587" s="1" t="n">
        <v>46093</v>
      </c>
      <c r="D1587" t="inlineStr">
        <is>
          <t>ÖSTERGÖTLANDS LÄN</t>
        </is>
      </c>
      <c r="E1587" t="inlineStr">
        <is>
          <t>LINKÖPING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19890-2022</t>
        </is>
      </c>
      <c r="B1588" s="1" t="n">
        <v>44697.38225694445</v>
      </c>
      <c r="C1588" s="1" t="n">
        <v>46093</v>
      </c>
      <c r="D1588" t="inlineStr">
        <is>
          <t>ÖSTERGÖTLANDS LÄN</t>
        </is>
      </c>
      <c r="E1588" t="inlineStr">
        <is>
          <t>FINSPÅNG</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19897-2022</t>
        </is>
      </c>
      <c r="B1589" s="1" t="n">
        <v>44697</v>
      </c>
      <c r="C1589" s="1" t="n">
        <v>46093</v>
      </c>
      <c r="D1589" t="inlineStr">
        <is>
          <t>ÖSTERGÖTLANDS LÄN</t>
        </is>
      </c>
      <c r="E1589" t="inlineStr">
        <is>
          <t>KINDA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9434-2024</t>
        </is>
      </c>
      <c r="B1590" s="1" t="n">
        <v>45359</v>
      </c>
      <c r="C1590" s="1" t="n">
        <v>46093</v>
      </c>
      <c r="D1590" t="inlineStr">
        <is>
          <t>ÖSTERGÖTLANDS LÄN</t>
        </is>
      </c>
      <c r="E1590" t="inlineStr">
        <is>
          <t>LINKÖPING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12203-2025</t>
        </is>
      </c>
      <c r="B1591" s="1" t="n">
        <v>45729.49674768518</v>
      </c>
      <c r="C1591" s="1" t="n">
        <v>46093</v>
      </c>
      <c r="D1591" t="inlineStr">
        <is>
          <t>ÖSTERGÖTLANDS LÄN</t>
        </is>
      </c>
      <c r="E1591" t="inlineStr">
        <is>
          <t>BOXHOLM</t>
        </is>
      </c>
      <c r="F1591" t="inlineStr">
        <is>
          <t>Allmännings- och besparingsskogar</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23821-2023</t>
        </is>
      </c>
      <c r="B1592" s="1" t="n">
        <v>45078</v>
      </c>
      <c r="C1592" s="1" t="n">
        <v>46093</v>
      </c>
      <c r="D1592" t="inlineStr">
        <is>
          <t>ÖSTERGÖTLANDS LÄN</t>
        </is>
      </c>
      <c r="E1592" t="inlineStr">
        <is>
          <t>FINSPÅNG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11541-2023</t>
        </is>
      </c>
      <c r="B1593" s="1" t="n">
        <v>44993.91690972223</v>
      </c>
      <c r="C1593" s="1" t="n">
        <v>46093</v>
      </c>
      <c r="D1593" t="inlineStr">
        <is>
          <t>ÖSTERGÖTLANDS LÄN</t>
        </is>
      </c>
      <c r="E1593" t="inlineStr">
        <is>
          <t>FINSPÅNG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34220-2025</t>
        </is>
      </c>
      <c r="B1594" s="1" t="n">
        <v>45845.6499537037</v>
      </c>
      <c r="C1594" s="1" t="n">
        <v>46093</v>
      </c>
      <c r="D1594" t="inlineStr">
        <is>
          <t>ÖSTERGÖTLANDS LÄN</t>
        </is>
      </c>
      <c r="E1594" t="inlineStr">
        <is>
          <t>FINSPÅNG</t>
        </is>
      </c>
      <c r="F1594" t="inlineStr">
        <is>
          <t>Holmen skog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43936-2024</t>
        </is>
      </c>
      <c r="B1595" s="1" t="n">
        <v>45572.46131944445</v>
      </c>
      <c r="C1595" s="1" t="n">
        <v>46093</v>
      </c>
      <c r="D1595" t="inlineStr">
        <is>
          <t>ÖSTERGÖTLANDS LÄN</t>
        </is>
      </c>
      <c r="E1595" t="inlineStr">
        <is>
          <t>BOXHOLM</t>
        </is>
      </c>
      <c r="F1595" t="inlineStr">
        <is>
          <t>Allmännings- och besparingsskogar</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49627-2021</t>
        </is>
      </c>
      <c r="B1596" s="1" t="n">
        <v>44455</v>
      </c>
      <c r="C1596" s="1" t="n">
        <v>46093</v>
      </c>
      <c r="D1596" t="inlineStr">
        <is>
          <t>ÖSTERGÖTLANDS LÄN</t>
        </is>
      </c>
      <c r="E1596" t="inlineStr">
        <is>
          <t>MOTALA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9809-2024</t>
        </is>
      </c>
      <c r="B1597" s="1" t="n">
        <v>45362</v>
      </c>
      <c r="C1597" s="1" t="n">
        <v>46093</v>
      </c>
      <c r="D1597" t="inlineStr">
        <is>
          <t>ÖSTERGÖTLANDS LÄN</t>
        </is>
      </c>
      <c r="E1597" t="inlineStr">
        <is>
          <t>FINSPÅNG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41625-2024</t>
        </is>
      </c>
      <c r="B1598" s="1" t="n">
        <v>45560.60784722222</v>
      </c>
      <c r="C1598" s="1" t="n">
        <v>46093</v>
      </c>
      <c r="D1598" t="inlineStr">
        <is>
          <t>ÖSTERGÖTLANDS LÄN</t>
        </is>
      </c>
      <c r="E1598" t="inlineStr">
        <is>
          <t>FINSPÅNG</t>
        </is>
      </c>
      <c r="F1598" t="inlineStr">
        <is>
          <t>Holmen skog AB</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43041-2024</t>
        </is>
      </c>
      <c r="B1599" s="1" t="n">
        <v>45567.42827546296</v>
      </c>
      <c r="C1599" s="1" t="n">
        <v>46093</v>
      </c>
      <c r="D1599" t="inlineStr">
        <is>
          <t>ÖSTERGÖTLANDS LÄN</t>
        </is>
      </c>
      <c r="E1599" t="inlineStr">
        <is>
          <t>SÖDERKÖPING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16703-2023</t>
        </is>
      </c>
      <c r="B1600" s="1" t="n">
        <v>45030.62740740741</v>
      </c>
      <c r="C1600" s="1" t="n">
        <v>46093</v>
      </c>
      <c r="D1600" t="inlineStr">
        <is>
          <t>ÖSTERGÖTLANDS LÄN</t>
        </is>
      </c>
      <c r="E1600" t="inlineStr">
        <is>
          <t>NORRKÖPING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16708-2023</t>
        </is>
      </c>
      <c r="B1601" s="1" t="n">
        <v>45030</v>
      </c>
      <c r="C1601" s="1" t="n">
        <v>46093</v>
      </c>
      <c r="D1601" t="inlineStr">
        <is>
          <t>ÖSTERGÖTLANDS LÄN</t>
        </is>
      </c>
      <c r="E1601" t="inlineStr">
        <is>
          <t>NORRKÖPING</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17291-2024</t>
        </is>
      </c>
      <c r="B1602" s="1" t="n">
        <v>45414.46959490741</v>
      </c>
      <c r="C1602" s="1" t="n">
        <v>46093</v>
      </c>
      <c r="D1602" t="inlineStr">
        <is>
          <t>ÖSTERGÖTLANDS LÄN</t>
        </is>
      </c>
      <c r="E1602" t="inlineStr">
        <is>
          <t>YDRE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64993-2021</t>
        </is>
      </c>
      <c r="B1603" s="1" t="n">
        <v>44514.53685185185</v>
      </c>
      <c r="C1603" s="1" t="n">
        <v>46093</v>
      </c>
      <c r="D1603" t="inlineStr">
        <is>
          <t>ÖSTERGÖTLANDS LÄN</t>
        </is>
      </c>
      <c r="E1603" t="inlineStr">
        <is>
          <t>ÅTVIDABERG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7125-2022</t>
        </is>
      </c>
      <c r="B1604" s="1" t="n">
        <v>44603.67640046297</v>
      </c>
      <c r="C1604" s="1" t="n">
        <v>46093</v>
      </c>
      <c r="D1604" t="inlineStr">
        <is>
          <t>ÖSTERGÖTLANDS LÄN</t>
        </is>
      </c>
      <c r="E1604" t="inlineStr">
        <is>
          <t>VALDEMARSVIK</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61880-2021</t>
        </is>
      </c>
      <c r="B1605" s="1" t="n">
        <v>44502</v>
      </c>
      <c r="C1605" s="1" t="n">
        <v>46093</v>
      </c>
      <c r="D1605" t="inlineStr">
        <is>
          <t>ÖSTERGÖTLANDS LÄN</t>
        </is>
      </c>
      <c r="E1605" t="inlineStr">
        <is>
          <t>ÖDESHÖG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22113-2023</t>
        </is>
      </c>
      <c r="B1606" s="1" t="n">
        <v>45069</v>
      </c>
      <c r="C1606" s="1" t="n">
        <v>46093</v>
      </c>
      <c r="D1606" t="inlineStr">
        <is>
          <t>ÖSTERGÖTLANDS LÄN</t>
        </is>
      </c>
      <c r="E1606" t="inlineStr">
        <is>
          <t>MOTALA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5725-2022</t>
        </is>
      </c>
      <c r="B1607" s="1" t="n">
        <v>44596</v>
      </c>
      <c r="C1607" s="1" t="n">
        <v>46093</v>
      </c>
      <c r="D1607" t="inlineStr">
        <is>
          <t>ÖSTERGÖTLANDS LÄN</t>
        </is>
      </c>
      <c r="E1607" t="inlineStr">
        <is>
          <t>NORRKÖPING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15906-2024</t>
        </is>
      </c>
      <c r="B1608" s="1" t="n">
        <v>45405</v>
      </c>
      <c r="C1608" s="1" t="n">
        <v>46093</v>
      </c>
      <c r="D1608" t="inlineStr">
        <is>
          <t>ÖSTERGÖTLANDS LÄN</t>
        </is>
      </c>
      <c r="E1608" t="inlineStr">
        <is>
          <t>ÖDESHÖG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63559-2023</t>
        </is>
      </c>
      <c r="B1609" s="1" t="n">
        <v>45275.35924768518</v>
      </c>
      <c r="C1609" s="1" t="n">
        <v>46093</v>
      </c>
      <c r="D1609" t="inlineStr">
        <is>
          <t>ÖSTERGÖTLANDS LÄN</t>
        </is>
      </c>
      <c r="E1609" t="inlineStr">
        <is>
          <t>LINKÖPING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6535-2023</t>
        </is>
      </c>
      <c r="B1610" s="1" t="n">
        <v>44966</v>
      </c>
      <c r="C1610" s="1" t="n">
        <v>46093</v>
      </c>
      <c r="D1610" t="inlineStr">
        <is>
          <t>ÖSTERGÖTLANDS LÄN</t>
        </is>
      </c>
      <c r="E1610" t="inlineStr">
        <is>
          <t>SÖDERKÖPING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35345-2023</t>
        </is>
      </c>
      <c r="B1611" s="1" t="n">
        <v>45146.48567129629</v>
      </c>
      <c r="C1611" s="1" t="n">
        <v>46093</v>
      </c>
      <c r="D1611" t="inlineStr">
        <is>
          <t>ÖSTERGÖTLANDS LÄN</t>
        </is>
      </c>
      <c r="E1611" t="inlineStr">
        <is>
          <t>BOXHOLM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63678-2023</t>
        </is>
      </c>
      <c r="B1612" s="1" t="n">
        <v>45275.64769675926</v>
      </c>
      <c r="C1612" s="1" t="n">
        <v>46093</v>
      </c>
      <c r="D1612" t="inlineStr">
        <is>
          <t>ÖSTERGÖTLANDS LÄN</t>
        </is>
      </c>
      <c r="E1612" t="inlineStr">
        <is>
          <t>LINKÖPING</t>
        </is>
      </c>
      <c r="F1612" t="inlineStr">
        <is>
          <t>Övriga Aktiebolag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63688-2023</t>
        </is>
      </c>
      <c r="B1613" s="1" t="n">
        <v>45275</v>
      </c>
      <c r="C1613" s="1" t="n">
        <v>46093</v>
      </c>
      <c r="D1613" t="inlineStr">
        <is>
          <t>ÖSTERGÖTLANDS LÄN</t>
        </is>
      </c>
      <c r="E1613" t="inlineStr">
        <is>
          <t>LINKÖPING</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33804-2023</t>
        </is>
      </c>
      <c r="B1614" s="1" t="n">
        <v>45133.57666666667</v>
      </c>
      <c r="C1614" s="1" t="n">
        <v>46093</v>
      </c>
      <c r="D1614" t="inlineStr">
        <is>
          <t>ÖSTERGÖTLANDS LÄN</t>
        </is>
      </c>
      <c r="E1614" t="inlineStr">
        <is>
          <t>FINSPÅNG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63691-2023</t>
        </is>
      </c>
      <c r="B1615" s="1" t="n">
        <v>45275</v>
      </c>
      <c r="C1615" s="1" t="n">
        <v>46093</v>
      </c>
      <c r="D1615" t="inlineStr">
        <is>
          <t>ÖSTERGÖTLANDS LÄN</t>
        </is>
      </c>
      <c r="E1615" t="inlineStr">
        <is>
          <t>LINKÖPING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13591-2025</t>
        </is>
      </c>
      <c r="B1616" s="1" t="n">
        <v>45736.60052083333</v>
      </c>
      <c r="C1616" s="1" t="n">
        <v>46093</v>
      </c>
      <c r="D1616" t="inlineStr">
        <is>
          <t>ÖSTERGÖTLANDS LÄN</t>
        </is>
      </c>
      <c r="E1616" t="inlineStr">
        <is>
          <t>ÅTVIDABERG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33676-2022</t>
        </is>
      </c>
      <c r="B1617" s="1" t="n">
        <v>44789</v>
      </c>
      <c r="C1617" s="1" t="n">
        <v>46093</v>
      </c>
      <c r="D1617" t="inlineStr">
        <is>
          <t>ÖSTERGÖTLANDS LÄN</t>
        </is>
      </c>
      <c r="E1617" t="inlineStr">
        <is>
          <t>YDRE</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41426-2022</t>
        </is>
      </c>
      <c r="B1618" s="1" t="n">
        <v>44826</v>
      </c>
      <c r="C1618" s="1" t="n">
        <v>46093</v>
      </c>
      <c r="D1618" t="inlineStr">
        <is>
          <t>ÖSTERGÖTLANDS LÄN</t>
        </is>
      </c>
      <c r="E1618" t="inlineStr">
        <is>
          <t>LINKÖPING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41536-2022</t>
        </is>
      </c>
      <c r="B1619" s="1" t="n">
        <v>44827.36936342593</v>
      </c>
      <c r="C1619" s="1" t="n">
        <v>46093</v>
      </c>
      <c r="D1619" t="inlineStr">
        <is>
          <t>ÖSTERGÖTLANDS LÄN</t>
        </is>
      </c>
      <c r="E1619" t="inlineStr">
        <is>
          <t>YDRE</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53777-2023</t>
        </is>
      </c>
      <c r="B1620" s="1" t="n">
        <v>45231.3040625</v>
      </c>
      <c r="C1620" s="1" t="n">
        <v>46093</v>
      </c>
      <c r="D1620" t="inlineStr">
        <is>
          <t>ÖSTERGÖTLANDS LÄN</t>
        </is>
      </c>
      <c r="E1620" t="inlineStr">
        <is>
          <t>SÖDERKÖPING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53444-2021</t>
        </is>
      </c>
      <c r="B1621" s="1" t="n">
        <v>44468</v>
      </c>
      <c r="C1621" s="1" t="n">
        <v>46093</v>
      </c>
      <c r="D1621" t="inlineStr">
        <is>
          <t>ÖSTERGÖTLANDS LÄN</t>
        </is>
      </c>
      <c r="E1621" t="inlineStr">
        <is>
          <t>NORRKÖPING</t>
        </is>
      </c>
      <c r="F1621" t="inlineStr">
        <is>
          <t>Holmen skog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53475-2021</t>
        </is>
      </c>
      <c r="B1622" s="1" t="n">
        <v>44468.75822916667</v>
      </c>
      <c r="C1622" s="1" t="n">
        <v>46093</v>
      </c>
      <c r="D1622" t="inlineStr">
        <is>
          <t>ÖSTERGÖTLANDS LÄN</t>
        </is>
      </c>
      <c r="E1622" t="inlineStr">
        <is>
          <t>FINSPÅNG</t>
        </is>
      </c>
      <c r="F1622" t="inlineStr">
        <is>
          <t>Övriga Aktiebolag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38963-2022</t>
        </is>
      </c>
      <c r="B1623" s="1" t="n">
        <v>44816.75416666667</v>
      </c>
      <c r="C1623" s="1" t="n">
        <v>46093</v>
      </c>
      <c r="D1623" t="inlineStr">
        <is>
          <t>ÖSTERGÖTLANDS LÄN</t>
        </is>
      </c>
      <c r="E1623" t="inlineStr">
        <is>
          <t>FINSPÅNG</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34557-2022</t>
        </is>
      </c>
      <c r="B1624" s="1" t="n">
        <v>44794.57074074074</v>
      </c>
      <c r="C1624" s="1" t="n">
        <v>46093</v>
      </c>
      <c r="D1624" t="inlineStr">
        <is>
          <t>ÖSTERGÖTLANDS LÄN</t>
        </is>
      </c>
      <c r="E1624" t="inlineStr">
        <is>
          <t>LINKÖPING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53891-2021</t>
        </is>
      </c>
      <c r="B1625" s="1" t="n">
        <v>44469.69740740741</v>
      </c>
      <c r="C1625" s="1" t="n">
        <v>46093</v>
      </c>
      <c r="D1625" t="inlineStr">
        <is>
          <t>ÖSTERGÖTLANDS LÄN</t>
        </is>
      </c>
      <c r="E1625" t="inlineStr">
        <is>
          <t>SÖDERKÖPING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73655-2021</t>
        </is>
      </c>
      <c r="B1626" s="1" t="n">
        <v>44551</v>
      </c>
      <c r="C1626" s="1" t="n">
        <v>46093</v>
      </c>
      <c r="D1626" t="inlineStr">
        <is>
          <t>ÖSTERGÖTLANDS LÄN</t>
        </is>
      </c>
      <c r="E1626" t="inlineStr">
        <is>
          <t>FINSPÅNG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50581-2024</t>
        </is>
      </c>
      <c r="B1627" s="1" t="n">
        <v>45601.61167824074</v>
      </c>
      <c r="C1627" s="1" t="n">
        <v>46093</v>
      </c>
      <c r="D1627" t="inlineStr">
        <is>
          <t>ÖSTERGÖTLANDS LÄN</t>
        </is>
      </c>
      <c r="E1627" t="inlineStr">
        <is>
          <t>MJÖLBY</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20343-2025</t>
        </is>
      </c>
      <c r="B1628" s="1" t="n">
        <v>45775</v>
      </c>
      <c r="C1628" s="1" t="n">
        <v>46093</v>
      </c>
      <c r="D1628" t="inlineStr">
        <is>
          <t>ÖSTERGÖTLANDS LÄN</t>
        </is>
      </c>
      <c r="E1628" t="inlineStr">
        <is>
          <t>KINDA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11785-2024</t>
        </is>
      </c>
      <c r="B1629" s="1" t="n">
        <v>45374.71145833333</v>
      </c>
      <c r="C1629" s="1" t="n">
        <v>46093</v>
      </c>
      <c r="D1629" t="inlineStr">
        <is>
          <t>ÖSTERGÖTLANDS LÄN</t>
        </is>
      </c>
      <c r="E1629" t="inlineStr">
        <is>
          <t>FINSPÅNG</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11612-2023</t>
        </is>
      </c>
      <c r="B1630" s="1" t="n">
        <v>44994.41405092592</v>
      </c>
      <c r="C1630" s="1" t="n">
        <v>46093</v>
      </c>
      <c r="D1630" t="inlineStr">
        <is>
          <t>ÖSTERGÖTLANDS LÄN</t>
        </is>
      </c>
      <c r="E1630" t="inlineStr">
        <is>
          <t>NORRKÖPING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52197-2023</t>
        </is>
      </c>
      <c r="B1631" s="1" t="n">
        <v>45224.398125</v>
      </c>
      <c r="C1631" s="1" t="n">
        <v>46093</v>
      </c>
      <c r="D1631" t="inlineStr">
        <is>
          <t>ÖSTERGÖTLANDS LÄN</t>
        </is>
      </c>
      <c r="E1631" t="inlineStr">
        <is>
          <t>ÅTVIDABERG</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27744-2022</t>
        </is>
      </c>
      <c r="B1632" s="1" t="n">
        <v>44743</v>
      </c>
      <c r="C1632" s="1" t="n">
        <v>46093</v>
      </c>
      <c r="D1632" t="inlineStr">
        <is>
          <t>ÖSTERGÖTLANDS LÄN</t>
        </is>
      </c>
      <c r="E1632" t="inlineStr">
        <is>
          <t>YDRE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34162-2022</t>
        </is>
      </c>
      <c r="B1633" s="1" t="n">
        <v>44791</v>
      </c>
      <c r="C1633" s="1" t="n">
        <v>46093</v>
      </c>
      <c r="D1633" t="inlineStr">
        <is>
          <t>ÖSTERGÖTLANDS LÄN</t>
        </is>
      </c>
      <c r="E1633" t="inlineStr">
        <is>
          <t>LINKÖPING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12297-2024</t>
        </is>
      </c>
      <c r="B1634" s="1" t="n">
        <v>45378</v>
      </c>
      <c r="C1634" s="1" t="n">
        <v>46093</v>
      </c>
      <c r="D1634" t="inlineStr">
        <is>
          <t>ÖSTERGÖTLANDS LÄN</t>
        </is>
      </c>
      <c r="E1634" t="inlineStr">
        <is>
          <t>ÅTVIDABERG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36826-2022</t>
        </is>
      </c>
      <c r="B1635" s="1" t="n">
        <v>44805.56214120371</v>
      </c>
      <c r="C1635" s="1" t="n">
        <v>46093</v>
      </c>
      <c r="D1635" t="inlineStr">
        <is>
          <t>ÖSTERGÖTLANDS LÄN</t>
        </is>
      </c>
      <c r="E1635" t="inlineStr">
        <is>
          <t>KINDA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9941-2024</t>
        </is>
      </c>
      <c r="B1636" s="1" t="n">
        <v>45363.58979166667</v>
      </c>
      <c r="C1636" s="1" t="n">
        <v>46093</v>
      </c>
      <c r="D1636" t="inlineStr">
        <is>
          <t>ÖSTERGÖTLANDS LÄN</t>
        </is>
      </c>
      <c r="E1636" t="inlineStr">
        <is>
          <t>NORRKÖPING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21148-2022</t>
        </is>
      </c>
      <c r="B1637" s="1" t="n">
        <v>44704.65763888889</v>
      </c>
      <c r="C1637" s="1" t="n">
        <v>46093</v>
      </c>
      <c r="D1637" t="inlineStr">
        <is>
          <t>ÖSTERGÖTLANDS LÄN</t>
        </is>
      </c>
      <c r="E1637" t="inlineStr">
        <is>
          <t>KINDA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10120-2025</t>
        </is>
      </c>
      <c r="B1638" s="1" t="n">
        <v>45719.60015046296</v>
      </c>
      <c r="C1638" s="1" t="n">
        <v>46093</v>
      </c>
      <c r="D1638" t="inlineStr">
        <is>
          <t>ÖSTERGÖTLANDS LÄN</t>
        </is>
      </c>
      <c r="E1638" t="inlineStr">
        <is>
          <t>VALDEMARSVIK</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49099-2023</t>
        </is>
      </c>
      <c r="B1639" s="1" t="n">
        <v>45210</v>
      </c>
      <c r="C1639" s="1" t="n">
        <v>46093</v>
      </c>
      <c r="D1639" t="inlineStr">
        <is>
          <t>ÖSTERGÖTLANDS LÄN</t>
        </is>
      </c>
      <c r="E1639" t="inlineStr">
        <is>
          <t>FINSPÅNG</t>
        </is>
      </c>
      <c r="F1639" t="inlineStr">
        <is>
          <t>Övriga Aktiebolag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72254-2021</t>
        </is>
      </c>
      <c r="B1640" s="1" t="n">
        <v>44545.25053240741</v>
      </c>
      <c r="C1640" s="1" t="n">
        <v>46093</v>
      </c>
      <c r="D1640" t="inlineStr">
        <is>
          <t>ÖSTERGÖTLANDS LÄN</t>
        </is>
      </c>
      <c r="E1640" t="inlineStr">
        <is>
          <t>ÅTVIDABERG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56883-2021</t>
        </is>
      </c>
      <c r="B1641" s="1" t="n">
        <v>44481</v>
      </c>
      <c r="C1641" s="1" t="n">
        <v>46093</v>
      </c>
      <c r="D1641" t="inlineStr">
        <is>
          <t>ÖSTERGÖTLANDS LÄN</t>
        </is>
      </c>
      <c r="E1641" t="inlineStr">
        <is>
          <t>FINSPÅNG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34078-2025</t>
        </is>
      </c>
      <c r="B1642" s="1" t="n">
        <v>45845.45563657407</v>
      </c>
      <c r="C1642" s="1" t="n">
        <v>46093</v>
      </c>
      <c r="D1642" t="inlineStr">
        <is>
          <t>ÖSTERGÖTLANDS LÄN</t>
        </is>
      </c>
      <c r="E1642" t="inlineStr">
        <is>
          <t>NORRKÖPING</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34979-2022</t>
        </is>
      </c>
      <c r="B1643" s="1" t="n">
        <v>44796</v>
      </c>
      <c r="C1643" s="1" t="n">
        <v>46093</v>
      </c>
      <c r="D1643" t="inlineStr">
        <is>
          <t>ÖSTERGÖTLANDS LÄN</t>
        </is>
      </c>
      <c r="E1643" t="inlineStr">
        <is>
          <t>ÖDESHÖG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53534-2022</t>
        </is>
      </c>
      <c r="B1644" s="1" t="n">
        <v>44874</v>
      </c>
      <c r="C1644" s="1" t="n">
        <v>46093</v>
      </c>
      <c r="D1644" t="inlineStr">
        <is>
          <t>ÖSTERGÖTLANDS LÄN</t>
        </is>
      </c>
      <c r="E1644" t="inlineStr">
        <is>
          <t>YDRE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61298-2021</t>
        </is>
      </c>
      <c r="B1645" s="1" t="n">
        <v>44498.62533564815</v>
      </c>
      <c r="C1645" s="1" t="n">
        <v>46093</v>
      </c>
      <c r="D1645" t="inlineStr">
        <is>
          <t>ÖSTERGÖTLANDS LÄN</t>
        </is>
      </c>
      <c r="E1645" t="inlineStr">
        <is>
          <t>LINKÖPING</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61333-2021</t>
        </is>
      </c>
      <c r="B1646" s="1" t="n">
        <v>44498.6764699074</v>
      </c>
      <c r="C1646" s="1" t="n">
        <v>46093</v>
      </c>
      <c r="D1646" t="inlineStr">
        <is>
          <t>ÖSTERGÖTLANDS LÄN</t>
        </is>
      </c>
      <c r="E1646" t="inlineStr">
        <is>
          <t>LINKÖPING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529-2023</t>
        </is>
      </c>
      <c r="B1647" s="1" t="n">
        <v>44930</v>
      </c>
      <c r="C1647" s="1" t="n">
        <v>46093</v>
      </c>
      <c r="D1647" t="inlineStr">
        <is>
          <t>ÖSTERGÖTLANDS LÄN</t>
        </is>
      </c>
      <c r="E1647" t="inlineStr">
        <is>
          <t>FINSPÅNG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530-2023</t>
        </is>
      </c>
      <c r="B1648" s="1" t="n">
        <v>44930</v>
      </c>
      <c r="C1648" s="1" t="n">
        <v>46093</v>
      </c>
      <c r="D1648" t="inlineStr">
        <is>
          <t>ÖSTERGÖTLANDS LÄN</t>
        </is>
      </c>
      <c r="E1648" t="inlineStr">
        <is>
          <t>FINSPÅNG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17157-2024</t>
        </is>
      </c>
      <c r="B1649" s="1" t="n">
        <v>45412.70567129629</v>
      </c>
      <c r="C1649" s="1" t="n">
        <v>46093</v>
      </c>
      <c r="D1649" t="inlineStr">
        <is>
          <t>ÖSTERGÖTLANDS LÄN</t>
        </is>
      </c>
      <c r="E1649" t="inlineStr">
        <is>
          <t>LINKÖPING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34605-2022</t>
        </is>
      </c>
      <c r="B1650" s="1" t="n">
        <v>44795</v>
      </c>
      <c r="C1650" s="1" t="n">
        <v>46093</v>
      </c>
      <c r="D1650" t="inlineStr">
        <is>
          <t>ÖSTERGÖTLANDS LÄN</t>
        </is>
      </c>
      <c r="E1650" t="inlineStr">
        <is>
          <t>ÅTVIDABERG</t>
        </is>
      </c>
      <c r="G1650" t="n">
        <v>0.8</v>
      </c>
      <c r="H1650" t="n">
        <v>0</v>
      </c>
      <c r="I1650" t="n">
        <v>0</v>
      </c>
      <c r="J1650" t="n">
        <v>0</v>
      </c>
      <c r="K1650" t="n">
        <v>0</v>
      </c>
      <c r="L1650" t="n">
        <v>0</v>
      </c>
      <c r="M1650" t="n">
        <v>0</v>
      </c>
      <c r="N1650" t="n">
        <v>0</v>
      </c>
      <c r="O1650" t="n">
        <v>0</v>
      </c>
      <c r="P1650" t="n">
        <v>0</v>
      </c>
      <c r="Q1650" t="n">
        <v>0</v>
      </c>
      <c r="R1650" s="2" t="inlineStr"/>
      <c r="U1650">
        <f>HYPERLINK("https://klasma.github.io/Logging_0561/knärot/A 34605-2022 karta knärot.png", "A 34605-2022")</f>
        <v/>
      </c>
      <c r="V1650">
        <f>HYPERLINK("https://klasma.github.io/Logging_0561/klagomål/A 34605-2022 FSC-klagomål.docx", "A 34605-2022")</f>
        <v/>
      </c>
      <c r="W1650">
        <f>HYPERLINK("https://klasma.github.io/Logging_0561/klagomålsmail/A 34605-2022 FSC-klagomål mail.docx", "A 34605-2022")</f>
        <v/>
      </c>
      <c r="X1650">
        <f>HYPERLINK("https://klasma.github.io/Logging_0561/tillsyn/A 34605-2022 tillsynsbegäran.docx", "A 34605-2022")</f>
        <v/>
      </c>
      <c r="Y1650">
        <f>HYPERLINK("https://klasma.github.io/Logging_0561/tillsynsmail/A 34605-2022 tillsynsbegäran mail.docx", "A 34605-2022")</f>
        <v/>
      </c>
    </row>
    <row r="1651" ht="15" customHeight="1">
      <c r="A1651" t="inlineStr">
        <is>
          <t>A 69994-2021</t>
        </is>
      </c>
      <c r="B1651" s="1" t="n">
        <v>44533</v>
      </c>
      <c r="C1651" s="1" t="n">
        <v>46093</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45410-2022</t>
        </is>
      </c>
      <c r="B1652" s="1" t="n">
        <v>44844</v>
      </c>
      <c r="C1652" s="1" t="n">
        <v>46093</v>
      </c>
      <c r="D1652" t="inlineStr">
        <is>
          <t>ÖSTERGÖTLANDS LÄN</t>
        </is>
      </c>
      <c r="E1652" t="inlineStr">
        <is>
          <t>FINSPÅNG</t>
        </is>
      </c>
      <c r="G1652" t="n">
        <v>16.6</v>
      </c>
      <c r="H1652" t="n">
        <v>0</v>
      </c>
      <c r="I1652" t="n">
        <v>0</v>
      </c>
      <c r="J1652" t="n">
        <v>0</v>
      </c>
      <c r="K1652" t="n">
        <v>0</v>
      </c>
      <c r="L1652" t="n">
        <v>0</v>
      </c>
      <c r="M1652" t="n">
        <v>0</v>
      </c>
      <c r="N1652" t="n">
        <v>0</v>
      </c>
      <c r="O1652" t="n">
        <v>0</v>
      </c>
      <c r="P1652" t="n">
        <v>0</v>
      </c>
      <c r="Q1652" t="n">
        <v>0</v>
      </c>
      <c r="R1652" s="2" t="inlineStr"/>
    </row>
    <row r="1653" ht="15" customHeight="1">
      <c r="A1653" t="inlineStr">
        <is>
          <t>A 53306-2024</t>
        </is>
      </c>
      <c r="B1653" s="1" t="n">
        <v>45614.39091435185</v>
      </c>
      <c r="C1653" s="1" t="n">
        <v>46093</v>
      </c>
      <c r="D1653" t="inlineStr">
        <is>
          <t>ÖSTERGÖTLANDS LÄN</t>
        </is>
      </c>
      <c r="E1653" t="inlineStr">
        <is>
          <t>KINDA</t>
        </is>
      </c>
      <c r="F1653" t="inlineStr">
        <is>
          <t>Övriga Aktiebolag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11185-2024</t>
        </is>
      </c>
      <c r="B1654" s="1" t="n">
        <v>45371.53494212963</v>
      </c>
      <c r="C1654" s="1" t="n">
        <v>46093</v>
      </c>
      <c r="D1654" t="inlineStr">
        <is>
          <t>ÖSTERGÖTLANDS LÄN</t>
        </is>
      </c>
      <c r="E1654" t="inlineStr">
        <is>
          <t>YDRE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39655-2023</t>
        </is>
      </c>
      <c r="B1655" s="1" t="n">
        <v>45167</v>
      </c>
      <c r="C1655" s="1" t="n">
        <v>46093</v>
      </c>
      <c r="D1655" t="inlineStr">
        <is>
          <t>ÖSTERGÖTLANDS LÄN</t>
        </is>
      </c>
      <c r="E1655" t="inlineStr">
        <is>
          <t>FINSPÅNG</t>
        </is>
      </c>
      <c r="F1655" t="inlineStr">
        <is>
          <t>Kyrkan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12412-2022</t>
        </is>
      </c>
      <c r="B1656" s="1" t="n">
        <v>44638</v>
      </c>
      <c r="C1656" s="1" t="n">
        <v>46093</v>
      </c>
      <c r="D1656" t="inlineStr">
        <is>
          <t>ÖSTERGÖTLANDS LÄN</t>
        </is>
      </c>
      <c r="E1656" t="inlineStr">
        <is>
          <t>LINKÖPING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6502-2024</t>
        </is>
      </c>
      <c r="B1657" s="1" t="n">
        <v>45339</v>
      </c>
      <c r="C1657" s="1" t="n">
        <v>46093</v>
      </c>
      <c r="D1657" t="inlineStr">
        <is>
          <t>ÖSTERGÖTLANDS LÄN</t>
        </is>
      </c>
      <c r="E1657" t="inlineStr">
        <is>
          <t>VALDEMARSVIK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23491-2024</t>
        </is>
      </c>
      <c r="B1658" s="1" t="n">
        <v>45453</v>
      </c>
      <c r="C1658" s="1" t="n">
        <v>46093</v>
      </c>
      <c r="D1658" t="inlineStr">
        <is>
          <t>ÖSTERGÖTLANDS LÄN</t>
        </is>
      </c>
      <c r="E1658" t="inlineStr">
        <is>
          <t>LINKÖPING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30156-2023</t>
        </is>
      </c>
      <c r="B1659" s="1" t="n">
        <v>45110.56027777777</v>
      </c>
      <c r="C1659" s="1" t="n">
        <v>46093</v>
      </c>
      <c r="D1659" t="inlineStr">
        <is>
          <t>ÖSTERGÖTLANDS LÄN</t>
        </is>
      </c>
      <c r="E1659" t="inlineStr">
        <is>
          <t>NORRKÖPING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30159-2023</t>
        </is>
      </c>
      <c r="B1660" s="1" t="n">
        <v>45110</v>
      </c>
      <c r="C1660" s="1" t="n">
        <v>46093</v>
      </c>
      <c r="D1660" t="inlineStr">
        <is>
          <t>ÖSTERGÖTLANDS LÄN</t>
        </is>
      </c>
      <c r="E1660" t="inlineStr">
        <is>
          <t>NORRKÖPING</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16452-2023</t>
        </is>
      </c>
      <c r="B1661" s="1" t="n">
        <v>45029</v>
      </c>
      <c r="C1661" s="1" t="n">
        <v>46093</v>
      </c>
      <c r="D1661" t="inlineStr">
        <is>
          <t>ÖSTERGÖTLANDS LÄN</t>
        </is>
      </c>
      <c r="E1661" t="inlineStr">
        <is>
          <t>MOTALA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62137-2023</t>
        </is>
      </c>
      <c r="B1662" s="1" t="n">
        <v>45267.36506944444</v>
      </c>
      <c r="C1662" s="1" t="n">
        <v>46093</v>
      </c>
      <c r="D1662" t="inlineStr">
        <is>
          <t>ÖSTERGÖTLANDS LÄN</t>
        </is>
      </c>
      <c r="E1662" t="inlineStr">
        <is>
          <t>ÅTVIDABERG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50590-2024</t>
        </is>
      </c>
      <c r="B1663" s="1" t="n">
        <v>45601.61900462963</v>
      </c>
      <c r="C1663" s="1" t="n">
        <v>46093</v>
      </c>
      <c r="D1663" t="inlineStr">
        <is>
          <t>ÖSTERGÖTLANDS LÄN</t>
        </is>
      </c>
      <c r="E1663" t="inlineStr">
        <is>
          <t>SÖDERKÖPING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71038-2021</t>
        </is>
      </c>
      <c r="B1664" s="1" t="n">
        <v>44538</v>
      </c>
      <c r="C1664" s="1" t="n">
        <v>46093</v>
      </c>
      <c r="D1664" t="inlineStr">
        <is>
          <t>ÖSTERGÖTLANDS LÄN</t>
        </is>
      </c>
      <c r="E1664" t="inlineStr">
        <is>
          <t>ÖDESHÖG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71041-2021</t>
        </is>
      </c>
      <c r="B1665" s="1" t="n">
        <v>44538.67136574074</v>
      </c>
      <c r="C1665" s="1" t="n">
        <v>46093</v>
      </c>
      <c r="D1665" t="inlineStr">
        <is>
          <t>ÖSTERGÖTLANDS LÄN</t>
        </is>
      </c>
      <c r="E1665" t="inlineStr">
        <is>
          <t>YDRE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29041-2024</t>
        </is>
      </c>
      <c r="B1666" s="1" t="n">
        <v>45481.61375</v>
      </c>
      <c r="C1666" s="1" t="n">
        <v>46093</v>
      </c>
      <c r="D1666" t="inlineStr">
        <is>
          <t>ÖSTERGÖTLANDS LÄN</t>
        </is>
      </c>
      <c r="E1666" t="inlineStr">
        <is>
          <t>VALDEMARSVIK</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29309-2024</t>
        </is>
      </c>
      <c r="B1667" s="1" t="n">
        <v>45483</v>
      </c>
      <c r="C1667" s="1" t="n">
        <v>46093</v>
      </c>
      <c r="D1667" t="inlineStr">
        <is>
          <t>ÖSTERGÖTLANDS LÄN</t>
        </is>
      </c>
      <c r="E1667" t="inlineStr">
        <is>
          <t>LINKÖPING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13656-2025</t>
        </is>
      </c>
      <c r="B1668" s="1" t="n">
        <v>45736.72646990741</v>
      </c>
      <c r="C1668" s="1" t="n">
        <v>46093</v>
      </c>
      <c r="D1668" t="inlineStr">
        <is>
          <t>ÖSTERGÖTLANDS LÄN</t>
        </is>
      </c>
      <c r="E1668" t="inlineStr">
        <is>
          <t>NORRKÖPING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41537-2024</t>
        </is>
      </c>
      <c r="B1669" s="1" t="n">
        <v>45560</v>
      </c>
      <c r="C1669" s="1" t="n">
        <v>46093</v>
      </c>
      <c r="D1669" t="inlineStr">
        <is>
          <t>ÖSTERGÖTLANDS LÄN</t>
        </is>
      </c>
      <c r="E1669" t="inlineStr">
        <is>
          <t>FINSPÅNG</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6493-2022</t>
        </is>
      </c>
      <c r="B1670" s="1" t="n">
        <v>44601</v>
      </c>
      <c r="C1670" s="1" t="n">
        <v>46093</v>
      </c>
      <c r="D1670" t="inlineStr">
        <is>
          <t>ÖSTERGÖTLANDS LÄN</t>
        </is>
      </c>
      <c r="E1670" t="inlineStr">
        <is>
          <t>FINSPÅNG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7138-2022</t>
        </is>
      </c>
      <c r="B1671" s="1" t="n">
        <v>44603.70393518519</v>
      </c>
      <c r="C1671" s="1" t="n">
        <v>46093</v>
      </c>
      <c r="D1671" t="inlineStr">
        <is>
          <t>ÖSTERGÖTLANDS LÄN</t>
        </is>
      </c>
      <c r="E1671" t="inlineStr">
        <is>
          <t>VALDEMARSVIK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7142-2022</t>
        </is>
      </c>
      <c r="B1672" s="1" t="n">
        <v>44603.75377314815</v>
      </c>
      <c r="C1672" s="1" t="n">
        <v>46093</v>
      </c>
      <c r="D1672" t="inlineStr">
        <is>
          <t>ÖSTERGÖTLANDS LÄN</t>
        </is>
      </c>
      <c r="E1672" t="inlineStr">
        <is>
          <t>KINDA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13689-2025</t>
        </is>
      </c>
      <c r="B1673" s="1" t="n">
        <v>45737.31590277778</v>
      </c>
      <c r="C1673" s="1" t="n">
        <v>46093</v>
      </c>
      <c r="D1673" t="inlineStr">
        <is>
          <t>ÖSTERGÖTLANDS LÄN</t>
        </is>
      </c>
      <c r="E1673" t="inlineStr">
        <is>
          <t>LINKÖPING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13696-2025</t>
        </is>
      </c>
      <c r="B1674" s="1" t="n">
        <v>45737.32273148148</v>
      </c>
      <c r="C1674" s="1" t="n">
        <v>46093</v>
      </c>
      <c r="D1674" t="inlineStr">
        <is>
          <t>ÖSTERGÖTLANDS LÄN</t>
        </is>
      </c>
      <c r="E1674" t="inlineStr">
        <is>
          <t>LINKÖPING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32743-2025</t>
        </is>
      </c>
      <c r="B1675" s="1" t="n">
        <v>45839</v>
      </c>
      <c r="C1675" s="1" t="n">
        <v>46093</v>
      </c>
      <c r="D1675" t="inlineStr">
        <is>
          <t>ÖSTERGÖTLANDS LÄN</t>
        </is>
      </c>
      <c r="E1675" t="inlineStr">
        <is>
          <t>ÅTVIDABERG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41379-2024</t>
        </is>
      </c>
      <c r="B1676" s="1" t="n">
        <v>45560.2703125</v>
      </c>
      <c r="C1676" s="1" t="n">
        <v>46093</v>
      </c>
      <c r="D1676" t="inlineStr">
        <is>
          <t>ÖSTERGÖTLANDS LÄN</t>
        </is>
      </c>
      <c r="E1676" t="inlineStr">
        <is>
          <t>KINDA</t>
        </is>
      </c>
      <c r="F1676" t="inlineStr">
        <is>
          <t>Övriga Aktiebolag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29411-2023</t>
        </is>
      </c>
      <c r="B1677" s="1" t="n">
        <v>45106.46225694445</v>
      </c>
      <c r="C1677" s="1" t="n">
        <v>46093</v>
      </c>
      <c r="D1677" t="inlineStr">
        <is>
          <t>ÖSTERGÖTLANDS LÄN</t>
        </is>
      </c>
      <c r="E1677" t="inlineStr">
        <is>
          <t>LINKÖPING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29412-2023</t>
        </is>
      </c>
      <c r="B1678" s="1" t="n">
        <v>45106.46359953703</v>
      </c>
      <c r="C1678" s="1" t="n">
        <v>46093</v>
      </c>
      <c r="D1678" t="inlineStr">
        <is>
          <t>ÖSTERGÖTLANDS LÄN</t>
        </is>
      </c>
      <c r="E1678" t="inlineStr">
        <is>
          <t>LINKÖPING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29413-2023</t>
        </is>
      </c>
      <c r="B1679" s="1" t="n">
        <v>45106.46465277778</v>
      </c>
      <c r="C1679" s="1" t="n">
        <v>46093</v>
      </c>
      <c r="D1679" t="inlineStr">
        <is>
          <t>ÖSTERGÖTLANDS LÄN</t>
        </is>
      </c>
      <c r="E1679" t="inlineStr">
        <is>
          <t>LINKÖPING</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19234-2024</t>
        </is>
      </c>
      <c r="B1680" s="1" t="n">
        <v>45428.56901620371</v>
      </c>
      <c r="C1680" s="1" t="n">
        <v>46093</v>
      </c>
      <c r="D1680" t="inlineStr">
        <is>
          <t>ÖSTERGÖTLANDS LÄN</t>
        </is>
      </c>
      <c r="E1680" t="inlineStr">
        <is>
          <t>MOTALA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34123-2025</t>
        </is>
      </c>
      <c r="B1681" s="1" t="n">
        <v>45845.52050925926</v>
      </c>
      <c r="C1681" s="1" t="n">
        <v>46093</v>
      </c>
      <c r="D1681" t="inlineStr">
        <is>
          <t>ÖSTERGÖTLANDS LÄN</t>
        </is>
      </c>
      <c r="E1681" t="inlineStr">
        <is>
          <t>KINDA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39358-2022</t>
        </is>
      </c>
      <c r="B1682" s="1" t="n">
        <v>44817.92298611111</v>
      </c>
      <c r="C1682" s="1" t="n">
        <v>46093</v>
      </c>
      <c r="D1682" t="inlineStr">
        <is>
          <t>ÖSTERGÖTLANDS LÄN</t>
        </is>
      </c>
      <c r="E1682" t="inlineStr">
        <is>
          <t>FINSPÅNG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30471-2021</t>
        </is>
      </c>
      <c r="B1683" s="1" t="n">
        <v>44364.59475694445</v>
      </c>
      <c r="C1683" s="1" t="n">
        <v>46093</v>
      </c>
      <c r="D1683" t="inlineStr">
        <is>
          <t>ÖSTERGÖTLANDS LÄN</t>
        </is>
      </c>
      <c r="E1683" t="inlineStr">
        <is>
          <t>ÖDESHÖG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12428-2024</t>
        </is>
      </c>
      <c r="B1684" s="1" t="n">
        <v>45379</v>
      </c>
      <c r="C1684" s="1" t="n">
        <v>46093</v>
      </c>
      <c r="D1684" t="inlineStr">
        <is>
          <t>ÖSTERGÖTLANDS LÄN</t>
        </is>
      </c>
      <c r="E1684" t="inlineStr">
        <is>
          <t>LINKÖPING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12461-2024</t>
        </is>
      </c>
      <c r="B1685" s="1" t="n">
        <v>45379</v>
      </c>
      <c r="C1685" s="1" t="n">
        <v>46093</v>
      </c>
      <c r="D1685" t="inlineStr">
        <is>
          <t>ÖSTERGÖTLANDS LÄN</t>
        </is>
      </c>
      <c r="E1685" t="inlineStr">
        <is>
          <t>KINDA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36954-2022</t>
        </is>
      </c>
      <c r="B1686" s="1" t="n">
        <v>44805</v>
      </c>
      <c r="C1686" s="1" t="n">
        <v>46093</v>
      </c>
      <c r="D1686" t="inlineStr">
        <is>
          <t>ÖSTERGÖTLANDS LÄN</t>
        </is>
      </c>
      <c r="E1686" t="inlineStr">
        <is>
          <t>NORRKÖPING</t>
        </is>
      </c>
      <c r="F1686" t="inlineStr">
        <is>
          <t>Allmännings- och besparingsskogar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36994-2022</t>
        </is>
      </c>
      <c r="B1687" s="1" t="n">
        <v>44806</v>
      </c>
      <c r="C1687" s="1" t="n">
        <v>46093</v>
      </c>
      <c r="D1687" t="inlineStr">
        <is>
          <t>ÖSTERGÖTLANDS LÄN</t>
        </is>
      </c>
      <c r="E1687" t="inlineStr">
        <is>
          <t>FINSPÅNG</t>
        </is>
      </c>
      <c r="F1687" t="inlineStr">
        <is>
          <t>Holmen skog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1628-2023</t>
        </is>
      </c>
      <c r="B1688" s="1" t="n">
        <v>44937.78541666667</v>
      </c>
      <c r="C1688" s="1" t="n">
        <v>46093</v>
      </c>
      <c r="D1688" t="inlineStr">
        <is>
          <t>ÖSTERGÖTLANDS LÄN</t>
        </is>
      </c>
      <c r="E1688" t="inlineStr">
        <is>
          <t>FINSPÅNG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1885-2022</t>
        </is>
      </c>
      <c r="B1689" s="1" t="n">
        <v>44575</v>
      </c>
      <c r="C1689" s="1" t="n">
        <v>46093</v>
      </c>
      <c r="D1689" t="inlineStr">
        <is>
          <t>ÖSTERGÖTLANDS LÄN</t>
        </is>
      </c>
      <c r="E1689" t="inlineStr">
        <is>
          <t>KINDA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71426-2021</t>
        </is>
      </c>
      <c r="B1690" s="1" t="n">
        <v>44540</v>
      </c>
      <c r="C1690" s="1" t="n">
        <v>46093</v>
      </c>
      <c r="D1690" t="inlineStr">
        <is>
          <t>ÖSTERGÖTLANDS LÄN</t>
        </is>
      </c>
      <c r="E1690" t="inlineStr">
        <is>
          <t>SÖDERKÖPING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67371-2021</t>
        </is>
      </c>
      <c r="B1691" s="1" t="n">
        <v>44523</v>
      </c>
      <c r="C1691" s="1" t="n">
        <v>46093</v>
      </c>
      <c r="D1691" t="inlineStr">
        <is>
          <t>ÖSTERGÖTLANDS LÄN</t>
        </is>
      </c>
      <c r="E1691" t="inlineStr">
        <is>
          <t>BOXHOLM</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2744-2024</t>
        </is>
      </c>
      <c r="B1692" s="1" t="n">
        <v>45314</v>
      </c>
      <c r="C1692" s="1" t="n">
        <v>46093</v>
      </c>
      <c r="D1692" t="inlineStr">
        <is>
          <t>ÖSTERGÖTLANDS LÄN</t>
        </is>
      </c>
      <c r="E1692" t="inlineStr">
        <is>
          <t>FINSPÅNG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34404-2025</t>
        </is>
      </c>
      <c r="B1693" s="1" t="n">
        <v>45846</v>
      </c>
      <c r="C1693" s="1" t="n">
        <v>46093</v>
      </c>
      <c r="D1693" t="inlineStr">
        <is>
          <t>ÖSTERGÖTLANDS LÄN</t>
        </is>
      </c>
      <c r="E1693" t="inlineStr">
        <is>
          <t>SÖDERKÖPING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31882-2023</t>
        </is>
      </c>
      <c r="B1694" s="1" t="n">
        <v>45118</v>
      </c>
      <c r="C1694" s="1" t="n">
        <v>46093</v>
      </c>
      <c r="D1694" t="inlineStr">
        <is>
          <t>ÖSTERGÖTLANDS LÄN</t>
        </is>
      </c>
      <c r="E1694" t="inlineStr">
        <is>
          <t>NORRKÖPING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17413-2022</t>
        </is>
      </c>
      <c r="B1695" s="1" t="n">
        <v>44678</v>
      </c>
      <c r="C1695" s="1" t="n">
        <v>46093</v>
      </c>
      <c r="D1695" t="inlineStr">
        <is>
          <t>ÖSTERGÖTLANDS LÄN</t>
        </is>
      </c>
      <c r="E1695" t="inlineStr">
        <is>
          <t>FINSPÅNG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17968-2024</t>
        </is>
      </c>
      <c r="B1696" s="1" t="n">
        <v>45419.71474537037</v>
      </c>
      <c r="C1696" s="1" t="n">
        <v>46093</v>
      </c>
      <c r="D1696" t="inlineStr">
        <is>
          <t>ÖSTERGÖTLANDS LÄN</t>
        </is>
      </c>
      <c r="E1696" t="inlineStr">
        <is>
          <t>YDRE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10798-2024</t>
        </is>
      </c>
      <c r="B1697" s="1" t="n">
        <v>45369.62108796297</v>
      </c>
      <c r="C1697" s="1" t="n">
        <v>46093</v>
      </c>
      <c r="D1697" t="inlineStr">
        <is>
          <t>ÖSTERGÖTLANDS LÄN</t>
        </is>
      </c>
      <c r="E1697" t="inlineStr">
        <is>
          <t>NORRKÖPING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19352-2022</t>
        </is>
      </c>
      <c r="B1698" s="1" t="n">
        <v>44692.66456018519</v>
      </c>
      <c r="C1698" s="1" t="n">
        <v>46093</v>
      </c>
      <c r="D1698" t="inlineStr">
        <is>
          <t>ÖSTERGÖTLANDS LÄN</t>
        </is>
      </c>
      <c r="E1698" t="inlineStr">
        <is>
          <t>MJÖLBY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5938-2024</t>
        </is>
      </c>
      <c r="B1699" s="1" t="n">
        <v>45336</v>
      </c>
      <c r="C1699" s="1" t="n">
        <v>46093</v>
      </c>
      <c r="D1699" t="inlineStr">
        <is>
          <t>ÖSTERGÖTLANDS LÄN</t>
        </is>
      </c>
      <c r="E1699" t="inlineStr">
        <is>
          <t>NORRKÖPING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34231-2025</t>
        </is>
      </c>
      <c r="B1700" s="1" t="n">
        <v>45845.65797453704</v>
      </c>
      <c r="C1700" s="1" t="n">
        <v>46093</v>
      </c>
      <c r="D1700" t="inlineStr">
        <is>
          <t>ÖSTERGÖTLANDS LÄN</t>
        </is>
      </c>
      <c r="E1700" t="inlineStr">
        <is>
          <t>NORRKÖPING</t>
        </is>
      </c>
      <c r="F1700" t="inlineStr">
        <is>
          <t>Holmen skog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14493-2025</t>
        </is>
      </c>
      <c r="B1701" s="1" t="n">
        <v>45741.61278935185</v>
      </c>
      <c r="C1701" s="1" t="n">
        <v>46093</v>
      </c>
      <c r="D1701" t="inlineStr">
        <is>
          <t>ÖSTERGÖTLANDS LÄN</t>
        </is>
      </c>
      <c r="E1701" t="inlineStr">
        <is>
          <t>KINDA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14509-2025</t>
        </is>
      </c>
      <c r="B1702" s="1" t="n">
        <v>45741.63417824074</v>
      </c>
      <c r="C1702" s="1" t="n">
        <v>46093</v>
      </c>
      <c r="D1702" t="inlineStr">
        <is>
          <t>ÖSTERGÖTLANDS LÄN</t>
        </is>
      </c>
      <c r="E1702" t="inlineStr">
        <is>
          <t>NORRKÖPING</t>
        </is>
      </c>
      <c r="F1702" t="inlineStr">
        <is>
          <t>Allmännings- och besparingsskogar</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50339-2023</t>
        </is>
      </c>
      <c r="B1703" s="1" t="n">
        <v>45216</v>
      </c>
      <c r="C1703" s="1" t="n">
        <v>46093</v>
      </c>
      <c r="D1703" t="inlineStr">
        <is>
          <t>ÖSTERGÖTLANDS LÄN</t>
        </is>
      </c>
      <c r="E1703" t="inlineStr">
        <is>
          <t>MJÖLBY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49440-2021</t>
        </is>
      </c>
      <c r="B1704" s="1" t="n">
        <v>44454</v>
      </c>
      <c r="C1704" s="1" t="n">
        <v>46093</v>
      </c>
      <c r="D1704" t="inlineStr">
        <is>
          <t>ÖSTERGÖTLANDS LÄN</t>
        </is>
      </c>
      <c r="E1704" t="inlineStr">
        <is>
          <t>KINDA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26388-2023</t>
        </is>
      </c>
      <c r="B1705" s="1" t="n">
        <v>45092</v>
      </c>
      <c r="C1705" s="1" t="n">
        <v>46093</v>
      </c>
      <c r="D1705" t="inlineStr">
        <is>
          <t>ÖSTERGÖTLANDS LÄN</t>
        </is>
      </c>
      <c r="E1705" t="inlineStr">
        <is>
          <t>NORRKÖPING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17707-2023</t>
        </is>
      </c>
      <c r="B1706" s="1" t="n">
        <v>45037.37438657408</v>
      </c>
      <c r="C1706" s="1" t="n">
        <v>46093</v>
      </c>
      <c r="D1706" t="inlineStr">
        <is>
          <t>ÖSTERGÖTLANDS LÄN</t>
        </is>
      </c>
      <c r="E1706" t="inlineStr">
        <is>
          <t>MJÖLBY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17714-2023</t>
        </is>
      </c>
      <c r="B1707" s="1" t="n">
        <v>45037</v>
      </c>
      <c r="C1707" s="1" t="n">
        <v>46093</v>
      </c>
      <c r="D1707" t="inlineStr">
        <is>
          <t>ÖSTERGÖTLANDS LÄN</t>
        </is>
      </c>
      <c r="E1707" t="inlineStr">
        <is>
          <t>NORRKÖPING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49566-2021</t>
        </is>
      </c>
      <c r="B1708" s="1" t="n">
        <v>44455</v>
      </c>
      <c r="C1708" s="1" t="n">
        <v>46093</v>
      </c>
      <c r="D1708" t="inlineStr">
        <is>
          <t>ÖSTERGÖTLANDS LÄN</t>
        </is>
      </c>
      <c r="E1708" t="inlineStr">
        <is>
          <t>MJÖLBY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38250-2025</t>
        </is>
      </c>
      <c r="B1709" s="1" t="n">
        <v>45883.3749537037</v>
      </c>
      <c r="C1709" s="1" t="n">
        <v>46093</v>
      </c>
      <c r="D1709" t="inlineStr">
        <is>
          <t>ÖSTERGÖTLANDS LÄN</t>
        </is>
      </c>
      <c r="E1709" t="inlineStr">
        <is>
          <t>KINDA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38258-2025</t>
        </is>
      </c>
      <c r="B1710" s="1" t="n">
        <v>45883.38797453704</v>
      </c>
      <c r="C1710" s="1" t="n">
        <v>46093</v>
      </c>
      <c r="D1710" t="inlineStr">
        <is>
          <t>ÖSTERGÖTLANDS LÄN</t>
        </is>
      </c>
      <c r="E1710" t="inlineStr">
        <is>
          <t>KINDA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34393-2023</t>
        </is>
      </c>
      <c r="B1711" s="1" t="n">
        <v>45132</v>
      </c>
      <c r="C1711" s="1" t="n">
        <v>46093</v>
      </c>
      <c r="D1711" t="inlineStr">
        <is>
          <t>ÖSTERGÖTLANDS LÄN</t>
        </is>
      </c>
      <c r="E1711" t="inlineStr">
        <is>
          <t>NORRKÖPING</t>
        </is>
      </c>
      <c r="F1711" t="inlineStr">
        <is>
          <t>Allmännings- och besparingsskogar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24151-2024</t>
        </is>
      </c>
      <c r="B1712" s="1" t="n">
        <v>45456.67717592593</v>
      </c>
      <c r="C1712" s="1" t="n">
        <v>46093</v>
      </c>
      <c r="D1712" t="inlineStr">
        <is>
          <t>ÖSTERGÖTLANDS LÄN</t>
        </is>
      </c>
      <c r="E1712" t="inlineStr">
        <is>
          <t>LINKÖPING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29612-2025</t>
        </is>
      </c>
      <c r="B1713" s="1" t="n">
        <v>45825</v>
      </c>
      <c r="C1713" s="1" t="n">
        <v>46093</v>
      </c>
      <c r="D1713" t="inlineStr">
        <is>
          <t>ÖSTERGÖTLANDS LÄN</t>
        </is>
      </c>
      <c r="E1713" t="inlineStr">
        <is>
          <t>BOXHOLM</t>
        </is>
      </c>
      <c r="F1713" t="inlineStr">
        <is>
          <t>Övriga Aktiebolag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27809-2024</t>
        </is>
      </c>
      <c r="B1714" s="1" t="n">
        <v>45475</v>
      </c>
      <c r="C1714" s="1" t="n">
        <v>46093</v>
      </c>
      <c r="D1714" t="inlineStr">
        <is>
          <t>ÖSTERGÖTLANDS LÄN</t>
        </is>
      </c>
      <c r="E1714" t="inlineStr">
        <is>
          <t>KINDA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13055-2025</t>
        </is>
      </c>
      <c r="B1715" s="1" t="n">
        <v>45734.59517361111</v>
      </c>
      <c r="C1715" s="1" t="n">
        <v>46093</v>
      </c>
      <c r="D1715" t="inlineStr">
        <is>
          <t>ÖSTERGÖTLANDS LÄN</t>
        </is>
      </c>
      <c r="E1715" t="inlineStr">
        <is>
          <t>SÖDERKÖPING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13060-2025</t>
        </is>
      </c>
      <c r="B1716" s="1" t="n">
        <v>45734.59896990741</v>
      </c>
      <c r="C1716" s="1" t="n">
        <v>46093</v>
      </c>
      <c r="D1716" t="inlineStr">
        <is>
          <t>ÖSTERGÖTLANDS LÄN</t>
        </is>
      </c>
      <c r="E1716" t="inlineStr">
        <is>
          <t>SÖDERKÖPING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7621-2024</t>
        </is>
      </c>
      <c r="B1717" s="1" t="n">
        <v>45348.59997685185</v>
      </c>
      <c r="C1717" s="1" t="n">
        <v>46093</v>
      </c>
      <c r="D1717" t="inlineStr">
        <is>
          <t>ÖSTERGÖTLANDS LÄN</t>
        </is>
      </c>
      <c r="E1717" t="inlineStr">
        <is>
          <t>YDRE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7631-2024</t>
        </is>
      </c>
      <c r="B1718" s="1" t="n">
        <v>45348.6147337963</v>
      </c>
      <c r="C1718" s="1" t="n">
        <v>46093</v>
      </c>
      <c r="D1718" t="inlineStr">
        <is>
          <t>ÖSTERGÖTLANDS LÄN</t>
        </is>
      </c>
      <c r="E1718" t="inlineStr">
        <is>
          <t>KINDA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53518-2022</t>
        </is>
      </c>
      <c r="B1719" s="1" t="n">
        <v>44879.59599537037</v>
      </c>
      <c r="C1719" s="1" t="n">
        <v>46093</v>
      </c>
      <c r="D1719" t="inlineStr">
        <is>
          <t>ÖSTERGÖTLANDS LÄN</t>
        </is>
      </c>
      <c r="E1719" t="inlineStr">
        <is>
          <t>MJÖLBY</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9009-2024</t>
        </is>
      </c>
      <c r="B1720" s="1" t="n">
        <v>45357.58004629629</v>
      </c>
      <c r="C1720" s="1" t="n">
        <v>46093</v>
      </c>
      <c r="D1720" t="inlineStr">
        <is>
          <t>ÖSTERGÖTLANDS LÄN</t>
        </is>
      </c>
      <c r="E1720" t="inlineStr">
        <is>
          <t>FINSPÅNG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35588-2024</t>
        </is>
      </c>
      <c r="B1721" s="1" t="n">
        <v>45531.64934027778</v>
      </c>
      <c r="C1721" s="1" t="n">
        <v>46093</v>
      </c>
      <c r="D1721" t="inlineStr">
        <is>
          <t>ÖSTERGÖTLANDS LÄN</t>
        </is>
      </c>
      <c r="E1721" t="inlineStr">
        <is>
          <t>KINDA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36453-2024</t>
        </is>
      </c>
      <c r="B1722" s="1" t="n">
        <v>45537.33893518519</v>
      </c>
      <c r="C1722" s="1" t="n">
        <v>46093</v>
      </c>
      <c r="D1722" t="inlineStr">
        <is>
          <t>ÖSTERGÖTLANDS LÄN</t>
        </is>
      </c>
      <c r="E1722" t="inlineStr">
        <is>
          <t>BOXHOLM</t>
        </is>
      </c>
      <c r="F1722" t="inlineStr">
        <is>
          <t>Övriga Aktiebolag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21046-2024</t>
        </is>
      </c>
      <c r="B1723" s="1" t="n">
        <v>45439.67248842592</v>
      </c>
      <c r="C1723" s="1" t="n">
        <v>46093</v>
      </c>
      <c r="D1723" t="inlineStr">
        <is>
          <t>ÖSTERGÖTLANDS LÄN</t>
        </is>
      </c>
      <c r="E1723" t="inlineStr">
        <is>
          <t>MOTALA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21433-2025</t>
        </is>
      </c>
      <c r="B1724" s="1" t="n">
        <v>45782.51542824074</v>
      </c>
      <c r="C1724" s="1" t="n">
        <v>46093</v>
      </c>
      <c r="D1724" t="inlineStr">
        <is>
          <t>ÖSTERGÖTLANDS LÄN</t>
        </is>
      </c>
      <c r="E1724" t="inlineStr">
        <is>
          <t>BOXHOLM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21201-2024</t>
        </is>
      </c>
      <c r="B1725" s="1" t="n">
        <v>45440.54326388889</v>
      </c>
      <c r="C1725" s="1" t="n">
        <v>46093</v>
      </c>
      <c r="D1725" t="inlineStr">
        <is>
          <t>ÖSTERGÖTLANDS LÄN</t>
        </is>
      </c>
      <c r="E1725" t="inlineStr">
        <is>
          <t>MOTALA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17248-2024</t>
        </is>
      </c>
      <c r="B1726" s="1" t="n">
        <v>45414.3944212963</v>
      </c>
      <c r="C1726" s="1" t="n">
        <v>46093</v>
      </c>
      <c r="D1726" t="inlineStr">
        <is>
          <t>ÖSTERGÖTLANDS LÄN</t>
        </is>
      </c>
      <c r="E1726" t="inlineStr">
        <is>
          <t>NORRKÖPING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41944-2022</t>
        </is>
      </c>
      <c r="B1727" s="1" t="n">
        <v>44830.38262731482</v>
      </c>
      <c r="C1727" s="1" t="n">
        <v>46093</v>
      </c>
      <c r="D1727" t="inlineStr">
        <is>
          <t>ÖSTERGÖTLANDS LÄN</t>
        </is>
      </c>
      <c r="E1727" t="inlineStr">
        <is>
          <t>MOTALA</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11401-2024</t>
        </is>
      </c>
      <c r="B1728" s="1" t="n">
        <v>45372.46034722222</v>
      </c>
      <c r="C1728" s="1" t="n">
        <v>46093</v>
      </c>
      <c r="D1728" t="inlineStr">
        <is>
          <t>ÖSTERGÖTLANDS LÄN</t>
        </is>
      </c>
      <c r="E1728" t="inlineStr">
        <is>
          <t>BOXHOLM</t>
        </is>
      </c>
      <c r="F1728" t="inlineStr">
        <is>
          <t>Övriga Aktiebolag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44861-2024</t>
        </is>
      </c>
      <c r="B1729" s="1" t="n">
        <v>45575.31537037037</v>
      </c>
      <c r="C1729" s="1" t="n">
        <v>46093</v>
      </c>
      <c r="D1729" t="inlineStr">
        <is>
          <t>ÖSTERGÖTLANDS LÄN</t>
        </is>
      </c>
      <c r="E1729" t="inlineStr">
        <is>
          <t>MOTALA</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20469-2025</t>
        </is>
      </c>
      <c r="B1730" s="1" t="n">
        <v>45775</v>
      </c>
      <c r="C1730" s="1" t="n">
        <v>46093</v>
      </c>
      <c r="D1730" t="inlineStr">
        <is>
          <t>ÖSTERGÖTLANDS LÄN</t>
        </is>
      </c>
      <c r="E1730" t="inlineStr">
        <is>
          <t>LINKÖPING</t>
        </is>
      </c>
      <c r="F1730" t="inlineStr">
        <is>
          <t>Kyrkan</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44278-2022</t>
        </is>
      </c>
      <c r="B1731" s="1" t="n">
        <v>44839.58741898148</v>
      </c>
      <c r="C1731" s="1" t="n">
        <v>46093</v>
      </c>
      <c r="D1731" t="inlineStr">
        <is>
          <t>ÖSTERGÖTLANDS LÄN</t>
        </is>
      </c>
      <c r="E1731" t="inlineStr">
        <is>
          <t>KINDA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28600-2024</t>
        </is>
      </c>
      <c r="B1732" s="1" t="n">
        <v>45478.42675925926</v>
      </c>
      <c r="C1732" s="1" t="n">
        <v>46093</v>
      </c>
      <c r="D1732" t="inlineStr">
        <is>
          <t>ÖSTERGÖTLANDS LÄN</t>
        </is>
      </c>
      <c r="E1732" t="inlineStr">
        <is>
          <t>NORRKÖPING</t>
        </is>
      </c>
      <c r="F1732" t="inlineStr">
        <is>
          <t>Holmen skog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38212-2023</t>
        </is>
      </c>
      <c r="B1733" s="1" t="n">
        <v>45161</v>
      </c>
      <c r="C1733" s="1" t="n">
        <v>46093</v>
      </c>
      <c r="D1733" t="inlineStr">
        <is>
          <t>ÖSTERGÖTLANDS LÄN</t>
        </is>
      </c>
      <c r="E1733" t="inlineStr">
        <is>
          <t>ÖDESHÖG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9378-2023</t>
        </is>
      </c>
      <c r="B1734" s="1" t="n">
        <v>44981</v>
      </c>
      <c r="C1734" s="1" t="n">
        <v>46093</v>
      </c>
      <c r="D1734" t="inlineStr">
        <is>
          <t>ÖSTERGÖTLANDS LÄN</t>
        </is>
      </c>
      <c r="E1734" t="inlineStr">
        <is>
          <t>FINSPÅNG</t>
        </is>
      </c>
      <c r="F1734" t="inlineStr">
        <is>
          <t>Holmen skog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38964-2022</t>
        </is>
      </c>
      <c r="B1735" s="1" t="n">
        <v>44816.75733796296</v>
      </c>
      <c r="C1735" s="1" t="n">
        <v>46093</v>
      </c>
      <c r="D1735" t="inlineStr">
        <is>
          <t>ÖSTERGÖTLANDS LÄN</t>
        </is>
      </c>
      <c r="E1735" t="inlineStr">
        <is>
          <t>FINSPÅNG</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6035-2023</t>
        </is>
      </c>
      <c r="B1736" s="1" t="n">
        <v>44964.45189814815</v>
      </c>
      <c r="C1736" s="1" t="n">
        <v>46093</v>
      </c>
      <c r="D1736" t="inlineStr">
        <is>
          <t>ÖSTERGÖTLANDS LÄN</t>
        </is>
      </c>
      <c r="E1736" t="inlineStr">
        <is>
          <t>SÖDERKÖPING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14953-2024</t>
        </is>
      </c>
      <c r="B1737" s="1" t="n">
        <v>45398</v>
      </c>
      <c r="C1737" s="1" t="n">
        <v>46093</v>
      </c>
      <c r="D1737" t="inlineStr">
        <is>
          <t>ÖSTERGÖTLANDS LÄN</t>
        </is>
      </c>
      <c r="E1737" t="inlineStr">
        <is>
          <t>YDRE</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10989-2024</t>
        </is>
      </c>
      <c r="B1738" s="1" t="n">
        <v>45370</v>
      </c>
      <c r="C1738" s="1" t="n">
        <v>46093</v>
      </c>
      <c r="D1738" t="inlineStr">
        <is>
          <t>ÖSTERGÖTLANDS LÄN</t>
        </is>
      </c>
      <c r="E1738" t="inlineStr">
        <is>
          <t>NORRKÖPING</t>
        </is>
      </c>
      <c r="F1738" t="inlineStr">
        <is>
          <t>Holmen skog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610-2022</t>
        </is>
      </c>
      <c r="B1739" s="1" t="n">
        <v>44567.77518518519</v>
      </c>
      <c r="C1739" s="1" t="n">
        <v>46093</v>
      </c>
      <c r="D1739" t="inlineStr">
        <is>
          <t>ÖSTERGÖTLANDS LÄN</t>
        </is>
      </c>
      <c r="E1739" t="inlineStr">
        <is>
          <t>KINDA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50782-2022</t>
        </is>
      </c>
      <c r="B1740" s="1" t="n">
        <v>44862</v>
      </c>
      <c r="C1740" s="1" t="n">
        <v>46093</v>
      </c>
      <c r="D1740" t="inlineStr">
        <is>
          <t>ÖSTERGÖTLANDS LÄN</t>
        </is>
      </c>
      <c r="E1740" t="inlineStr">
        <is>
          <t>ÅTVIDABERG</t>
        </is>
      </c>
      <c r="F1740" t="inlineStr">
        <is>
          <t>Övriga statliga verk och myndigheter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46225-2021</t>
        </is>
      </c>
      <c r="B1741" s="1" t="n">
        <v>44442</v>
      </c>
      <c r="C1741" s="1" t="n">
        <v>46093</v>
      </c>
      <c r="D1741" t="inlineStr">
        <is>
          <t>ÖSTERGÖTLANDS LÄN</t>
        </is>
      </c>
      <c r="E1741" t="inlineStr">
        <is>
          <t>LINKÖPING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38314-2025</t>
        </is>
      </c>
      <c r="B1742" s="1" t="n">
        <v>45883</v>
      </c>
      <c r="C1742" s="1" t="n">
        <v>46093</v>
      </c>
      <c r="D1742" t="inlineStr">
        <is>
          <t>ÖSTERGÖTLANDS LÄN</t>
        </is>
      </c>
      <c r="E1742" t="inlineStr">
        <is>
          <t>FINSPÅNG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38107-2021</t>
        </is>
      </c>
      <c r="B1743" s="1" t="n">
        <v>44405</v>
      </c>
      <c r="C1743" s="1" t="n">
        <v>46093</v>
      </c>
      <c r="D1743" t="inlineStr">
        <is>
          <t>ÖSTERGÖTLANDS LÄN</t>
        </is>
      </c>
      <c r="E1743" t="inlineStr">
        <is>
          <t>BOXHOLM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65561-2021</t>
        </is>
      </c>
      <c r="B1744" s="1" t="n">
        <v>44516</v>
      </c>
      <c r="C1744" s="1" t="n">
        <v>46093</v>
      </c>
      <c r="D1744" t="inlineStr">
        <is>
          <t>ÖSTERGÖTLANDS LÄN</t>
        </is>
      </c>
      <c r="E1744" t="inlineStr">
        <is>
          <t>MOTALA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4743-2023</t>
        </is>
      </c>
      <c r="B1745" s="1" t="n">
        <v>44957</v>
      </c>
      <c r="C1745" s="1" t="n">
        <v>46093</v>
      </c>
      <c r="D1745" t="inlineStr">
        <is>
          <t>ÖSTERGÖTLANDS LÄN</t>
        </is>
      </c>
      <c r="E1745" t="inlineStr">
        <is>
          <t>NORRKÖPING</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63845-2021</t>
        </is>
      </c>
      <c r="B1746" s="1" t="n">
        <v>44509</v>
      </c>
      <c r="C1746" s="1" t="n">
        <v>46093</v>
      </c>
      <c r="D1746" t="inlineStr">
        <is>
          <t>ÖSTERGÖTLANDS LÄN</t>
        </is>
      </c>
      <c r="E1746" t="inlineStr">
        <is>
          <t>LINKÖPING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38455-2025</t>
        </is>
      </c>
      <c r="B1747" s="1" t="n">
        <v>45883.69113425926</v>
      </c>
      <c r="C1747" s="1" t="n">
        <v>46093</v>
      </c>
      <c r="D1747" t="inlineStr">
        <is>
          <t>ÖSTERGÖTLANDS LÄN</t>
        </is>
      </c>
      <c r="E1747" t="inlineStr">
        <is>
          <t>NORRKÖPING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54428-2022</t>
        </is>
      </c>
      <c r="B1748" s="1" t="n">
        <v>44882.57643518518</v>
      </c>
      <c r="C1748" s="1" t="n">
        <v>46093</v>
      </c>
      <c r="D1748" t="inlineStr">
        <is>
          <t>ÖSTERGÖTLANDS LÄN</t>
        </is>
      </c>
      <c r="E1748" t="inlineStr">
        <is>
          <t>LINKÖPING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15132-2025</t>
        </is>
      </c>
      <c r="B1749" s="1" t="n">
        <v>45744.38512731482</v>
      </c>
      <c r="C1749" s="1" t="n">
        <v>46093</v>
      </c>
      <c r="D1749" t="inlineStr">
        <is>
          <t>ÖSTERGÖTLANDS LÄN</t>
        </is>
      </c>
      <c r="E1749" t="inlineStr">
        <is>
          <t>FINSPÅNG</t>
        </is>
      </c>
      <c r="F1749" t="inlineStr">
        <is>
          <t>Naturvårdsverket</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15140-2025</t>
        </is>
      </c>
      <c r="B1750" s="1" t="n">
        <v>45744.38790509259</v>
      </c>
      <c r="C1750" s="1" t="n">
        <v>46093</v>
      </c>
      <c r="D1750" t="inlineStr">
        <is>
          <t>ÖSTERGÖTLANDS LÄN</t>
        </is>
      </c>
      <c r="E1750" t="inlineStr">
        <is>
          <t>FINSPÅNG</t>
        </is>
      </c>
      <c r="F1750" t="inlineStr">
        <is>
          <t>Naturvårdsverket</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48802-2024</t>
        </is>
      </c>
      <c r="B1751" s="1" t="n">
        <v>45593.66155092593</v>
      </c>
      <c r="C1751" s="1" t="n">
        <v>46093</v>
      </c>
      <c r="D1751" t="inlineStr">
        <is>
          <t>ÖSTERGÖTLANDS LÄN</t>
        </is>
      </c>
      <c r="E1751" t="inlineStr">
        <is>
          <t>FINSPÅNG</t>
        </is>
      </c>
      <c r="F1751" t="inlineStr">
        <is>
          <t>Holmen skog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42466-2024</t>
        </is>
      </c>
      <c r="B1752" s="1" t="n">
        <v>45565.47655092592</v>
      </c>
      <c r="C1752" s="1" t="n">
        <v>46093</v>
      </c>
      <c r="D1752" t="inlineStr">
        <is>
          <t>ÖSTERGÖTLANDS LÄN</t>
        </is>
      </c>
      <c r="E1752" t="inlineStr">
        <is>
          <t>ÅTVIDABERG</t>
        </is>
      </c>
      <c r="F1752" t="inlineStr">
        <is>
          <t>Sveaskog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42468-2024</t>
        </is>
      </c>
      <c r="B1753" s="1" t="n">
        <v>45565.48195601852</v>
      </c>
      <c r="C1753" s="1" t="n">
        <v>46093</v>
      </c>
      <c r="D1753" t="inlineStr">
        <is>
          <t>ÖSTERGÖTLANDS LÄN</t>
        </is>
      </c>
      <c r="E1753" t="inlineStr">
        <is>
          <t>ÅTVIDABERG</t>
        </is>
      </c>
      <c r="F1753" t="inlineStr">
        <is>
          <t>Sveaskog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30126-2023</t>
        </is>
      </c>
      <c r="B1754" s="1" t="n">
        <v>45110</v>
      </c>
      <c r="C1754" s="1" t="n">
        <v>46093</v>
      </c>
      <c r="D1754" t="inlineStr">
        <is>
          <t>ÖSTERGÖTLANDS LÄN</t>
        </is>
      </c>
      <c r="E1754" t="inlineStr">
        <is>
          <t>YDRE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1549-2025</t>
        </is>
      </c>
      <c r="B1755" s="1" t="n">
        <v>45670</v>
      </c>
      <c r="C1755" s="1" t="n">
        <v>46093</v>
      </c>
      <c r="D1755" t="inlineStr">
        <is>
          <t>ÖSTERGÖTLANDS LÄN</t>
        </is>
      </c>
      <c r="E1755" t="inlineStr">
        <is>
          <t>NORRKÖPING</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19561-2024</t>
        </is>
      </c>
      <c r="B1756" s="1" t="n">
        <v>45429.84030092593</v>
      </c>
      <c r="C1756" s="1" t="n">
        <v>46093</v>
      </c>
      <c r="D1756" t="inlineStr">
        <is>
          <t>ÖSTERGÖTLANDS LÄN</t>
        </is>
      </c>
      <c r="E1756" t="inlineStr">
        <is>
          <t>BOXHOLM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26915-2023</t>
        </is>
      </c>
      <c r="B1757" s="1" t="n">
        <v>45093</v>
      </c>
      <c r="C1757" s="1" t="n">
        <v>46093</v>
      </c>
      <c r="D1757" t="inlineStr">
        <is>
          <t>ÖSTERGÖTLANDS LÄN</t>
        </is>
      </c>
      <c r="E1757" t="inlineStr">
        <is>
          <t>SÖDERKÖPING</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17785-2023</t>
        </is>
      </c>
      <c r="B1758" s="1" t="n">
        <v>45037.55094907407</v>
      </c>
      <c r="C1758" s="1" t="n">
        <v>46093</v>
      </c>
      <c r="D1758" t="inlineStr">
        <is>
          <t>ÖSTERGÖTLANDS LÄN</t>
        </is>
      </c>
      <c r="E1758" t="inlineStr">
        <is>
          <t>LINKÖPING</t>
        </is>
      </c>
      <c r="F1758" t="inlineStr">
        <is>
          <t>Allmännings- och besparingsskogar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59768-2021</t>
        </is>
      </c>
      <c r="B1759" s="1" t="n">
        <v>44494</v>
      </c>
      <c r="C1759" s="1" t="n">
        <v>46093</v>
      </c>
      <c r="D1759" t="inlineStr">
        <is>
          <t>ÖSTERGÖTLANDS LÄN</t>
        </is>
      </c>
      <c r="E1759" t="inlineStr">
        <is>
          <t>NORRKÖPING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32346-2023</t>
        </is>
      </c>
      <c r="B1760" s="1" t="n">
        <v>45120</v>
      </c>
      <c r="C1760" s="1" t="n">
        <v>46093</v>
      </c>
      <c r="D1760" t="inlineStr">
        <is>
          <t>ÖSTERGÖTLANDS LÄN</t>
        </is>
      </c>
      <c r="E1760" t="inlineStr">
        <is>
          <t>LINKÖPING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34135-2021</t>
        </is>
      </c>
      <c r="B1761" s="1" t="n">
        <v>44379</v>
      </c>
      <c r="C1761" s="1" t="n">
        <v>46093</v>
      </c>
      <c r="D1761" t="inlineStr">
        <is>
          <t>ÖSTERGÖTLANDS LÄN</t>
        </is>
      </c>
      <c r="E1761" t="inlineStr">
        <is>
          <t>KINDA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38644-2025</t>
        </is>
      </c>
      <c r="B1762" s="1" t="n">
        <v>45884.57759259259</v>
      </c>
      <c r="C1762" s="1" t="n">
        <v>46093</v>
      </c>
      <c r="D1762" t="inlineStr">
        <is>
          <t>ÖSTERGÖTLANDS LÄN</t>
        </is>
      </c>
      <c r="E1762" t="inlineStr">
        <is>
          <t>NORRKÖPING</t>
        </is>
      </c>
      <c r="F1762" t="inlineStr">
        <is>
          <t>Holmen skog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8220-2023</t>
        </is>
      </c>
      <c r="B1763" s="1" t="n">
        <v>44974.564375</v>
      </c>
      <c r="C1763" s="1" t="n">
        <v>46093</v>
      </c>
      <c r="D1763" t="inlineStr">
        <is>
          <t>ÖSTERGÖTLANDS LÄN</t>
        </is>
      </c>
      <c r="E1763" t="inlineStr">
        <is>
          <t>NORRKÖPING</t>
        </is>
      </c>
      <c r="F1763" t="inlineStr">
        <is>
          <t>Holmen skog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38657-2025</t>
        </is>
      </c>
      <c r="B1764" s="1" t="n">
        <v>45884.60458333333</v>
      </c>
      <c r="C1764" s="1" t="n">
        <v>46093</v>
      </c>
      <c r="D1764" t="inlineStr">
        <is>
          <t>ÖSTERGÖTLANDS LÄN</t>
        </is>
      </c>
      <c r="E1764" t="inlineStr">
        <is>
          <t>NORRKÖPING</t>
        </is>
      </c>
      <c r="F1764" t="inlineStr">
        <is>
          <t>Holmen skog AB</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18295-2023</t>
        </is>
      </c>
      <c r="B1765" s="1" t="n">
        <v>45041</v>
      </c>
      <c r="C1765" s="1" t="n">
        <v>46093</v>
      </c>
      <c r="D1765" t="inlineStr">
        <is>
          <t>ÖSTERGÖTLANDS LÄN</t>
        </is>
      </c>
      <c r="E1765" t="inlineStr">
        <is>
          <t>FINSPÅNG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28259-2023</t>
        </is>
      </c>
      <c r="B1766" s="1" t="n">
        <v>45099.60927083333</v>
      </c>
      <c r="C1766" s="1" t="n">
        <v>46093</v>
      </c>
      <c r="D1766" t="inlineStr">
        <is>
          <t>ÖSTERGÖTLANDS LÄN</t>
        </is>
      </c>
      <c r="E1766" t="inlineStr">
        <is>
          <t>VALDEMARSVIK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62254-2023</t>
        </is>
      </c>
      <c r="B1767" s="1" t="n">
        <v>45267.61618055555</v>
      </c>
      <c r="C1767" s="1" t="n">
        <v>46093</v>
      </c>
      <c r="D1767" t="inlineStr">
        <is>
          <t>ÖSTERGÖTLANDS LÄN</t>
        </is>
      </c>
      <c r="E1767" t="inlineStr">
        <is>
          <t>KINDA</t>
        </is>
      </c>
      <c r="F1767" t="inlineStr">
        <is>
          <t>Sveaskog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3008-2023</t>
        </is>
      </c>
      <c r="B1768" s="1" t="n">
        <v>44945.79784722222</v>
      </c>
      <c r="C1768" s="1" t="n">
        <v>46093</v>
      </c>
      <c r="D1768" t="inlineStr">
        <is>
          <t>ÖSTERGÖTLANDS LÄN</t>
        </is>
      </c>
      <c r="E1768" t="inlineStr">
        <is>
          <t>LINKÖPING</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13064-2024</t>
        </is>
      </c>
      <c r="B1769" s="1" t="n">
        <v>45385</v>
      </c>
      <c r="C1769" s="1" t="n">
        <v>46093</v>
      </c>
      <c r="D1769" t="inlineStr">
        <is>
          <t>ÖSTERGÖTLANDS LÄN</t>
        </is>
      </c>
      <c r="E1769" t="inlineStr">
        <is>
          <t>KINDA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56879-2023</t>
        </is>
      </c>
      <c r="B1770" s="1" t="n">
        <v>45244</v>
      </c>
      <c r="C1770" s="1" t="n">
        <v>46093</v>
      </c>
      <c r="D1770" t="inlineStr">
        <is>
          <t>ÖSTERGÖTLANDS LÄN</t>
        </is>
      </c>
      <c r="E1770" t="inlineStr">
        <is>
          <t>SÖDERKÖPING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42358-2023</t>
        </is>
      </c>
      <c r="B1771" s="1" t="n">
        <v>45180.52923611111</v>
      </c>
      <c r="C1771" s="1" t="n">
        <v>46093</v>
      </c>
      <c r="D1771" t="inlineStr">
        <is>
          <t>ÖSTERGÖTLANDS LÄN</t>
        </is>
      </c>
      <c r="E1771" t="inlineStr">
        <is>
          <t>SÖDERKÖPING</t>
        </is>
      </c>
      <c r="F1771" t="inlineStr">
        <is>
          <t>Allmännings- och besparingsskogar</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21655-2023</t>
        </is>
      </c>
      <c r="B1772" s="1" t="n">
        <v>45063</v>
      </c>
      <c r="C1772" s="1" t="n">
        <v>46093</v>
      </c>
      <c r="D1772" t="inlineStr">
        <is>
          <t>ÖSTERGÖTLANDS LÄN</t>
        </is>
      </c>
      <c r="E1772" t="inlineStr">
        <is>
          <t>FINSPÅNG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35459-2021</t>
        </is>
      </c>
      <c r="B1773" s="1" t="n">
        <v>44385.55951388889</v>
      </c>
      <c r="C1773" s="1" t="n">
        <v>46093</v>
      </c>
      <c r="D1773" t="inlineStr">
        <is>
          <t>ÖSTERGÖTLANDS LÄN</t>
        </is>
      </c>
      <c r="E1773" t="inlineStr">
        <is>
          <t>MOTALA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6147-2025</t>
        </is>
      </c>
      <c r="B1774" s="1" t="n">
        <v>45698.40091435185</v>
      </c>
      <c r="C1774" s="1" t="n">
        <v>46093</v>
      </c>
      <c r="D1774" t="inlineStr">
        <is>
          <t>ÖSTERGÖTLANDS LÄN</t>
        </is>
      </c>
      <c r="E1774" t="inlineStr">
        <is>
          <t>MJÖLBY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25193-2023</t>
        </is>
      </c>
      <c r="B1775" s="1" t="n">
        <v>45086</v>
      </c>
      <c r="C1775" s="1" t="n">
        <v>46093</v>
      </c>
      <c r="D1775" t="inlineStr">
        <is>
          <t>ÖSTERGÖTLANDS LÄN</t>
        </is>
      </c>
      <c r="E1775" t="inlineStr">
        <is>
          <t>FINSPÅNG</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58905-2023</t>
        </is>
      </c>
      <c r="B1776" s="1" t="n">
        <v>45252.50694444445</v>
      </c>
      <c r="C1776" s="1" t="n">
        <v>46093</v>
      </c>
      <c r="D1776" t="inlineStr">
        <is>
          <t>ÖSTERGÖTLANDS LÄN</t>
        </is>
      </c>
      <c r="E1776" t="inlineStr">
        <is>
          <t>FINSPÅNG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27087-2024</t>
        </is>
      </c>
      <c r="B1777" s="1" t="n">
        <v>45471</v>
      </c>
      <c r="C1777" s="1" t="n">
        <v>46093</v>
      </c>
      <c r="D1777" t="inlineStr">
        <is>
          <t>ÖSTERGÖTLANDS LÄN</t>
        </is>
      </c>
      <c r="E1777" t="inlineStr">
        <is>
          <t>ÖDESHÖG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19785-2025</t>
        </is>
      </c>
      <c r="B1778" s="1" t="n">
        <v>45771.44005787037</v>
      </c>
      <c r="C1778" s="1" t="n">
        <v>46093</v>
      </c>
      <c r="D1778" t="inlineStr">
        <is>
          <t>ÖSTERGÖTLANDS LÄN</t>
        </is>
      </c>
      <c r="E1778" t="inlineStr">
        <is>
          <t>NORRKÖPING</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1614-2023</t>
        </is>
      </c>
      <c r="B1779" s="1" t="n">
        <v>44937.70653935185</v>
      </c>
      <c r="C1779" s="1" t="n">
        <v>46093</v>
      </c>
      <c r="D1779" t="inlineStr">
        <is>
          <t>ÖSTERGÖTLANDS LÄN</t>
        </is>
      </c>
      <c r="E1779" t="inlineStr">
        <is>
          <t>SÖDERKÖPING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1620-2023</t>
        </is>
      </c>
      <c r="B1780" s="1" t="n">
        <v>44937</v>
      </c>
      <c r="C1780" s="1" t="n">
        <v>46093</v>
      </c>
      <c r="D1780" t="inlineStr">
        <is>
          <t>ÖSTERGÖTLANDS LÄN</t>
        </is>
      </c>
      <c r="E1780" t="inlineStr">
        <is>
          <t>VALDEMARSVIK</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11741-2024</t>
        </is>
      </c>
      <c r="B1781" s="1" t="n">
        <v>45373.73894675926</v>
      </c>
      <c r="C1781" s="1" t="n">
        <v>46093</v>
      </c>
      <c r="D1781" t="inlineStr">
        <is>
          <t>ÖSTERGÖTLANDS LÄN</t>
        </is>
      </c>
      <c r="E1781" t="inlineStr">
        <is>
          <t>NORRKÖPING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11790-2024</t>
        </is>
      </c>
      <c r="B1782" s="1" t="n">
        <v>45374</v>
      </c>
      <c r="C1782" s="1" t="n">
        <v>46093</v>
      </c>
      <c r="D1782" t="inlineStr">
        <is>
          <t>ÖSTERGÖTLANDS LÄN</t>
        </is>
      </c>
      <c r="E1782" t="inlineStr">
        <is>
          <t>LINKÖPING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1621-2023</t>
        </is>
      </c>
      <c r="B1783" s="1" t="n">
        <v>44937.72628472222</v>
      </c>
      <c r="C1783" s="1" t="n">
        <v>46093</v>
      </c>
      <c r="D1783" t="inlineStr">
        <is>
          <t>ÖSTERGÖTLANDS LÄN</t>
        </is>
      </c>
      <c r="E1783" t="inlineStr">
        <is>
          <t>VALDEMARSVIK</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1627-2023</t>
        </is>
      </c>
      <c r="B1784" s="1" t="n">
        <v>44937</v>
      </c>
      <c r="C1784" s="1" t="n">
        <v>46093</v>
      </c>
      <c r="D1784" t="inlineStr">
        <is>
          <t>ÖSTERGÖTLANDS LÄN</t>
        </is>
      </c>
      <c r="E1784" t="inlineStr">
        <is>
          <t>LINKÖPING</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31025-2023</t>
        </is>
      </c>
      <c r="B1785" s="1" t="n">
        <v>45113.58054398148</v>
      </c>
      <c r="C1785" s="1" t="n">
        <v>46093</v>
      </c>
      <c r="D1785" t="inlineStr">
        <is>
          <t>ÖSTERGÖTLANDS LÄN</t>
        </is>
      </c>
      <c r="E1785" t="inlineStr">
        <is>
          <t>FINSPÅNG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53005-2023</t>
        </is>
      </c>
      <c r="B1786" s="1" t="n">
        <v>45222</v>
      </c>
      <c r="C1786" s="1" t="n">
        <v>46093</v>
      </c>
      <c r="D1786" t="inlineStr">
        <is>
          <t>ÖSTERGÖTLANDS LÄN</t>
        </is>
      </c>
      <c r="E1786" t="inlineStr">
        <is>
          <t>ÅTVIDABERG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49617-2022</t>
        </is>
      </c>
      <c r="B1787" s="1" t="n">
        <v>44862</v>
      </c>
      <c r="C1787" s="1" t="n">
        <v>46093</v>
      </c>
      <c r="D1787" t="inlineStr">
        <is>
          <t>ÖSTERGÖTLANDS LÄN</t>
        </is>
      </c>
      <c r="E1787" t="inlineStr">
        <is>
          <t>NORRKÖPING</t>
        </is>
      </c>
      <c r="F1787" t="inlineStr">
        <is>
          <t>Holmen skog AB</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37400-2023</t>
        </is>
      </c>
      <c r="B1788" s="1" t="n">
        <v>45156</v>
      </c>
      <c r="C1788" s="1" t="n">
        <v>46093</v>
      </c>
      <c r="D1788" t="inlineStr">
        <is>
          <t>ÖSTERGÖTLANDS LÄN</t>
        </is>
      </c>
      <c r="E1788" t="inlineStr">
        <is>
          <t>BOXHOLM</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58875-2023</t>
        </is>
      </c>
      <c r="B1789" s="1" t="n">
        <v>45250</v>
      </c>
      <c r="C1789" s="1" t="n">
        <v>46093</v>
      </c>
      <c r="D1789" t="inlineStr">
        <is>
          <t>ÖSTERGÖTLANDS LÄN</t>
        </is>
      </c>
      <c r="E1789" t="inlineStr">
        <is>
          <t>KINDA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48962-2022</t>
        </is>
      </c>
      <c r="B1790" s="1" t="n">
        <v>44860.31635416667</v>
      </c>
      <c r="C1790" s="1" t="n">
        <v>46093</v>
      </c>
      <c r="D1790" t="inlineStr">
        <is>
          <t>ÖSTERGÖTLANDS LÄN</t>
        </is>
      </c>
      <c r="E1790" t="inlineStr">
        <is>
          <t>LINKÖPING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38571-2025</t>
        </is>
      </c>
      <c r="B1791" s="1" t="n">
        <v>45884.45916666667</v>
      </c>
      <c r="C1791" s="1" t="n">
        <v>46093</v>
      </c>
      <c r="D1791" t="inlineStr">
        <is>
          <t>ÖSTERGÖTLANDS LÄN</t>
        </is>
      </c>
      <c r="E1791" t="inlineStr">
        <is>
          <t>NORRKÖPING</t>
        </is>
      </c>
      <c r="F1791" t="inlineStr">
        <is>
          <t>Holmen skog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15399-2025</t>
        </is>
      </c>
      <c r="B1792" s="1" t="n">
        <v>45747.4431712963</v>
      </c>
      <c r="C1792" s="1" t="n">
        <v>46093</v>
      </c>
      <c r="D1792" t="inlineStr">
        <is>
          <t>ÖSTERGÖTLANDS LÄN</t>
        </is>
      </c>
      <c r="E1792" t="inlineStr">
        <is>
          <t>ÖDESHÖG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49062-2022</t>
        </is>
      </c>
      <c r="B1793" s="1" t="n">
        <v>44860</v>
      </c>
      <c r="C1793" s="1" t="n">
        <v>46093</v>
      </c>
      <c r="D1793" t="inlineStr">
        <is>
          <t>ÖSTERGÖTLANDS LÄN</t>
        </is>
      </c>
      <c r="E1793" t="inlineStr">
        <is>
          <t>NORRKÖPING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124-2025</t>
        </is>
      </c>
      <c r="B1794" s="1" t="n">
        <v>45659.54952546296</v>
      </c>
      <c r="C1794" s="1" t="n">
        <v>46093</v>
      </c>
      <c r="D1794" t="inlineStr">
        <is>
          <t>ÖSTERGÖTLANDS LÄN</t>
        </is>
      </c>
      <c r="E1794" t="inlineStr">
        <is>
          <t>YDRE</t>
        </is>
      </c>
      <c r="F1794" t="inlineStr">
        <is>
          <t>Övriga Aktiebolag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46681-2021</t>
        </is>
      </c>
      <c r="B1795" s="1" t="n">
        <v>44445</v>
      </c>
      <c r="C1795" s="1" t="n">
        <v>46093</v>
      </c>
      <c r="D1795" t="inlineStr">
        <is>
          <t>ÖSTERGÖTLANDS LÄN</t>
        </is>
      </c>
      <c r="E1795" t="inlineStr">
        <is>
          <t>MOTALA</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24110-2024</t>
        </is>
      </c>
      <c r="B1796" s="1" t="n">
        <v>45456.61288194444</v>
      </c>
      <c r="C1796" s="1" t="n">
        <v>46093</v>
      </c>
      <c r="D1796" t="inlineStr">
        <is>
          <t>ÖSTERGÖTLANDS LÄN</t>
        </is>
      </c>
      <c r="E1796" t="inlineStr">
        <is>
          <t>KINDA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56264-2022</t>
        </is>
      </c>
      <c r="B1797" s="1" t="n">
        <v>44887</v>
      </c>
      <c r="C1797" s="1" t="n">
        <v>46093</v>
      </c>
      <c r="D1797" t="inlineStr">
        <is>
          <t>ÖSTERGÖTLANDS LÄN</t>
        </is>
      </c>
      <c r="E1797" t="inlineStr">
        <is>
          <t>FINSPÅNG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25737-2021</t>
        </is>
      </c>
      <c r="B1798" s="1" t="n">
        <v>44343.63775462963</v>
      </c>
      <c r="C1798" s="1" t="n">
        <v>46093</v>
      </c>
      <c r="D1798" t="inlineStr">
        <is>
          <t>ÖSTERGÖTLANDS LÄN</t>
        </is>
      </c>
      <c r="E1798" t="inlineStr">
        <is>
          <t>MOTALA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53647-2021</t>
        </is>
      </c>
      <c r="B1799" s="1" t="n">
        <v>44469</v>
      </c>
      <c r="C1799" s="1" t="n">
        <v>46093</v>
      </c>
      <c r="D1799" t="inlineStr">
        <is>
          <t>ÖSTERGÖTLANDS LÄN</t>
        </is>
      </c>
      <c r="E1799" t="inlineStr">
        <is>
          <t>LINKÖPING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8843-2025</t>
        </is>
      </c>
      <c r="B1800" s="1" t="n">
        <v>45713.33119212963</v>
      </c>
      <c r="C1800" s="1" t="n">
        <v>46093</v>
      </c>
      <c r="D1800" t="inlineStr">
        <is>
          <t>ÖSTERGÖTLANDS LÄN</t>
        </is>
      </c>
      <c r="E1800" t="inlineStr">
        <is>
          <t>BOXHOLM</t>
        </is>
      </c>
      <c r="F1800" t="inlineStr">
        <is>
          <t>Övriga Aktiebolag</t>
        </is>
      </c>
      <c r="G1800" t="n">
        <v>0</v>
      </c>
      <c r="H1800" t="n">
        <v>0</v>
      </c>
      <c r="I1800" t="n">
        <v>0</v>
      </c>
      <c r="J1800" t="n">
        <v>0</v>
      </c>
      <c r="K1800" t="n">
        <v>0</v>
      </c>
      <c r="L1800" t="n">
        <v>0</v>
      </c>
      <c r="M1800" t="n">
        <v>0</v>
      </c>
      <c r="N1800" t="n">
        <v>0</v>
      </c>
      <c r="O1800" t="n">
        <v>0</v>
      </c>
      <c r="P1800" t="n">
        <v>0</v>
      </c>
      <c r="Q1800" t="n">
        <v>0</v>
      </c>
      <c r="R1800" s="2" t="inlineStr"/>
    </row>
    <row r="1801" ht="15" customHeight="1">
      <c r="A1801" t="inlineStr">
        <is>
          <t>A 58658-2024</t>
        </is>
      </c>
      <c r="B1801" s="1" t="n">
        <v>45635.60386574074</v>
      </c>
      <c r="C1801" s="1" t="n">
        <v>46093</v>
      </c>
      <c r="D1801" t="inlineStr">
        <is>
          <t>ÖSTERGÖTLANDS LÄN</t>
        </is>
      </c>
      <c r="E1801" t="inlineStr">
        <is>
          <t>MJÖLBY</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22772-2024</t>
        </is>
      </c>
      <c r="B1802" s="1" t="n">
        <v>45448.46712962963</v>
      </c>
      <c r="C1802" s="1" t="n">
        <v>46093</v>
      </c>
      <c r="D1802" t="inlineStr">
        <is>
          <t>ÖSTERGÖTLANDS LÄN</t>
        </is>
      </c>
      <c r="E1802" t="inlineStr">
        <is>
          <t>LINKÖPING</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12822-2024</t>
        </is>
      </c>
      <c r="B1803" s="1" t="n">
        <v>45384.67591435185</v>
      </c>
      <c r="C1803" s="1" t="n">
        <v>46093</v>
      </c>
      <c r="D1803" t="inlineStr">
        <is>
          <t>ÖSTERGÖTLANDS LÄN</t>
        </is>
      </c>
      <c r="E1803" t="inlineStr">
        <is>
          <t>ÅTVIDABERG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18916-2024</t>
        </is>
      </c>
      <c r="B1804" s="1" t="n">
        <v>45427.39541666667</v>
      </c>
      <c r="C1804" s="1" t="n">
        <v>46093</v>
      </c>
      <c r="D1804" t="inlineStr">
        <is>
          <t>ÖSTERGÖTLANDS LÄN</t>
        </is>
      </c>
      <c r="E1804" t="inlineStr">
        <is>
          <t>LINKÖPING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18924-2024</t>
        </is>
      </c>
      <c r="B1805" s="1" t="n">
        <v>45427</v>
      </c>
      <c r="C1805" s="1" t="n">
        <v>46093</v>
      </c>
      <c r="D1805" t="inlineStr">
        <is>
          <t>ÖSTERGÖTLANDS LÄN</t>
        </is>
      </c>
      <c r="E1805" t="inlineStr">
        <is>
          <t>MOTALA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24844-2024</t>
        </is>
      </c>
      <c r="B1806" s="1" t="n">
        <v>45461.42116898148</v>
      </c>
      <c r="C1806" s="1" t="n">
        <v>46093</v>
      </c>
      <c r="D1806" t="inlineStr">
        <is>
          <t>ÖSTERGÖTLANDS LÄN</t>
        </is>
      </c>
      <c r="E1806" t="inlineStr">
        <is>
          <t>KINDA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9622-2023</t>
        </is>
      </c>
      <c r="B1807" s="1" t="n">
        <v>44984</v>
      </c>
      <c r="C1807" s="1" t="n">
        <v>46093</v>
      </c>
      <c r="D1807" t="inlineStr">
        <is>
          <t>ÖSTERGÖTLANDS LÄN</t>
        </is>
      </c>
      <c r="E1807" t="inlineStr">
        <is>
          <t>MOTALA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17669-2025</t>
        </is>
      </c>
      <c r="B1808" s="1" t="n">
        <v>45758.36638888889</v>
      </c>
      <c r="C1808" s="1" t="n">
        <v>46093</v>
      </c>
      <c r="D1808" t="inlineStr">
        <is>
          <t>ÖSTERGÖTLANDS LÄN</t>
        </is>
      </c>
      <c r="E1808" t="inlineStr">
        <is>
          <t>KINDA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50670-2024</t>
        </is>
      </c>
      <c r="B1809" s="1" t="n">
        <v>45601.78827546296</v>
      </c>
      <c r="C1809" s="1" t="n">
        <v>46093</v>
      </c>
      <c r="D1809" t="inlineStr">
        <is>
          <t>ÖSTERGÖTLANDS LÄN</t>
        </is>
      </c>
      <c r="E1809" t="inlineStr">
        <is>
          <t>FINSPÅNG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4139-2023</t>
        </is>
      </c>
      <c r="B1810" s="1" t="n">
        <v>44953</v>
      </c>
      <c r="C1810" s="1" t="n">
        <v>46093</v>
      </c>
      <c r="D1810" t="inlineStr">
        <is>
          <t>ÖSTERGÖTLANDS LÄN</t>
        </is>
      </c>
      <c r="E1810" t="inlineStr">
        <is>
          <t>FINSPÅNG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40290-2024</t>
        </is>
      </c>
      <c r="B1811" s="1" t="n">
        <v>45554.68709490741</v>
      </c>
      <c r="C1811" s="1" t="n">
        <v>46093</v>
      </c>
      <c r="D1811" t="inlineStr">
        <is>
          <t>ÖSTERGÖTLANDS LÄN</t>
        </is>
      </c>
      <c r="E1811" t="inlineStr">
        <is>
          <t>BOXHOLM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55345-2021</t>
        </is>
      </c>
      <c r="B1812" s="1" t="n">
        <v>44475</v>
      </c>
      <c r="C1812" s="1" t="n">
        <v>46093</v>
      </c>
      <c r="D1812" t="inlineStr">
        <is>
          <t>ÖSTERGÖTLANDS LÄN</t>
        </is>
      </c>
      <c r="E1812" t="inlineStr">
        <is>
          <t>LINKÖPING</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39920-2024</t>
        </is>
      </c>
      <c r="B1813" s="1" t="n">
        <v>45553.53635416667</v>
      </c>
      <c r="C1813" s="1" t="n">
        <v>46093</v>
      </c>
      <c r="D1813" t="inlineStr">
        <is>
          <t>ÖSTERGÖTLANDS LÄN</t>
        </is>
      </c>
      <c r="E1813" t="inlineStr">
        <is>
          <t>ÖDESHÖG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1172-2024</t>
        </is>
      </c>
      <c r="B1814" s="1" t="n">
        <v>45302</v>
      </c>
      <c r="C1814" s="1" t="n">
        <v>46093</v>
      </c>
      <c r="D1814" t="inlineStr">
        <is>
          <t>ÖSTERGÖTLANDS LÄN</t>
        </is>
      </c>
      <c r="E1814" t="inlineStr">
        <is>
          <t>MOTALA</t>
        </is>
      </c>
      <c r="F1814" t="inlineStr">
        <is>
          <t>Övriga statliga verk och myndigheter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17994-2023</t>
        </is>
      </c>
      <c r="B1815" s="1" t="n">
        <v>45040</v>
      </c>
      <c r="C1815" s="1" t="n">
        <v>46093</v>
      </c>
      <c r="D1815" t="inlineStr">
        <is>
          <t>ÖSTERGÖTLANDS LÄN</t>
        </is>
      </c>
      <c r="E1815" t="inlineStr">
        <is>
          <t>FINSPÅNG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18004-2023</t>
        </is>
      </c>
      <c r="B1816" s="1" t="n">
        <v>45040.55646990741</v>
      </c>
      <c r="C1816" s="1" t="n">
        <v>46093</v>
      </c>
      <c r="D1816" t="inlineStr">
        <is>
          <t>ÖSTERGÖTLANDS LÄN</t>
        </is>
      </c>
      <c r="E1816" t="inlineStr">
        <is>
          <t>ÅTVIDABERG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38692-2025</t>
        </is>
      </c>
      <c r="B1817" s="1" t="n">
        <v>45884.68263888889</v>
      </c>
      <c r="C1817" s="1" t="n">
        <v>46093</v>
      </c>
      <c r="D1817" t="inlineStr">
        <is>
          <t>ÖSTERGÖTLANDS LÄN</t>
        </is>
      </c>
      <c r="E1817" t="inlineStr">
        <is>
          <t>NORRKÖPING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38261-2025</t>
        </is>
      </c>
      <c r="B1818" s="1" t="n">
        <v>45883.39684027778</v>
      </c>
      <c r="C1818" s="1" t="n">
        <v>46093</v>
      </c>
      <c r="D1818" t="inlineStr">
        <is>
          <t>ÖSTERGÖTLANDS LÄN</t>
        </is>
      </c>
      <c r="E1818" t="inlineStr">
        <is>
          <t>KINDA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11463-2025</t>
        </is>
      </c>
      <c r="B1819" s="1" t="n">
        <v>45726.65693287037</v>
      </c>
      <c r="C1819" s="1" t="n">
        <v>46093</v>
      </c>
      <c r="D1819" t="inlineStr">
        <is>
          <t>ÖSTERGÖTLANDS LÄN</t>
        </is>
      </c>
      <c r="E1819" t="inlineStr">
        <is>
          <t>MOTALA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396-2024</t>
        </is>
      </c>
      <c r="B1820" s="1" t="n">
        <v>45296</v>
      </c>
      <c r="C1820" s="1" t="n">
        <v>46093</v>
      </c>
      <c r="D1820" t="inlineStr">
        <is>
          <t>ÖSTERGÖTLANDS LÄN</t>
        </is>
      </c>
      <c r="E1820" t="inlineStr">
        <is>
          <t>ÅTVIDABERG</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459-2024</t>
        </is>
      </c>
      <c r="B1821" s="1" t="n">
        <v>45297</v>
      </c>
      <c r="C1821" s="1" t="n">
        <v>46093</v>
      </c>
      <c r="D1821" t="inlineStr">
        <is>
          <t>ÖSTERGÖTLANDS LÄN</t>
        </is>
      </c>
      <c r="E1821" t="inlineStr">
        <is>
          <t>SÖDERKÖPING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15498-2023</t>
        </is>
      </c>
      <c r="B1822" s="1" t="n">
        <v>45020.4759375</v>
      </c>
      <c r="C1822" s="1" t="n">
        <v>46093</v>
      </c>
      <c r="D1822" t="inlineStr">
        <is>
          <t>ÖSTERGÖTLANDS LÄN</t>
        </is>
      </c>
      <c r="E1822" t="inlineStr">
        <is>
          <t>BOXHOLM</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15501-2023</t>
        </is>
      </c>
      <c r="B1823" s="1" t="n">
        <v>45020.48547453704</v>
      </c>
      <c r="C1823" s="1" t="n">
        <v>46093</v>
      </c>
      <c r="D1823" t="inlineStr">
        <is>
          <t>ÖSTERGÖTLANDS LÄN</t>
        </is>
      </c>
      <c r="E1823" t="inlineStr">
        <is>
          <t>BOXHOLM</t>
        </is>
      </c>
      <c r="G1823" t="n">
        <v>0</v>
      </c>
      <c r="H1823" t="n">
        <v>0</v>
      </c>
      <c r="I1823" t="n">
        <v>0</v>
      </c>
      <c r="J1823" t="n">
        <v>0</v>
      </c>
      <c r="K1823" t="n">
        <v>0</v>
      </c>
      <c r="L1823" t="n">
        <v>0</v>
      </c>
      <c r="M1823" t="n">
        <v>0</v>
      </c>
      <c r="N1823" t="n">
        <v>0</v>
      </c>
      <c r="O1823" t="n">
        <v>0</v>
      </c>
      <c r="P1823" t="n">
        <v>0</v>
      </c>
      <c r="Q1823" t="n">
        <v>0</v>
      </c>
      <c r="R1823" s="2" t="inlineStr"/>
    </row>
    <row r="1824" ht="15" customHeight="1">
      <c r="A1824" t="inlineStr">
        <is>
          <t>A 15505-2023</t>
        </is>
      </c>
      <c r="B1824" s="1" t="n">
        <v>45020.49787037037</v>
      </c>
      <c r="C1824" s="1" t="n">
        <v>46093</v>
      </c>
      <c r="D1824" t="inlineStr">
        <is>
          <t>ÖSTERGÖTLANDS LÄN</t>
        </is>
      </c>
      <c r="E1824" t="inlineStr">
        <is>
          <t>BOXHOLM</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15599-2023</t>
        </is>
      </c>
      <c r="B1825" s="1" t="n">
        <v>45020.71773148148</v>
      </c>
      <c r="C1825" s="1" t="n">
        <v>46093</v>
      </c>
      <c r="D1825" t="inlineStr">
        <is>
          <t>ÖSTERGÖTLANDS LÄN</t>
        </is>
      </c>
      <c r="E1825" t="inlineStr">
        <is>
          <t>KINDA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15614-2023</t>
        </is>
      </c>
      <c r="B1826" s="1" t="n">
        <v>45020.87799768519</v>
      </c>
      <c r="C1826" s="1" t="n">
        <v>46093</v>
      </c>
      <c r="D1826" t="inlineStr">
        <is>
          <t>ÖSTERGÖTLANDS LÄN</t>
        </is>
      </c>
      <c r="E1826" t="inlineStr">
        <is>
          <t>FINSPÅNG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16665-2023</t>
        </is>
      </c>
      <c r="B1827" s="1" t="n">
        <v>45030.5583912037</v>
      </c>
      <c r="C1827" s="1" t="n">
        <v>46093</v>
      </c>
      <c r="D1827" t="inlineStr">
        <is>
          <t>ÖSTERGÖTLANDS LÄN</t>
        </is>
      </c>
      <c r="E1827" t="inlineStr">
        <is>
          <t>LINKÖPING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49295-2024</t>
        </is>
      </c>
      <c r="B1828" s="1" t="n">
        <v>45595</v>
      </c>
      <c r="C1828" s="1" t="n">
        <v>46093</v>
      </c>
      <c r="D1828" t="inlineStr">
        <is>
          <t>ÖSTERGÖTLANDS LÄN</t>
        </is>
      </c>
      <c r="E1828" t="inlineStr">
        <is>
          <t>NORRKÖPING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22579-2024</t>
        </is>
      </c>
      <c r="B1829" s="1" t="n">
        <v>45447.58180555556</v>
      </c>
      <c r="C1829" s="1" t="n">
        <v>46093</v>
      </c>
      <c r="D1829" t="inlineStr">
        <is>
          <t>ÖSTERGÖTLANDS LÄN</t>
        </is>
      </c>
      <c r="E1829" t="inlineStr">
        <is>
          <t>FINSPÅNG</t>
        </is>
      </c>
      <c r="F1829" t="inlineStr">
        <is>
          <t>Holmen skog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34981-2025</t>
        </is>
      </c>
      <c r="B1830" s="1" t="n">
        <v>45849</v>
      </c>
      <c r="C1830" s="1" t="n">
        <v>46093</v>
      </c>
      <c r="D1830" t="inlineStr">
        <is>
          <t>ÖSTERGÖTLANDS LÄN</t>
        </is>
      </c>
      <c r="E1830" t="inlineStr">
        <is>
          <t>SÖDERKÖPING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59516-2023</t>
        </is>
      </c>
      <c r="B1831" s="1" t="n">
        <v>45254</v>
      </c>
      <c r="C1831" s="1" t="n">
        <v>46093</v>
      </c>
      <c r="D1831" t="inlineStr">
        <is>
          <t>ÖSTERGÖTLANDS LÄN</t>
        </is>
      </c>
      <c r="E1831" t="inlineStr">
        <is>
          <t>VALDEMARSVIK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22613-2024</t>
        </is>
      </c>
      <c r="B1832" s="1" t="n">
        <v>45447</v>
      </c>
      <c r="C1832" s="1" t="n">
        <v>46093</v>
      </c>
      <c r="D1832" t="inlineStr">
        <is>
          <t>ÖSTERGÖTLANDS LÄN</t>
        </is>
      </c>
      <c r="E1832" t="inlineStr">
        <is>
          <t>FINSPÅNG</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24586-2024</t>
        </is>
      </c>
      <c r="B1833" s="1" t="n">
        <v>45460.46664351852</v>
      </c>
      <c r="C1833" s="1" t="n">
        <v>46093</v>
      </c>
      <c r="D1833" t="inlineStr">
        <is>
          <t>ÖSTERGÖTLANDS LÄN</t>
        </is>
      </c>
      <c r="E1833" t="inlineStr">
        <is>
          <t>LINKÖPING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43949-2024</t>
        </is>
      </c>
      <c r="B1834" s="1" t="n">
        <v>45572.47253472222</v>
      </c>
      <c r="C1834" s="1" t="n">
        <v>46093</v>
      </c>
      <c r="D1834" t="inlineStr">
        <is>
          <t>ÖSTERGÖTLANDS LÄN</t>
        </is>
      </c>
      <c r="E1834" t="inlineStr">
        <is>
          <t>SÖDERKÖPING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59221-2024</t>
        </is>
      </c>
      <c r="B1835" s="1" t="n">
        <v>45637</v>
      </c>
      <c r="C1835" s="1" t="n">
        <v>46093</v>
      </c>
      <c r="D1835" t="inlineStr">
        <is>
          <t>ÖSTERGÖTLANDS LÄN</t>
        </is>
      </c>
      <c r="E1835" t="inlineStr">
        <is>
          <t>NORRKÖPING</t>
        </is>
      </c>
      <c r="G1835" t="n">
        <v>24.7</v>
      </c>
      <c r="H1835" t="n">
        <v>0</v>
      </c>
      <c r="I1835" t="n">
        <v>0</v>
      </c>
      <c r="J1835" t="n">
        <v>0</v>
      </c>
      <c r="K1835" t="n">
        <v>0</v>
      </c>
      <c r="L1835" t="n">
        <v>0</v>
      </c>
      <c r="M1835" t="n">
        <v>0</v>
      </c>
      <c r="N1835" t="n">
        <v>0</v>
      </c>
      <c r="O1835" t="n">
        <v>0</v>
      </c>
      <c r="P1835" t="n">
        <v>0</v>
      </c>
      <c r="Q1835" t="n">
        <v>0</v>
      </c>
      <c r="R1835" s="2" t="inlineStr"/>
    </row>
    <row r="1836" ht="15" customHeight="1">
      <c r="A1836" t="inlineStr">
        <is>
          <t>A 46536-2024</t>
        </is>
      </c>
      <c r="B1836" s="1" t="n">
        <v>45582.645</v>
      </c>
      <c r="C1836" s="1" t="n">
        <v>46093</v>
      </c>
      <c r="D1836" t="inlineStr">
        <is>
          <t>ÖSTERGÖTLANDS LÄN</t>
        </is>
      </c>
      <c r="E1836" t="inlineStr">
        <is>
          <t>ÖDESHÖG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34969-2025</t>
        </is>
      </c>
      <c r="B1837" s="1" t="n">
        <v>45849</v>
      </c>
      <c r="C1837" s="1" t="n">
        <v>46093</v>
      </c>
      <c r="D1837" t="inlineStr">
        <is>
          <t>ÖSTERGÖTLANDS LÄN</t>
        </is>
      </c>
      <c r="E1837" t="inlineStr">
        <is>
          <t>SÖDERKÖPING</t>
        </is>
      </c>
      <c r="G1837" t="n">
        <v>9.300000000000001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34979-2025</t>
        </is>
      </c>
      <c r="B1838" s="1" t="n">
        <v>45849</v>
      </c>
      <c r="C1838" s="1" t="n">
        <v>46093</v>
      </c>
      <c r="D1838" t="inlineStr">
        <is>
          <t>ÖSTERGÖTLANDS LÄN</t>
        </is>
      </c>
      <c r="E1838" t="inlineStr">
        <is>
          <t>SÖDERKÖPING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48652-2024</t>
        </is>
      </c>
      <c r="B1839" s="1" t="n">
        <v>45593.48171296297</v>
      </c>
      <c r="C1839" s="1" t="n">
        <v>46093</v>
      </c>
      <c r="D1839" t="inlineStr">
        <is>
          <t>ÖSTERGÖTLANDS LÄN</t>
        </is>
      </c>
      <c r="E1839" t="inlineStr">
        <is>
          <t>FINSPÅNG</t>
        </is>
      </c>
      <c r="F1839" t="inlineStr">
        <is>
          <t>Övriga Aktiebolag</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48758-2024</t>
        </is>
      </c>
      <c r="B1840" s="1" t="n">
        <v>45593.59819444444</v>
      </c>
      <c r="C1840" s="1" t="n">
        <v>46093</v>
      </c>
      <c r="D1840" t="inlineStr">
        <is>
          <t>ÖSTERGÖTLANDS LÄN</t>
        </is>
      </c>
      <c r="E1840" t="inlineStr">
        <is>
          <t>NORRKÖPING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2246-2025</t>
        </is>
      </c>
      <c r="B1841" s="1" t="n">
        <v>45673.49019675926</v>
      </c>
      <c r="C1841" s="1" t="n">
        <v>46093</v>
      </c>
      <c r="D1841" t="inlineStr">
        <is>
          <t>ÖSTERGÖTLANDS LÄN</t>
        </is>
      </c>
      <c r="E1841" t="inlineStr">
        <is>
          <t>NORRKÖPING</t>
        </is>
      </c>
      <c r="F1841" t="inlineStr">
        <is>
          <t>Holmen skog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17114-2025</t>
        </is>
      </c>
      <c r="B1842" s="1" t="n">
        <v>45755.6821875</v>
      </c>
      <c r="C1842" s="1" t="n">
        <v>46093</v>
      </c>
      <c r="D1842" t="inlineStr">
        <is>
          <t>ÖSTERGÖTLANDS LÄN</t>
        </is>
      </c>
      <c r="E1842" t="inlineStr">
        <is>
          <t>VALDEMARSVIK</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17124-2025</t>
        </is>
      </c>
      <c r="B1843" s="1" t="n">
        <v>45755.69678240741</v>
      </c>
      <c r="C1843" s="1" t="n">
        <v>46093</v>
      </c>
      <c r="D1843" t="inlineStr">
        <is>
          <t>ÖSTERGÖTLANDS LÄN</t>
        </is>
      </c>
      <c r="E1843" t="inlineStr">
        <is>
          <t>LINKÖPING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17126-2025</t>
        </is>
      </c>
      <c r="B1844" s="1" t="n">
        <v>45755.70814814815</v>
      </c>
      <c r="C1844" s="1" t="n">
        <v>46093</v>
      </c>
      <c r="D1844" t="inlineStr">
        <is>
          <t>ÖSTERGÖTLANDS LÄN</t>
        </is>
      </c>
      <c r="E1844" t="inlineStr">
        <is>
          <t>LINKÖPING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17143-2025</t>
        </is>
      </c>
      <c r="B1845" s="1" t="n">
        <v>45755.92731481481</v>
      </c>
      <c r="C1845" s="1" t="n">
        <v>46093</v>
      </c>
      <c r="D1845" t="inlineStr">
        <is>
          <t>ÖSTERGÖTLANDS LÄN</t>
        </is>
      </c>
      <c r="E1845" t="inlineStr">
        <is>
          <t>LINKÖPING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12569-2024</t>
        </is>
      </c>
      <c r="B1846" s="1" t="n">
        <v>45379</v>
      </c>
      <c r="C1846" s="1" t="n">
        <v>46093</v>
      </c>
      <c r="D1846" t="inlineStr">
        <is>
          <t>ÖSTERGÖTLANDS LÄN</t>
        </is>
      </c>
      <c r="E1846" t="inlineStr">
        <is>
          <t>ÅTVIDABERG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34181-2023</t>
        </is>
      </c>
      <c r="B1847" s="1" t="n">
        <v>45138</v>
      </c>
      <c r="C1847" s="1" t="n">
        <v>46093</v>
      </c>
      <c r="D1847" t="inlineStr">
        <is>
          <t>ÖSTERGÖTLANDS LÄN</t>
        </is>
      </c>
      <c r="E1847" t="inlineStr">
        <is>
          <t>YDRE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60860-2024</t>
        </is>
      </c>
      <c r="B1848" s="1" t="n">
        <v>45644.6893287037</v>
      </c>
      <c r="C1848" s="1" t="n">
        <v>46093</v>
      </c>
      <c r="D1848" t="inlineStr">
        <is>
          <t>ÖSTERGÖTLANDS LÄN</t>
        </is>
      </c>
      <c r="E1848" t="inlineStr">
        <is>
          <t>LINKÖPING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33170-2023</t>
        </is>
      </c>
      <c r="B1849" s="1" t="n">
        <v>45126</v>
      </c>
      <c r="C1849" s="1" t="n">
        <v>46093</v>
      </c>
      <c r="D1849" t="inlineStr">
        <is>
          <t>ÖSTERGÖTLANDS LÄN</t>
        </is>
      </c>
      <c r="E1849" t="inlineStr">
        <is>
          <t>NORRKÖPING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33171-2023</t>
        </is>
      </c>
      <c r="B1850" s="1" t="n">
        <v>45126</v>
      </c>
      <c r="C1850" s="1" t="n">
        <v>46093</v>
      </c>
      <c r="D1850" t="inlineStr">
        <is>
          <t>ÖSTERGÖTLANDS LÄN</t>
        </is>
      </c>
      <c r="E1850" t="inlineStr">
        <is>
          <t>NORRKÖPING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34932-2022</t>
        </is>
      </c>
      <c r="B1851" s="1" t="n">
        <v>44796.61420138889</v>
      </c>
      <c r="C1851" s="1" t="n">
        <v>46093</v>
      </c>
      <c r="D1851" t="inlineStr">
        <is>
          <t>ÖSTERGÖTLANDS LÄN</t>
        </is>
      </c>
      <c r="E1851" t="inlineStr">
        <is>
          <t>YDRE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41245-2023</t>
        </is>
      </c>
      <c r="B1852" s="1" t="n">
        <v>45174</v>
      </c>
      <c r="C1852" s="1" t="n">
        <v>46093</v>
      </c>
      <c r="D1852" t="inlineStr">
        <is>
          <t>ÖSTERGÖTLANDS LÄN</t>
        </is>
      </c>
      <c r="E1852" t="inlineStr">
        <is>
          <t>SÖDERKÖPING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31640-2023</t>
        </is>
      </c>
      <c r="B1853" s="1" t="n">
        <v>45117</v>
      </c>
      <c r="C1853" s="1" t="n">
        <v>46093</v>
      </c>
      <c r="D1853" t="inlineStr">
        <is>
          <t>ÖSTERGÖTLANDS LÄN</t>
        </is>
      </c>
      <c r="E1853" t="inlineStr">
        <is>
          <t>LINKÖPING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41881-2023</t>
        </is>
      </c>
      <c r="B1854" s="1" t="n">
        <v>45176.67278935185</v>
      </c>
      <c r="C1854" s="1" t="n">
        <v>46093</v>
      </c>
      <c r="D1854" t="inlineStr">
        <is>
          <t>ÖSTERGÖTLANDS LÄN</t>
        </is>
      </c>
      <c r="E1854" t="inlineStr">
        <is>
          <t>VALDEMARSVIK</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32057-2022</t>
        </is>
      </c>
      <c r="B1855" s="1" t="n">
        <v>44778</v>
      </c>
      <c r="C1855" s="1" t="n">
        <v>46093</v>
      </c>
      <c r="D1855" t="inlineStr">
        <is>
          <t>ÖSTERGÖTLANDS LÄN</t>
        </is>
      </c>
      <c r="E1855" t="inlineStr">
        <is>
          <t>ÅTVIDABERG</t>
        </is>
      </c>
      <c r="G1855" t="n">
        <v>0.1</v>
      </c>
      <c r="H1855" t="n">
        <v>0</v>
      </c>
      <c r="I1855" t="n">
        <v>0</v>
      </c>
      <c r="J1855" t="n">
        <v>0</v>
      </c>
      <c r="K1855" t="n">
        <v>0</v>
      </c>
      <c r="L1855" t="n">
        <v>0</v>
      </c>
      <c r="M1855" t="n">
        <v>0</v>
      </c>
      <c r="N1855" t="n">
        <v>0</v>
      </c>
      <c r="O1855" t="n">
        <v>0</v>
      </c>
      <c r="P1855" t="n">
        <v>0</v>
      </c>
      <c r="Q1855" t="n">
        <v>0</v>
      </c>
      <c r="R1855" s="2" t="inlineStr"/>
      <c r="U1855">
        <f>HYPERLINK("https://klasma.github.io/Logging_0561/knärot/A 32057-2022 karta knärot.png", "A 32057-2022")</f>
        <v/>
      </c>
      <c r="V1855">
        <f>HYPERLINK("https://klasma.github.io/Logging_0561/klagomål/A 32057-2022 FSC-klagomål.docx", "A 32057-2022")</f>
        <v/>
      </c>
      <c r="W1855">
        <f>HYPERLINK("https://klasma.github.io/Logging_0561/klagomålsmail/A 32057-2022 FSC-klagomål mail.docx", "A 32057-2022")</f>
        <v/>
      </c>
      <c r="X1855">
        <f>HYPERLINK("https://klasma.github.io/Logging_0561/tillsyn/A 32057-2022 tillsynsbegäran.docx", "A 32057-2022")</f>
        <v/>
      </c>
      <c r="Y1855">
        <f>HYPERLINK("https://klasma.github.io/Logging_0561/tillsynsmail/A 32057-2022 tillsynsbegäran mail.docx", "A 32057-2022")</f>
        <v/>
      </c>
    </row>
    <row r="1856" ht="15" customHeight="1">
      <c r="A1856" t="inlineStr">
        <is>
          <t>A 32060-2022</t>
        </is>
      </c>
      <c r="B1856" s="1" t="n">
        <v>44778</v>
      </c>
      <c r="C1856" s="1" t="n">
        <v>46093</v>
      </c>
      <c r="D1856" t="inlineStr">
        <is>
          <t>ÖSTERGÖTLANDS LÄN</t>
        </is>
      </c>
      <c r="E1856" t="inlineStr">
        <is>
          <t>ÅTVIDABERG</t>
        </is>
      </c>
      <c r="G1856" t="n">
        <v>0.4</v>
      </c>
      <c r="H1856" t="n">
        <v>0</v>
      </c>
      <c r="I1856" t="n">
        <v>0</v>
      </c>
      <c r="J1856" t="n">
        <v>0</v>
      </c>
      <c r="K1856" t="n">
        <v>0</v>
      </c>
      <c r="L1856" t="n">
        <v>0</v>
      </c>
      <c r="M1856" t="n">
        <v>0</v>
      </c>
      <c r="N1856" t="n">
        <v>0</v>
      </c>
      <c r="O1856" t="n">
        <v>0</v>
      </c>
      <c r="P1856" t="n">
        <v>0</v>
      </c>
      <c r="Q1856" t="n">
        <v>0</v>
      </c>
      <c r="R1856" s="2" t="inlineStr"/>
      <c r="U1856">
        <f>HYPERLINK("https://klasma.github.io/Logging_0561/knärot/A 32060-2022 karta knärot.png", "A 32060-2022")</f>
        <v/>
      </c>
      <c r="V1856">
        <f>HYPERLINK("https://klasma.github.io/Logging_0561/klagomål/A 32060-2022 FSC-klagomål.docx", "A 32060-2022")</f>
        <v/>
      </c>
      <c r="W1856">
        <f>HYPERLINK("https://klasma.github.io/Logging_0561/klagomålsmail/A 32060-2022 FSC-klagomål mail.docx", "A 32060-2022")</f>
        <v/>
      </c>
      <c r="X1856">
        <f>HYPERLINK("https://klasma.github.io/Logging_0561/tillsyn/A 32060-2022 tillsynsbegäran.docx", "A 32060-2022")</f>
        <v/>
      </c>
      <c r="Y1856">
        <f>HYPERLINK("https://klasma.github.io/Logging_0561/tillsynsmail/A 32060-2022 tillsynsbegäran mail.docx", "A 32060-2022")</f>
        <v/>
      </c>
    </row>
    <row r="1857" ht="15" customHeight="1">
      <c r="A1857" t="inlineStr">
        <is>
          <t>A 15034-2024</t>
        </is>
      </c>
      <c r="B1857" s="1" t="n">
        <v>45399</v>
      </c>
      <c r="C1857" s="1" t="n">
        <v>46093</v>
      </c>
      <c r="D1857" t="inlineStr">
        <is>
          <t>ÖSTERGÖTLANDS LÄN</t>
        </is>
      </c>
      <c r="E1857" t="inlineStr">
        <is>
          <t>SÖDERKÖPING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39401-2021</t>
        </is>
      </c>
      <c r="B1858" s="1" t="n">
        <v>44414</v>
      </c>
      <c r="C1858" s="1" t="n">
        <v>46093</v>
      </c>
      <c r="D1858" t="inlineStr">
        <is>
          <t>ÖSTERGÖTLANDS LÄN</t>
        </is>
      </c>
      <c r="E1858" t="inlineStr">
        <is>
          <t>NORRKÖPING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16213-2025</t>
        </is>
      </c>
      <c r="B1859" s="1" t="n">
        <v>45750.62740740741</v>
      </c>
      <c r="C1859" s="1" t="n">
        <v>46093</v>
      </c>
      <c r="D1859" t="inlineStr">
        <is>
          <t>ÖSTERGÖTLANDS LÄN</t>
        </is>
      </c>
      <c r="E1859" t="inlineStr">
        <is>
          <t>LINKÖPING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1157-2024</t>
        </is>
      </c>
      <c r="B1860" s="1" t="n">
        <v>45302.51340277777</v>
      </c>
      <c r="C1860" s="1" t="n">
        <v>46093</v>
      </c>
      <c r="D1860" t="inlineStr">
        <is>
          <t>ÖSTERGÖTLANDS LÄN</t>
        </is>
      </c>
      <c r="E1860" t="inlineStr">
        <is>
          <t>KINDA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61254-2022</t>
        </is>
      </c>
      <c r="B1861" s="1" t="n">
        <v>44915.58520833333</v>
      </c>
      <c r="C1861" s="1" t="n">
        <v>46093</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13146-2024</t>
        </is>
      </c>
      <c r="B1862" s="1" t="n">
        <v>45386</v>
      </c>
      <c r="C1862" s="1" t="n">
        <v>46093</v>
      </c>
      <c r="D1862" t="inlineStr">
        <is>
          <t>ÖSTERGÖTLANDS LÄN</t>
        </is>
      </c>
      <c r="E1862" t="inlineStr">
        <is>
          <t>NORRKÖPING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52074-2023</t>
        </is>
      </c>
      <c r="B1863" s="1" t="n">
        <v>45216</v>
      </c>
      <c r="C1863" s="1" t="n">
        <v>46093</v>
      </c>
      <c r="D1863" t="inlineStr">
        <is>
          <t>ÖSTERGÖTLANDS LÄN</t>
        </is>
      </c>
      <c r="E1863" t="inlineStr">
        <is>
          <t>YDRE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52076-2023</t>
        </is>
      </c>
      <c r="B1864" s="1" t="n">
        <v>45216</v>
      </c>
      <c r="C1864" s="1" t="n">
        <v>46093</v>
      </c>
      <c r="D1864" t="inlineStr">
        <is>
          <t>ÖSTERGÖTLANDS LÄN</t>
        </is>
      </c>
      <c r="E1864" t="inlineStr">
        <is>
          <t>YDRE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38431-2025</t>
        </is>
      </c>
      <c r="B1865" s="1" t="n">
        <v>45883.63648148148</v>
      </c>
      <c r="C1865" s="1" t="n">
        <v>46093</v>
      </c>
      <c r="D1865" t="inlineStr">
        <is>
          <t>ÖSTERGÖTLANDS LÄN</t>
        </is>
      </c>
      <c r="E1865" t="inlineStr">
        <is>
          <t>NORRKÖPING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38480-2025</t>
        </is>
      </c>
      <c r="B1866" s="1" t="n">
        <v>45884.32354166666</v>
      </c>
      <c r="C1866" s="1" t="n">
        <v>46093</v>
      </c>
      <c r="D1866" t="inlineStr">
        <is>
          <t>ÖSTERGÖTLANDS LÄN</t>
        </is>
      </c>
      <c r="E1866" t="inlineStr">
        <is>
          <t>FINSPÅNG</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32296-2021</t>
        </is>
      </c>
      <c r="B1867" s="1" t="n">
        <v>44371</v>
      </c>
      <c r="C1867" s="1" t="n">
        <v>46093</v>
      </c>
      <c r="D1867" t="inlineStr">
        <is>
          <t>ÖSTERGÖTLANDS LÄN</t>
        </is>
      </c>
      <c r="E1867" t="inlineStr">
        <is>
          <t>ÅTVIDABERG</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34872-2023</t>
        </is>
      </c>
      <c r="B1868" s="1" t="n">
        <v>45140</v>
      </c>
      <c r="C1868" s="1" t="n">
        <v>46093</v>
      </c>
      <c r="D1868" t="inlineStr">
        <is>
          <t>ÖSTERGÖTLANDS LÄN</t>
        </is>
      </c>
      <c r="E1868" t="inlineStr">
        <is>
          <t>LINKÖPING</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14210-2023</t>
        </is>
      </c>
      <c r="B1869" s="1" t="n">
        <v>45009</v>
      </c>
      <c r="C1869" s="1" t="n">
        <v>46093</v>
      </c>
      <c r="D1869" t="inlineStr">
        <is>
          <t>ÖSTERGÖTLANDS LÄN</t>
        </is>
      </c>
      <c r="E1869" t="inlineStr">
        <is>
          <t>MJÖLBY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34977-2023</t>
        </is>
      </c>
      <c r="B1870" s="1" t="n">
        <v>45141</v>
      </c>
      <c r="C1870" s="1" t="n">
        <v>46093</v>
      </c>
      <c r="D1870" t="inlineStr">
        <is>
          <t>ÖSTERGÖTLANDS LÄN</t>
        </is>
      </c>
      <c r="E1870" t="inlineStr">
        <is>
          <t>NORRKÖPING</t>
        </is>
      </c>
      <c r="F1870" t="inlineStr">
        <is>
          <t>Allmännings- och besparingsskogar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39017-2021</t>
        </is>
      </c>
      <c r="B1871" s="1" t="n">
        <v>44412</v>
      </c>
      <c r="C1871" s="1" t="n">
        <v>46093</v>
      </c>
      <c r="D1871" t="inlineStr">
        <is>
          <t>ÖSTERGÖTLANDS LÄN</t>
        </is>
      </c>
      <c r="E1871" t="inlineStr">
        <is>
          <t>LINKÖPING</t>
        </is>
      </c>
      <c r="F1871" t="inlineStr">
        <is>
          <t>Övriga statliga verk och myndigheter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37806-2022</t>
        </is>
      </c>
      <c r="B1872" s="1" t="n">
        <v>44810</v>
      </c>
      <c r="C1872" s="1" t="n">
        <v>46093</v>
      </c>
      <c r="D1872" t="inlineStr">
        <is>
          <t>ÖSTERGÖTLANDS LÄN</t>
        </is>
      </c>
      <c r="E1872" t="inlineStr">
        <is>
          <t>MJÖLBY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62815-2021</t>
        </is>
      </c>
      <c r="B1873" s="1" t="n">
        <v>44504.50583333334</v>
      </c>
      <c r="C1873" s="1" t="n">
        <v>46093</v>
      </c>
      <c r="D1873" t="inlineStr">
        <is>
          <t>ÖSTERGÖTLANDS LÄN</t>
        </is>
      </c>
      <c r="E1873" t="inlineStr">
        <is>
          <t>YDRE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33000-2023</t>
        </is>
      </c>
      <c r="B1874" s="1" t="n">
        <v>45125</v>
      </c>
      <c r="C1874" s="1" t="n">
        <v>46093</v>
      </c>
      <c r="D1874" t="inlineStr">
        <is>
          <t>ÖSTERGÖTLANDS LÄN</t>
        </is>
      </c>
      <c r="E1874" t="inlineStr">
        <is>
          <t>LINKÖPING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926-2024</t>
        </is>
      </c>
      <c r="B1875" s="1" t="n">
        <v>45301</v>
      </c>
      <c r="C1875" s="1" t="n">
        <v>46093</v>
      </c>
      <c r="D1875" t="inlineStr">
        <is>
          <t>ÖSTERGÖTLANDS LÄN</t>
        </is>
      </c>
      <c r="E1875" t="inlineStr">
        <is>
          <t>ÅTVIDABERG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933-2024</t>
        </is>
      </c>
      <c r="B1876" s="1" t="n">
        <v>45301.51200231481</v>
      </c>
      <c r="C1876" s="1" t="n">
        <v>46093</v>
      </c>
      <c r="D1876" t="inlineStr">
        <is>
          <t>ÖSTERGÖTLANDS LÄN</t>
        </is>
      </c>
      <c r="E1876" t="inlineStr">
        <is>
          <t>BOXHOLM</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19937-2024</t>
        </is>
      </c>
      <c r="B1877" s="1" t="n">
        <v>45433.60840277778</v>
      </c>
      <c r="C1877" s="1" t="n">
        <v>46093</v>
      </c>
      <c r="D1877" t="inlineStr">
        <is>
          <t>ÖSTERGÖTLANDS LÄN</t>
        </is>
      </c>
      <c r="E1877" t="inlineStr">
        <is>
          <t>VALDEMARSVIK</t>
        </is>
      </c>
      <c r="G1877" t="n">
        <v>11.9</v>
      </c>
      <c r="H1877" t="n">
        <v>0</v>
      </c>
      <c r="I1877" t="n">
        <v>0</v>
      </c>
      <c r="J1877" t="n">
        <v>0</v>
      </c>
      <c r="K1877" t="n">
        <v>0</v>
      </c>
      <c r="L1877" t="n">
        <v>0</v>
      </c>
      <c r="M1877" t="n">
        <v>0</v>
      </c>
      <c r="N1877" t="n">
        <v>0</v>
      </c>
      <c r="O1877" t="n">
        <v>0</v>
      </c>
      <c r="P1877" t="n">
        <v>0</v>
      </c>
      <c r="Q1877" t="n">
        <v>0</v>
      </c>
      <c r="R1877" s="2" t="inlineStr"/>
    </row>
    <row r="1878" ht="15" customHeight="1">
      <c r="A1878" t="inlineStr">
        <is>
          <t>A 21907-2023</t>
        </is>
      </c>
      <c r="B1878" s="1" t="n">
        <v>45068.539375</v>
      </c>
      <c r="C1878" s="1" t="n">
        <v>46093</v>
      </c>
      <c r="D1878" t="inlineStr">
        <is>
          <t>ÖSTERGÖTLANDS LÄN</t>
        </is>
      </c>
      <c r="E1878" t="inlineStr">
        <is>
          <t>FINSPÅNG</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16816-2025</t>
        </is>
      </c>
      <c r="B1879" s="1" t="n">
        <v>45754.63559027778</v>
      </c>
      <c r="C1879" s="1" t="n">
        <v>46093</v>
      </c>
      <c r="D1879" t="inlineStr">
        <is>
          <t>ÖSTERGÖTLANDS LÄN</t>
        </is>
      </c>
      <c r="E1879" t="inlineStr">
        <is>
          <t>FINSPÅNG</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51877-2021</t>
        </is>
      </c>
      <c r="B1880" s="1" t="n">
        <v>44462</v>
      </c>
      <c r="C1880" s="1" t="n">
        <v>46093</v>
      </c>
      <c r="D1880" t="inlineStr">
        <is>
          <t>ÖSTERGÖTLANDS LÄN</t>
        </is>
      </c>
      <c r="E1880" t="inlineStr">
        <is>
          <t>NORRKÖPING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29519-2023</t>
        </is>
      </c>
      <c r="B1881" s="1" t="n">
        <v>45106.62018518519</v>
      </c>
      <c r="C1881" s="1" t="n">
        <v>46093</v>
      </c>
      <c r="D1881" t="inlineStr">
        <is>
          <t>ÖSTERGÖTLANDS LÄN</t>
        </is>
      </c>
      <c r="E1881" t="inlineStr">
        <is>
          <t>SÖDERKÖPING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42700-2024</t>
        </is>
      </c>
      <c r="B1882" s="1" t="n">
        <v>45566</v>
      </c>
      <c r="C1882" s="1" t="n">
        <v>46093</v>
      </c>
      <c r="D1882" t="inlineStr">
        <is>
          <t>ÖSTERGÖTLANDS LÄN</t>
        </is>
      </c>
      <c r="E1882" t="inlineStr">
        <is>
          <t>FINSPÅNG</t>
        </is>
      </c>
      <c r="F1882" t="inlineStr">
        <is>
          <t>Holmen skog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13419-2025</t>
        </is>
      </c>
      <c r="B1883" s="1" t="n">
        <v>45736.31508101852</v>
      </c>
      <c r="C1883" s="1" t="n">
        <v>46093</v>
      </c>
      <c r="D1883" t="inlineStr">
        <is>
          <t>ÖSTERGÖTLANDS LÄN</t>
        </is>
      </c>
      <c r="E1883" t="inlineStr">
        <is>
          <t>NORRKÖPING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33800-2023</t>
        </is>
      </c>
      <c r="B1884" s="1" t="n">
        <v>45121</v>
      </c>
      <c r="C1884" s="1" t="n">
        <v>46093</v>
      </c>
      <c r="D1884" t="inlineStr">
        <is>
          <t>ÖSTERGÖTLANDS LÄN</t>
        </is>
      </c>
      <c r="E1884" t="inlineStr">
        <is>
          <t>LINKÖPING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47991-2023</t>
        </is>
      </c>
      <c r="B1885" s="1" t="n">
        <v>45204.62655092592</v>
      </c>
      <c r="C1885" s="1" t="n">
        <v>46093</v>
      </c>
      <c r="D1885" t="inlineStr">
        <is>
          <t>ÖSTERGÖTLANDS LÄN</t>
        </is>
      </c>
      <c r="E1885" t="inlineStr">
        <is>
          <t>LINKÖPING</t>
        </is>
      </c>
      <c r="F1885" t="inlineStr">
        <is>
          <t>Allmännings- och besparingsskogar</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4640-2024</t>
        </is>
      </c>
      <c r="B1886" s="1" t="n">
        <v>45328</v>
      </c>
      <c r="C1886" s="1" t="n">
        <v>46093</v>
      </c>
      <c r="D1886" t="inlineStr">
        <is>
          <t>ÖSTERGÖTLANDS LÄN</t>
        </is>
      </c>
      <c r="E1886" t="inlineStr">
        <is>
          <t>ÖDESHÖG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2886-2024</t>
        </is>
      </c>
      <c r="B1887" s="1" t="n">
        <v>45315.48575231482</v>
      </c>
      <c r="C1887" s="1" t="n">
        <v>46093</v>
      </c>
      <c r="D1887" t="inlineStr">
        <is>
          <t>ÖSTERGÖTLANDS LÄN</t>
        </is>
      </c>
      <c r="E1887" t="inlineStr">
        <is>
          <t>FINSPÅNG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4678-2024</t>
        </is>
      </c>
      <c r="B1888" s="1" t="n">
        <v>45328</v>
      </c>
      <c r="C1888" s="1" t="n">
        <v>46093</v>
      </c>
      <c r="D1888" t="inlineStr">
        <is>
          <t>ÖSTERGÖTLANDS LÄN</t>
        </is>
      </c>
      <c r="E1888" t="inlineStr">
        <is>
          <t>ÖDESHÖG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2967-2024</t>
        </is>
      </c>
      <c r="B1889" s="1" t="n">
        <v>45315.66689814815</v>
      </c>
      <c r="C1889" s="1" t="n">
        <v>46093</v>
      </c>
      <c r="D1889" t="inlineStr">
        <is>
          <t>ÖSTERGÖTLANDS LÄN</t>
        </is>
      </c>
      <c r="E1889" t="inlineStr">
        <is>
          <t>KINDA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45194-2021</t>
        </is>
      </c>
      <c r="B1890" s="1" t="n">
        <v>44439</v>
      </c>
      <c r="C1890" s="1" t="n">
        <v>46093</v>
      </c>
      <c r="D1890" t="inlineStr">
        <is>
          <t>ÖSTERGÖTLANDS LÄN</t>
        </is>
      </c>
      <c r="E1890" t="inlineStr">
        <is>
          <t>YDRE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61281-2021</t>
        </is>
      </c>
      <c r="B1891" s="1" t="n">
        <v>44498.60736111111</v>
      </c>
      <c r="C1891" s="1" t="n">
        <v>46093</v>
      </c>
      <c r="D1891" t="inlineStr">
        <is>
          <t>ÖSTERGÖTLANDS LÄN</t>
        </is>
      </c>
      <c r="E1891" t="inlineStr">
        <is>
          <t>LINKÖPING</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37567-2023</t>
        </is>
      </c>
      <c r="B1892" s="1" t="n">
        <v>45159.37253472222</v>
      </c>
      <c r="C1892" s="1" t="n">
        <v>46093</v>
      </c>
      <c r="D1892" t="inlineStr">
        <is>
          <t>ÖSTERGÖTLANDS LÄN</t>
        </is>
      </c>
      <c r="E1892" t="inlineStr">
        <is>
          <t>YDRE</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51047-2022</t>
        </is>
      </c>
      <c r="B1893" s="1" t="n">
        <v>44868</v>
      </c>
      <c r="C1893" s="1" t="n">
        <v>46093</v>
      </c>
      <c r="D1893" t="inlineStr">
        <is>
          <t>ÖSTERGÖTLANDS LÄN</t>
        </is>
      </c>
      <c r="E1893" t="inlineStr">
        <is>
          <t>KINDA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39837-2023</t>
        </is>
      </c>
      <c r="B1894" s="1" t="n">
        <v>45168</v>
      </c>
      <c r="C1894" s="1" t="n">
        <v>46093</v>
      </c>
      <c r="D1894" t="inlineStr">
        <is>
          <t>ÖSTERGÖTLANDS LÄN</t>
        </is>
      </c>
      <c r="E1894" t="inlineStr">
        <is>
          <t>ÅTVIDABERG</t>
        </is>
      </c>
      <c r="F1894" t="inlineStr">
        <is>
          <t>Kyrkan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16820-2024</t>
        </is>
      </c>
      <c r="B1895" s="1" t="n">
        <v>45411.46809027778</v>
      </c>
      <c r="C1895" s="1" t="n">
        <v>46093</v>
      </c>
      <c r="D1895" t="inlineStr">
        <is>
          <t>ÖSTERGÖTLANDS LÄN</t>
        </is>
      </c>
      <c r="E1895" t="inlineStr">
        <is>
          <t>LINKÖPING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63935-2021</t>
        </is>
      </c>
      <c r="B1896" s="1" t="n">
        <v>44509</v>
      </c>
      <c r="C1896" s="1" t="n">
        <v>46093</v>
      </c>
      <c r="D1896" t="inlineStr">
        <is>
          <t>ÖSTERGÖTLANDS LÄN</t>
        </is>
      </c>
      <c r="E1896" t="inlineStr">
        <is>
          <t>LINKÖPING</t>
        </is>
      </c>
      <c r="F1896" t="inlineStr">
        <is>
          <t>Övriga statliga verk och myndigheter</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13381-2024</t>
        </is>
      </c>
      <c r="B1897" s="1" t="n">
        <v>45387.38473379629</v>
      </c>
      <c r="C1897" s="1" t="n">
        <v>46093</v>
      </c>
      <c r="D1897" t="inlineStr">
        <is>
          <t>ÖSTERGÖTLANDS LÄN</t>
        </is>
      </c>
      <c r="E1897" t="inlineStr">
        <is>
          <t>MOTALA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47510-2022</t>
        </is>
      </c>
      <c r="B1898" s="1" t="n">
        <v>44853</v>
      </c>
      <c r="C1898" s="1" t="n">
        <v>46093</v>
      </c>
      <c r="D1898" t="inlineStr">
        <is>
          <t>ÖSTERGÖTLANDS LÄN</t>
        </is>
      </c>
      <c r="E1898" t="inlineStr">
        <is>
          <t>MOTALA</t>
        </is>
      </c>
      <c r="F1898" t="inlineStr">
        <is>
          <t>Övriga statliga verk och myndigheter</t>
        </is>
      </c>
      <c r="G1898" t="n">
        <v>11.3</v>
      </c>
      <c r="H1898" t="n">
        <v>0</v>
      </c>
      <c r="I1898" t="n">
        <v>0</v>
      </c>
      <c r="J1898" t="n">
        <v>0</v>
      </c>
      <c r="K1898" t="n">
        <v>0</v>
      </c>
      <c r="L1898" t="n">
        <v>0</v>
      </c>
      <c r="M1898" t="n">
        <v>0</v>
      </c>
      <c r="N1898" t="n">
        <v>0</v>
      </c>
      <c r="O1898" t="n">
        <v>0</v>
      </c>
      <c r="P1898" t="n">
        <v>0</v>
      </c>
      <c r="Q1898" t="n">
        <v>0</v>
      </c>
      <c r="R1898" s="2" t="inlineStr"/>
    </row>
    <row r="1899" ht="15" customHeight="1">
      <c r="A1899" t="inlineStr">
        <is>
          <t>A 43056-2022</t>
        </is>
      </c>
      <c r="B1899" s="1" t="n">
        <v>44833.62520833333</v>
      </c>
      <c r="C1899" s="1" t="n">
        <v>46093</v>
      </c>
      <c r="D1899" t="inlineStr">
        <is>
          <t>ÖSTERGÖTLANDS LÄN</t>
        </is>
      </c>
      <c r="E1899" t="inlineStr">
        <is>
          <t>ÅTVIDABERG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51545-2023</t>
        </is>
      </c>
      <c r="B1900" s="1" t="n">
        <v>45222.4180787037</v>
      </c>
      <c r="C1900" s="1" t="n">
        <v>46093</v>
      </c>
      <c r="D1900" t="inlineStr">
        <is>
          <t>ÖSTERGÖTLANDS LÄN</t>
        </is>
      </c>
      <c r="E1900" t="inlineStr">
        <is>
          <t>BOXHOLM</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36734-2022</t>
        </is>
      </c>
      <c r="B1901" s="1" t="n">
        <v>44805</v>
      </c>
      <c r="C1901" s="1" t="n">
        <v>46093</v>
      </c>
      <c r="D1901" t="inlineStr">
        <is>
          <t>ÖSTERGÖTLANDS LÄN</t>
        </is>
      </c>
      <c r="E1901" t="inlineStr">
        <is>
          <t>SÖDERKÖPING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36192-2023</t>
        </is>
      </c>
      <c r="B1902" s="1" t="n">
        <v>45149</v>
      </c>
      <c r="C1902" s="1" t="n">
        <v>46093</v>
      </c>
      <c r="D1902" t="inlineStr">
        <is>
          <t>ÖSTERGÖTLANDS LÄN</t>
        </is>
      </c>
      <c r="E1902" t="inlineStr">
        <is>
          <t>FINSPÅNG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35095-2023</t>
        </is>
      </c>
      <c r="B1903" s="1" t="n">
        <v>45145.45221064815</v>
      </c>
      <c r="C1903" s="1" t="n">
        <v>46093</v>
      </c>
      <c r="D1903" t="inlineStr">
        <is>
          <t>ÖSTERGÖTLANDS LÄN</t>
        </is>
      </c>
      <c r="E1903" t="inlineStr">
        <is>
          <t>ÖDESHÖG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44819-2022</t>
        </is>
      </c>
      <c r="B1904" s="1" t="n">
        <v>44841</v>
      </c>
      <c r="C1904" s="1" t="n">
        <v>46093</v>
      </c>
      <c r="D1904" t="inlineStr">
        <is>
          <t>ÖSTERGÖTLANDS LÄN</t>
        </is>
      </c>
      <c r="E1904" t="inlineStr">
        <is>
          <t>ÅTVIDABERG</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11273-2024</t>
        </is>
      </c>
      <c r="B1905" s="1" t="n">
        <v>45371</v>
      </c>
      <c r="C1905" s="1" t="n">
        <v>46093</v>
      </c>
      <c r="D1905" t="inlineStr">
        <is>
          <t>ÖSTERGÖTLANDS LÄN</t>
        </is>
      </c>
      <c r="E1905" t="inlineStr">
        <is>
          <t>YDRE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20831-2025</t>
        </is>
      </c>
      <c r="B1906" s="1" t="n">
        <v>45776.7610300926</v>
      </c>
      <c r="C1906" s="1" t="n">
        <v>46093</v>
      </c>
      <c r="D1906" t="inlineStr">
        <is>
          <t>ÖSTERGÖTLANDS LÄN</t>
        </is>
      </c>
      <c r="E1906" t="inlineStr">
        <is>
          <t>FINSPÅNG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34871-2025</t>
        </is>
      </c>
      <c r="B1907" s="1" t="n">
        <v>45849</v>
      </c>
      <c r="C1907" s="1" t="n">
        <v>46093</v>
      </c>
      <c r="D1907" t="inlineStr">
        <is>
          <t>ÖSTERGÖTLANDS LÄN</t>
        </is>
      </c>
      <c r="E1907" t="inlineStr">
        <is>
          <t>SÖDERKÖPING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25292-2021</t>
        </is>
      </c>
      <c r="B1908" s="1" t="n">
        <v>44342</v>
      </c>
      <c r="C1908" s="1" t="n">
        <v>46093</v>
      </c>
      <c r="D1908" t="inlineStr">
        <is>
          <t>ÖSTERGÖTLANDS LÄN</t>
        </is>
      </c>
      <c r="E1908" t="inlineStr">
        <is>
          <t>LINKÖPING</t>
        </is>
      </c>
      <c r="F1908" t="inlineStr">
        <is>
          <t>Övriga Aktiebolag</t>
        </is>
      </c>
      <c r="G1908" t="n">
        <v>12.8</v>
      </c>
      <c r="H1908" t="n">
        <v>0</v>
      </c>
      <c r="I1908" t="n">
        <v>0</v>
      </c>
      <c r="J1908" t="n">
        <v>0</v>
      </c>
      <c r="K1908" t="n">
        <v>0</v>
      </c>
      <c r="L1908" t="n">
        <v>0</v>
      </c>
      <c r="M1908" t="n">
        <v>0</v>
      </c>
      <c r="N1908" t="n">
        <v>0</v>
      </c>
      <c r="O1908" t="n">
        <v>0</v>
      </c>
      <c r="P1908" t="n">
        <v>0</v>
      </c>
      <c r="Q1908" t="n">
        <v>0</v>
      </c>
      <c r="R1908" s="2" t="inlineStr"/>
    </row>
    <row r="1909" ht="15" customHeight="1">
      <c r="A1909" t="inlineStr">
        <is>
          <t>A 38368-2025</t>
        </is>
      </c>
      <c r="B1909" s="1" t="n">
        <v>45883.55503472222</v>
      </c>
      <c r="C1909" s="1" t="n">
        <v>46093</v>
      </c>
      <c r="D1909" t="inlineStr">
        <is>
          <t>ÖSTERGÖTLANDS LÄN</t>
        </is>
      </c>
      <c r="E1909" t="inlineStr">
        <is>
          <t>FINSPÅNG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35148-2023</t>
        </is>
      </c>
      <c r="B1910" s="1" t="n">
        <v>45145</v>
      </c>
      <c r="C1910" s="1" t="n">
        <v>46093</v>
      </c>
      <c r="D1910" t="inlineStr">
        <is>
          <t>ÖSTERGÖTLANDS LÄN</t>
        </is>
      </c>
      <c r="E1910" t="inlineStr">
        <is>
          <t>NORRKÖPING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10324-2023</t>
        </is>
      </c>
      <c r="B1911" s="1" t="n">
        <v>44987.29300925926</v>
      </c>
      <c r="C1911" s="1" t="n">
        <v>46093</v>
      </c>
      <c r="D1911" t="inlineStr">
        <is>
          <t>ÖSTERGÖTLANDS LÄN</t>
        </is>
      </c>
      <c r="E1911" t="inlineStr">
        <is>
          <t>MOTALA</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15190-2024</t>
        </is>
      </c>
      <c r="B1912" s="1" t="n">
        <v>45400</v>
      </c>
      <c r="C1912" s="1" t="n">
        <v>46093</v>
      </c>
      <c r="D1912" t="inlineStr">
        <is>
          <t>ÖSTERGÖTLANDS LÄN</t>
        </is>
      </c>
      <c r="E1912" t="inlineStr">
        <is>
          <t>NORRKÖPING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43773-2021</t>
        </is>
      </c>
      <c r="B1913" s="1" t="n">
        <v>44433</v>
      </c>
      <c r="C1913" s="1" t="n">
        <v>46093</v>
      </c>
      <c r="D1913" t="inlineStr">
        <is>
          <t>ÖSTERGÖTLANDS LÄN</t>
        </is>
      </c>
      <c r="E1913" t="inlineStr">
        <is>
          <t>NORRKÖPING</t>
        </is>
      </c>
      <c r="F1913" t="inlineStr">
        <is>
          <t>Holmen skog AB</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21716-2024</t>
        </is>
      </c>
      <c r="B1914" s="1" t="n">
        <v>45442.48741898148</v>
      </c>
      <c r="C1914" s="1" t="n">
        <v>46093</v>
      </c>
      <c r="D1914" t="inlineStr">
        <is>
          <t>ÖSTERGÖTLANDS LÄN</t>
        </is>
      </c>
      <c r="E1914" t="inlineStr">
        <is>
          <t>KINDA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21719-2024</t>
        </is>
      </c>
      <c r="B1915" s="1" t="n">
        <v>45442</v>
      </c>
      <c r="C1915" s="1" t="n">
        <v>46093</v>
      </c>
      <c r="D1915" t="inlineStr">
        <is>
          <t>ÖSTERGÖTLANDS LÄN</t>
        </is>
      </c>
      <c r="E1915" t="inlineStr">
        <is>
          <t>FINSPÅNG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15194-2024</t>
        </is>
      </c>
      <c r="B1916" s="1" t="n">
        <v>45400</v>
      </c>
      <c r="C1916" s="1" t="n">
        <v>46093</v>
      </c>
      <c r="D1916" t="inlineStr">
        <is>
          <t>ÖSTERGÖTLANDS LÄN</t>
        </is>
      </c>
      <c r="E1916" t="inlineStr">
        <is>
          <t>ÅTVIDABERG</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14417-2024</t>
        </is>
      </c>
      <c r="B1917" s="1" t="n">
        <v>45394.42204861111</v>
      </c>
      <c r="C1917" s="1" t="n">
        <v>46093</v>
      </c>
      <c r="D1917" t="inlineStr">
        <is>
          <t>ÖSTERGÖTLANDS LÄN</t>
        </is>
      </c>
      <c r="E1917" t="inlineStr">
        <is>
          <t>VALDEMARSVIK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38383-2025</t>
        </is>
      </c>
      <c r="B1918" s="1" t="n">
        <v>45883.5738425926</v>
      </c>
      <c r="C1918" s="1" t="n">
        <v>46093</v>
      </c>
      <c r="D1918" t="inlineStr">
        <is>
          <t>ÖSTERGÖTLANDS LÄN</t>
        </is>
      </c>
      <c r="E1918" t="inlineStr">
        <is>
          <t>NORRKÖPING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38411-2025</t>
        </is>
      </c>
      <c r="B1919" s="1" t="n">
        <v>45883.59934027777</v>
      </c>
      <c r="C1919" s="1" t="n">
        <v>46093</v>
      </c>
      <c r="D1919" t="inlineStr">
        <is>
          <t>ÖSTERGÖTLANDS LÄN</t>
        </is>
      </c>
      <c r="E1919" t="inlineStr">
        <is>
          <t>NORRKÖPING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34971-2025</t>
        </is>
      </c>
      <c r="B1920" s="1" t="n">
        <v>45849</v>
      </c>
      <c r="C1920" s="1" t="n">
        <v>46093</v>
      </c>
      <c r="D1920" t="inlineStr">
        <is>
          <t>ÖSTERGÖTLANDS LÄN</t>
        </is>
      </c>
      <c r="E1920" t="inlineStr">
        <is>
          <t>SÖDERKÖPING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34982-2025</t>
        </is>
      </c>
      <c r="B1921" s="1" t="n">
        <v>45849.70490740741</v>
      </c>
      <c r="C1921" s="1" t="n">
        <v>46093</v>
      </c>
      <c r="D1921" t="inlineStr">
        <is>
          <t>ÖSTERGÖTLANDS LÄN</t>
        </is>
      </c>
      <c r="E1921" t="inlineStr">
        <is>
          <t>SÖDERKÖPING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30895-2022</t>
        </is>
      </c>
      <c r="B1922" s="1" t="n">
        <v>44767.63790509259</v>
      </c>
      <c r="C1922" s="1" t="n">
        <v>46093</v>
      </c>
      <c r="D1922" t="inlineStr">
        <is>
          <t>ÖSTERGÖTLANDS LÄN</t>
        </is>
      </c>
      <c r="E1922" t="inlineStr">
        <is>
          <t>ÅTVIDABERG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30921-2022</t>
        </is>
      </c>
      <c r="B1923" s="1" t="n">
        <v>44767.83413194444</v>
      </c>
      <c r="C1923" s="1" t="n">
        <v>46093</v>
      </c>
      <c r="D1923" t="inlineStr">
        <is>
          <t>ÖSTERGÖTLANDS LÄN</t>
        </is>
      </c>
      <c r="E1923" t="inlineStr">
        <is>
          <t>FINSPÅNG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30980-2022</t>
        </is>
      </c>
      <c r="B1924" s="1" t="n">
        <v>44768</v>
      </c>
      <c r="C1924" s="1" t="n">
        <v>46093</v>
      </c>
      <c r="D1924" t="inlineStr">
        <is>
          <t>ÖSTERGÖTLANDS LÄN</t>
        </is>
      </c>
      <c r="E1924" t="inlineStr">
        <is>
          <t>LINKÖPING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3329-2024</t>
        </is>
      </c>
      <c r="B1925" s="1" t="n">
        <v>45317</v>
      </c>
      <c r="C1925" s="1" t="n">
        <v>46093</v>
      </c>
      <c r="D1925" t="inlineStr">
        <is>
          <t>ÖSTERGÖTLANDS LÄN</t>
        </is>
      </c>
      <c r="E1925" t="inlineStr">
        <is>
          <t>NORRKÖPING</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2997-2025</t>
        </is>
      </c>
      <c r="B1926" s="1" t="n">
        <v>45678.54631944445</v>
      </c>
      <c r="C1926" s="1" t="n">
        <v>46093</v>
      </c>
      <c r="D1926" t="inlineStr">
        <is>
          <t>ÖSTERGÖTLANDS LÄN</t>
        </is>
      </c>
      <c r="E1926" t="inlineStr">
        <is>
          <t>LINKÖPING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31534-2023</t>
        </is>
      </c>
      <c r="B1927" s="1" t="n">
        <v>45116</v>
      </c>
      <c r="C1927" s="1" t="n">
        <v>46093</v>
      </c>
      <c r="D1927" t="inlineStr">
        <is>
          <t>ÖSTERGÖTLANDS LÄN</t>
        </is>
      </c>
      <c r="E1927" t="inlineStr">
        <is>
          <t>LINKÖPING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33718-2022</t>
        </is>
      </c>
      <c r="B1928" s="1" t="n">
        <v>44789</v>
      </c>
      <c r="C1928" s="1" t="n">
        <v>46093</v>
      </c>
      <c r="D1928" t="inlineStr">
        <is>
          <t>ÖSTERGÖTLANDS LÄN</t>
        </is>
      </c>
      <c r="E1928" t="inlineStr">
        <is>
          <t>ÅTVIDABERG</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1749-2025</t>
        </is>
      </c>
      <c r="B1929" s="1" t="n">
        <v>45671.40879629629</v>
      </c>
      <c r="C1929" s="1" t="n">
        <v>46093</v>
      </c>
      <c r="D1929" t="inlineStr">
        <is>
          <t>ÖSTERGÖTLANDS LÄN</t>
        </is>
      </c>
      <c r="E1929" t="inlineStr">
        <is>
          <t>ÖDESHÖG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4328-2025</t>
        </is>
      </c>
      <c r="B1930" s="1" t="n">
        <v>45685</v>
      </c>
      <c r="C1930" s="1" t="n">
        <v>46093</v>
      </c>
      <c r="D1930" t="inlineStr">
        <is>
          <t>ÖSTERGÖTLANDS LÄN</t>
        </is>
      </c>
      <c r="E1930" t="inlineStr">
        <is>
          <t>SÖDERKÖPING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1854-2025</t>
        </is>
      </c>
      <c r="B1931" s="1" t="n">
        <v>45671.59245370371</v>
      </c>
      <c r="C1931" s="1" t="n">
        <v>46093</v>
      </c>
      <c r="D1931" t="inlineStr">
        <is>
          <t>ÖSTERGÖTLANDS LÄN</t>
        </is>
      </c>
      <c r="E1931" t="inlineStr">
        <is>
          <t>NORRKÖPING</t>
        </is>
      </c>
      <c r="F1931" t="inlineStr">
        <is>
          <t>Allmännings- och besparingsskogar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54581-2024</t>
        </is>
      </c>
      <c r="B1932" s="1" t="n">
        <v>45617.65668981482</v>
      </c>
      <c r="C1932" s="1" t="n">
        <v>46093</v>
      </c>
      <c r="D1932" t="inlineStr">
        <is>
          <t>ÖSTERGÖTLANDS LÄN</t>
        </is>
      </c>
      <c r="E1932" t="inlineStr">
        <is>
          <t>FINSPÅNG</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38440-2025</t>
        </is>
      </c>
      <c r="B1933" s="1" t="n">
        <v>45883.64872685185</v>
      </c>
      <c r="C1933" s="1" t="n">
        <v>46093</v>
      </c>
      <c r="D1933" t="inlineStr">
        <is>
          <t>ÖSTERGÖTLANDS LÄN</t>
        </is>
      </c>
      <c r="E1933" t="inlineStr">
        <is>
          <t>FINSPÅNG</t>
        </is>
      </c>
      <c r="F1933" t="inlineStr">
        <is>
          <t>Holmen skog AB</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11473-2025</t>
        </is>
      </c>
      <c r="B1934" s="1" t="n">
        <v>45726.66458333333</v>
      </c>
      <c r="C1934" s="1" t="n">
        <v>46093</v>
      </c>
      <c r="D1934" t="inlineStr">
        <is>
          <t>ÖSTERGÖTLANDS LÄN</t>
        </is>
      </c>
      <c r="E1934" t="inlineStr">
        <is>
          <t>MOTALA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1131-2024</t>
        </is>
      </c>
      <c r="B1935" s="1" t="n">
        <v>45302.47346064815</v>
      </c>
      <c r="C1935" s="1" t="n">
        <v>46093</v>
      </c>
      <c r="D1935" t="inlineStr">
        <is>
          <t>ÖSTERGÖTLANDS LÄN</t>
        </is>
      </c>
      <c r="E1935" t="inlineStr">
        <is>
          <t>FINSPÅNG</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14184-2022</t>
        </is>
      </c>
      <c r="B1936" s="1" t="n">
        <v>44651</v>
      </c>
      <c r="C1936" s="1" t="n">
        <v>46093</v>
      </c>
      <c r="D1936" t="inlineStr">
        <is>
          <t>ÖSTERGÖTLANDS LÄN</t>
        </is>
      </c>
      <c r="E1936" t="inlineStr">
        <is>
          <t>YDRE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9528-2024</t>
        </is>
      </c>
      <c r="B1937" s="1" t="n">
        <v>45359.68173611111</v>
      </c>
      <c r="C1937" s="1" t="n">
        <v>46093</v>
      </c>
      <c r="D1937" t="inlineStr">
        <is>
          <t>ÖSTERGÖTLANDS LÄN</t>
        </is>
      </c>
      <c r="E1937" t="inlineStr">
        <is>
          <t>NORRKÖPING</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9577-2024</t>
        </is>
      </c>
      <c r="B1938" s="1" t="n">
        <v>45360.4172337963</v>
      </c>
      <c r="C1938" s="1" t="n">
        <v>46093</v>
      </c>
      <c r="D1938" t="inlineStr">
        <is>
          <t>ÖSTERGÖTLANDS LÄN</t>
        </is>
      </c>
      <c r="E1938" t="inlineStr">
        <is>
          <t>KINDA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10184-2023</t>
        </is>
      </c>
      <c r="B1939" s="1" t="n">
        <v>44986</v>
      </c>
      <c r="C1939" s="1" t="n">
        <v>46093</v>
      </c>
      <c r="D1939" t="inlineStr">
        <is>
          <t>ÖSTERGÖTLANDS LÄN</t>
        </is>
      </c>
      <c r="E1939" t="inlineStr">
        <is>
          <t>FINSPÅNG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32742-2023</t>
        </is>
      </c>
      <c r="B1940" s="1" t="n">
        <v>45122.39309027778</v>
      </c>
      <c r="C1940" s="1" t="n">
        <v>46093</v>
      </c>
      <c r="D1940" t="inlineStr">
        <is>
          <t>ÖSTERGÖTLANDS LÄN</t>
        </is>
      </c>
      <c r="E1940" t="inlineStr">
        <is>
          <t>ÅTVIDABERG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4914-2023</t>
        </is>
      </c>
      <c r="B1941" s="1" t="n">
        <v>44958.38997685185</v>
      </c>
      <c r="C1941" s="1" t="n">
        <v>46093</v>
      </c>
      <c r="D1941" t="inlineStr">
        <is>
          <t>ÖSTERGÖTLANDS LÄN</t>
        </is>
      </c>
      <c r="E1941" t="inlineStr">
        <is>
          <t>KINDA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32764-2023</t>
        </is>
      </c>
      <c r="B1942" s="1" t="n">
        <v>45123.60599537037</v>
      </c>
      <c r="C1942" s="1" t="n">
        <v>46093</v>
      </c>
      <c r="D1942" t="inlineStr">
        <is>
          <t>ÖSTERGÖTLANDS LÄN</t>
        </is>
      </c>
      <c r="E1942" t="inlineStr">
        <is>
          <t>KINDA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62485-2021</t>
        </is>
      </c>
      <c r="B1943" s="1" t="n">
        <v>44503.56642361111</v>
      </c>
      <c r="C1943" s="1" t="n">
        <v>46093</v>
      </c>
      <c r="D1943" t="inlineStr">
        <is>
          <t>ÖSTERGÖTLANDS LÄN</t>
        </is>
      </c>
      <c r="E1943" t="inlineStr">
        <is>
          <t>YDRE</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34973-2025</t>
        </is>
      </c>
      <c r="B1944" s="1" t="n">
        <v>45849</v>
      </c>
      <c r="C1944" s="1" t="n">
        <v>46093</v>
      </c>
      <c r="D1944" t="inlineStr">
        <is>
          <t>ÖSTERGÖTLANDS LÄN</t>
        </is>
      </c>
      <c r="E1944" t="inlineStr">
        <is>
          <t>SÖDERKÖPING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38533-2025</t>
        </is>
      </c>
      <c r="B1945" s="1" t="n">
        <v>45884.4155787037</v>
      </c>
      <c r="C1945" s="1" t="n">
        <v>46093</v>
      </c>
      <c r="D1945" t="inlineStr">
        <is>
          <t>ÖSTERGÖTLANDS LÄN</t>
        </is>
      </c>
      <c r="E1945" t="inlineStr">
        <is>
          <t>SÖDERKÖPING</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18005-2023</t>
        </is>
      </c>
      <c r="B1946" s="1" t="n">
        <v>45040.55717592593</v>
      </c>
      <c r="C1946" s="1" t="n">
        <v>46093</v>
      </c>
      <c r="D1946" t="inlineStr">
        <is>
          <t>ÖSTERGÖTLANDS LÄN</t>
        </is>
      </c>
      <c r="E1946" t="inlineStr">
        <is>
          <t>ÅTVIDABERG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12623-2024</t>
        </is>
      </c>
      <c r="B1947" s="1" t="n">
        <v>45383</v>
      </c>
      <c r="C1947" s="1" t="n">
        <v>46093</v>
      </c>
      <c r="D1947" t="inlineStr">
        <is>
          <t>ÖSTERGÖTLANDS LÄN</t>
        </is>
      </c>
      <c r="E1947" t="inlineStr">
        <is>
          <t>KINDA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46689-2024</t>
        </is>
      </c>
      <c r="B1948" s="1" t="n">
        <v>45583.39986111111</v>
      </c>
      <c r="C1948" s="1" t="n">
        <v>46093</v>
      </c>
      <c r="D1948" t="inlineStr">
        <is>
          <t>ÖSTERGÖTLANDS LÄN</t>
        </is>
      </c>
      <c r="E1948" t="inlineStr">
        <is>
          <t>YDRE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12708-2024</t>
        </is>
      </c>
      <c r="B1949" s="1" t="n">
        <v>45379</v>
      </c>
      <c r="C1949" s="1" t="n">
        <v>46093</v>
      </c>
      <c r="D1949" t="inlineStr">
        <is>
          <t>ÖSTERGÖTLANDS LÄN</t>
        </is>
      </c>
      <c r="E1949" t="inlineStr">
        <is>
          <t>SÖDERKÖPING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5572-2024</t>
        </is>
      </c>
      <c r="B1950" s="1" t="n">
        <v>45334</v>
      </c>
      <c r="C1950" s="1" t="n">
        <v>46093</v>
      </c>
      <c r="D1950" t="inlineStr">
        <is>
          <t>ÖSTERGÖTLANDS LÄN</t>
        </is>
      </c>
      <c r="E1950" t="inlineStr">
        <is>
          <t>NORRKÖPING</t>
        </is>
      </c>
      <c r="F1950" t="inlineStr">
        <is>
          <t>Kommuner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33726-2023</t>
        </is>
      </c>
      <c r="B1951" s="1" t="n">
        <v>45119</v>
      </c>
      <c r="C1951" s="1" t="n">
        <v>46093</v>
      </c>
      <c r="D1951" t="inlineStr">
        <is>
          <t>ÖSTERGÖTLANDS LÄN</t>
        </is>
      </c>
      <c r="E1951" t="inlineStr">
        <is>
          <t>SÖDERKÖPING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4860-2023</t>
        </is>
      </c>
      <c r="B1952" s="1" t="n">
        <v>44957.84447916667</v>
      </c>
      <c r="C1952" s="1" t="n">
        <v>46093</v>
      </c>
      <c r="D1952" t="inlineStr">
        <is>
          <t>ÖSTERGÖTLANDS LÄN</t>
        </is>
      </c>
      <c r="E1952" t="inlineStr">
        <is>
          <t>FINSPÅNG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38233-2025</t>
        </is>
      </c>
      <c r="B1953" s="1" t="n">
        <v>45883.35534722222</v>
      </c>
      <c r="C1953" s="1" t="n">
        <v>46093</v>
      </c>
      <c r="D1953" t="inlineStr">
        <is>
          <t>ÖSTERGÖTLANDS LÄN</t>
        </is>
      </c>
      <c r="E1953" t="inlineStr">
        <is>
          <t>FINSPÅNG</t>
        </is>
      </c>
      <c r="F1953" t="inlineStr">
        <is>
          <t>Holmen skog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33341-2023</t>
        </is>
      </c>
      <c r="B1954" s="1" t="n">
        <v>45128</v>
      </c>
      <c r="C1954" s="1" t="n">
        <v>46093</v>
      </c>
      <c r="D1954" t="inlineStr">
        <is>
          <t>ÖSTERGÖTLANDS LÄN</t>
        </is>
      </c>
      <c r="E1954" t="inlineStr">
        <is>
          <t>NORRKÖPING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15640-2024</t>
        </is>
      </c>
      <c r="B1955" s="1" t="n">
        <v>45403.86942129629</v>
      </c>
      <c r="C1955" s="1" t="n">
        <v>46093</v>
      </c>
      <c r="D1955" t="inlineStr">
        <is>
          <t>ÖSTERGÖTLANDS LÄN</t>
        </is>
      </c>
      <c r="E1955" t="inlineStr">
        <is>
          <t>NORRKÖPING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15660-2024</t>
        </is>
      </c>
      <c r="B1956" s="1" t="n">
        <v>45404.37293981481</v>
      </c>
      <c r="C1956" s="1" t="n">
        <v>46093</v>
      </c>
      <c r="D1956" t="inlineStr">
        <is>
          <t>ÖSTERGÖTLANDS LÄN</t>
        </is>
      </c>
      <c r="E1956" t="inlineStr">
        <is>
          <t>VALDEMARSVIK</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49456-2022</t>
        </is>
      </c>
      <c r="B1957" s="1" t="n">
        <v>44861</v>
      </c>
      <c r="C1957" s="1" t="n">
        <v>46093</v>
      </c>
      <c r="D1957" t="inlineStr">
        <is>
          <t>ÖSTERGÖTLANDS LÄN</t>
        </is>
      </c>
      <c r="E1957" t="inlineStr">
        <is>
          <t>NORRKÖPING</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26803-2024</t>
        </is>
      </c>
      <c r="B1958" s="1" t="n">
        <v>45470</v>
      </c>
      <c r="C1958" s="1" t="n">
        <v>46093</v>
      </c>
      <c r="D1958" t="inlineStr">
        <is>
          <t>ÖSTERGÖTLANDS LÄN</t>
        </is>
      </c>
      <c r="E1958" t="inlineStr">
        <is>
          <t>LINKÖPING</t>
        </is>
      </c>
      <c r="F1958" t="inlineStr">
        <is>
          <t>Allmännings- och besparingsskogar</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60343-2023</t>
        </is>
      </c>
      <c r="B1959" s="1" t="n">
        <v>45259.31565972222</v>
      </c>
      <c r="C1959" s="1" t="n">
        <v>46093</v>
      </c>
      <c r="D1959" t="inlineStr">
        <is>
          <t>ÖSTERGÖTLANDS LÄN</t>
        </is>
      </c>
      <c r="E1959" t="inlineStr">
        <is>
          <t>KINDA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19739-2024</t>
        </is>
      </c>
      <c r="B1960" s="1" t="n">
        <v>45432.6291550926</v>
      </c>
      <c r="C1960" s="1" t="n">
        <v>46093</v>
      </c>
      <c r="D1960" t="inlineStr">
        <is>
          <t>ÖSTERGÖTLANDS LÄN</t>
        </is>
      </c>
      <c r="E1960" t="inlineStr">
        <is>
          <t>NORRKÖPING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18592-2024</t>
        </is>
      </c>
      <c r="B1961" s="1" t="n">
        <v>45425.89037037037</v>
      </c>
      <c r="C1961" s="1" t="n">
        <v>46093</v>
      </c>
      <c r="D1961" t="inlineStr">
        <is>
          <t>ÖSTERGÖTLANDS LÄN</t>
        </is>
      </c>
      <c r="E1961" t="inlineStr">
        <is>
          <t>NORRKÖPING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27865-2025</t>
        </is>
      </c>
      <c r="B1962" s="1" t="n">
        <v>45817.42607638889</v>
      </c>
      <c r="C1962" s="1" t="n">
        <v>46093</v>
      </c>
      <c r="D1962" t="inlineStr">
        <is>
          <t>ÖSTERGÖTLANDS LÄN</t>
        </is>
      </c>
      <c r="E1962" t="inlineStr">
        <is>
          <t>NORRKÖPING</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1146-2023</t>
        </is>
      </c>
      <c r="B1963" s="1" t="n">
        <v>44935.64165509259</v>
      </c>
      <c r="C1963" s="1" t="n">
        <v>46093</v>
      </c>
      <c r="D1963" t="inlineStr">
        <is>
          <t>ÖSTERGÖTLANDS LÄN</t>
        </is>
      </c>
      <c r="E1963" t="inlineStr">
        <is>
          <t>NORRKÖPING</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24298-2024</t>
        </is>
      </c>
      <c r="B1964" s="1" t="n">
        <v>45457</v>
      </c>
      <c r="C1964" s="1" t="n">
        <v>46093</v>
      </c>
      <c r="D1964" t="inlineStr">
        <is>
          <t>ÖSTERGÖTLANDS LÄN</t>
        </is>
      </c>
      <c r="E1964" t="inlineStr">
        <is>
          <t>ÅTVIDABERG</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24351-2024</t>
        </is>
      </c>
      <c r="B1965" s="1" t="n">
        <v>45457.59011574074</v>
      </c>
      <c r="C1965" s="1" t="n">
        <v>46093</v>
      </c>
      <c r="D1965" t="inlineStr">
        <is>
          <t>ÖSTERGÖTLANDS LÄN</t>
        </is>
      </c>
      <c r="E1965" t="inlineStr">
        <is>
          <t>LINKÖPING</t>
        </is>
      </c>
      <c r="G1965" t="n">
        <v>11.9</v>
      </c>
      <c r="H1965" t="n">
        <v>0</v>
      </c>
      <c r="I1965" t="n">
        <v>0</v>
      </c>
      <c r="J1965" t="n">
        <v>0</v>
      </c>
      <c r="K1965" t="n">
        <v>0</v>
      </c>
      <c r="L1965" t="n">
        <v>0</v>
      </c>
      <c r="M1965" t="n">
        <v>0</v>
      </c>
      <c r="N1965" t="n">
        <v>0</v>
      </c>
      <c r="O1965" t="n">
        <v>0</v>
      </c>
      <c r="P1965" t="n">
        <v>0</v>
      </c>
      <c r="Q1965" t="n">
        <v>0</v>
      </c>
      <c r="R1965" s="2" t="inlineStr"/>
    </row>
    <row r="1966" ht="15" customHeight="1">
      <c r="A1966" t="inlineStr">
        <is>
          <t>A 15909-2024</t>
        </is>
      </c>
      <c r="B1966" s="1" t="n">
        <v>45405.43575231481</v>
      </c>
      <c r="C1966" s="1" t="n">
        <v>46093</v>
      </c>
      <c r="D1966" t="inlineStr">
        <is>
          <t>ÖSTERGÖTLANDS LÄN</t>
        </is>
      </c>
      <c r="E1966" t="inlineStr">
        <is>
          <t>ÖDESHÖG</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36491-2023</t>
        </is>
      </c>
      <c r="B1967" s="1" t="n">
        <v>45152.89226851852</v>
      </c>
      <c r="C1967" s="1" t="n">
        <v>46093</v>
      </c>
      <c r="D1967" t="inlineStr">
        <is>
          <t>ÖSTERGÖTLANDS LÄN</t>
        </is>
      </c>
      <c r="E1967" t="inlineStr">
        <is>
          <t>BOXHOLM</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22291-2024</t>
        </is>
      </c>
      <c r="B1968" s="1" t="n">
        <v>45446</v>
      </c>
      <c r="C1968" s="1" t="n">
        <v>46093</v>
      </c>
      <c r="D1968" t="inlineStr">
        <is>
          <t>ÖSTERGÖTLANDS LÄN</t>
        </is>
      </c>
      <c r="E1968" t="inlineStr">
        <is>
          <t>MOTALA</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21276-2024</t>
        </is>
      </c>
      <c r="B1969" s="1" t="n">
        <v>45440.64967592592</v>
      </c>
      <c r="C1969" s="1" t="n">
        <v>46093</v>
      </c>
      <c r="D1969" t="inlineStr">
        <is>
          <t>ÖSTERGÖTLANDS LÄN</t>
        </is>
      </c>
      <c r="E1969" t="inlineStr">
        <is>
          <t>ÅTVIDABERG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38400-2025</t>
        </is>
      </c>
      <c r="B1970" s="1" t="n">
        <v>45883.58756944445</v>
      </c>
      <c r="C1970" s="1" t="n">
        <v>46093</v>
      </c>
      <c r="D1970" t="inlineStr">
        <is>
          <t>ÖSTERGÖTLANDS LÄN</t>
        </is>
      </c>
      <c r="E1970" t="inlineStr">
        <is>
          <t>NORRKÖPING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45806-2024</t>
        </is>
      </c>
      <c r="B1971" s="1" t="n">
        <v>45579.69619212963</v>
      </c>
      <c r="C1971" s="1" t="n">
        <v>46093</v>
      </c>
      <c r="D1971" t="inlineStr">
        <is>
          <t>ÖSTERGÖTLANDS LÄN</t>
        </is>
      </c>
      <c r="E1971" t="inlineStr">
        <is>
          <t>LINKÖPING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31359-2023</t>
        </is>
      </c>
      <c r="B1972" s="1" t="n">
        <v>45114</v>
      </c>
      <c r="C1972" s="1" t="n">
        <v>46093</v>
      </c>
      <c r="D1972" t="inlineStr">
        <is>
          <t>ÖSTERGÖTLANDS LÄN</t>
        </is>
      </c>
      <c r="E1972" t="inlineStr">
        <is>
          <t>NORRKÖPING</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31361-2023</t>
        </is>
      </c>
      <c r="B1973" s="1" t="n">
        <v>45114</v>
      </c>
      <c r="C1973" s="1" t="n">
        <v>46093</v>
      </c>
      <c r="D1973" t="inlineStr">
        <is>
          <t>ÖSTERGÖTLANDS LÄN</t>
        </is>
      </c>
      <c r="E1973" t="inlineStr">
        <is>
          <t>NORRKÖPING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36803-2021</t>
        </is>
      </c>
      <c r="B1974" s="1" t="n">
        <v>44392.85039351852</v>
      </c>
      <c r="C1974" s="1" t="n">
        <v>46093</v>
      </c>
      <c r="D1974" t="inlineStr">
        <is>
          <t>ÖSTERGÖTLANDS LÄN</t>
        </is>
      </c>
      <c r="E1974" t="inlineStr">
        <is>
          <t>YDRE</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7742-2025</t>
        </is>
      </c>
      <c r="B1975" s="1" t="n">
        <v>45706.47790509259</v>
      </c>
      <c r="C1975" s="1" t="n">
        <v>46093</v>
      </c>
      <c r="D1975" t="inlineStr">
        <is>
          <t>ÖSTERGÖTLANDS LÄN</t>
        </is>
      </c>
      <c r="E1975" t="inlineStr">
        <is>
          <t>NORRKÖPING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29105-2021</t>
        </is>
      </c>
      <c r="B1976" s="1" t="n">
        <v>44358</v>
      </c>
      <c r="C1976" s="1" t="n">
        <v>46093</v>
      </c>
      <c r="D1976" t="inlineStr">
        <is>
          <t>ÖSTERGÖTLANDS LÄN</t>
        </is>
      </c>
      <c r="E1976" t="inlineStr">
        <is>
          <t>ÖDESHÖG</t>
        </is>
      </c>
      <c r="F1976" t="inlineStr">
        <is>
          <t>Allmännings- och besparingsskogar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48475-2024</t>
        </is>
      </c>
      <c r="B1977" s="1" t="n">
        <v>45591.58818287037</v>
      </c>
      <c r="C1977" s="1" t="n">
        <v>46093</v>
      </c>
      <c r="D1977" t="inlineStr">
        <is>
          <t>ÖSTERGÖTLANDS LÄN</t>
        </is>
      </c>
      <c r="E1977" t="inlineStr">
        <is>
          <t>BOXHOLM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38247-2025</t>
        </is>
      </c>
      <c r="B1978" s="1" t="n">
        <v>45883</v>
      </c>
      <c r="C1978" s="1" t="n">
        <v>46093</v>
      </c>
      <c r="D1978" t="inlineStr">
        <is>
          <t>ÖSTERGÖTLANDS LÄN</t>
        </is>
      </c>
      <c r="E1978" t="inlineStr">
        <is>
          <t>BOXHOLM</t>
        </is>
      </c>
      <c r="F1978" t="inlineStr">
        <is>
          <t>Övriga Aktiebolag</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41093-2023</t>
        </is>
      </c>
      <c r="B1979" s="1" t="n">
        <v>45173.66935185185</v>
      </c>
      <c r="C1979" s="1" t="n">
        <v>46093</v>
      </c>
      <c r="D1979" t="inlineStr">
        <is>
          <t>ÖSTERGÖTLANDS LÄN</t>
        </is>
      </c>
      <c r="E1979" t="inlineStr">
        <is>
          <t>MOTALA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54765-2022</t>
        </is>
      </c>
      <c r="B1980" s="1" t="n">
        <v>44883.62292824074</v>
      </c>
      <c r="C1980" s="1" t="n">
        <v>46093</v>
      </c>
      <c r="D1980" t="inlineStr">
        <is>
          <t>ÖSTERGÖTLANDS LÄN</t>
        </is>
      </c>
      <c r="E1980" t="inlineStr">
        <is>
          <t>VALDEMARSVIK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1760-2024</t>
        </is>
      </c>
      <c r="B1981" s="1" t="n">
        <v>45307.48108796297</v>
      </c>
      <c r="C1981" s="1" t="n">
        <v>46093</v>
      </c>
      <c r="D1981" t="inlineStr">
        <is>
          <t>ÖSTERGÖTLANDS LÄN</t>
        </is>
      </c>
      <c r="E1981" t="inlineStr">
        <is>
          <t>KINDA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10206-2022</t>
        </is>
      </c>
      <c r="B1982" s="1" t="n">
        <v>44622.45858796296</v>
      </c>
      <c r="C1982" s="1" t="n">
        <v>46093</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36005-2024</t>
        </is>
      </c>
      <c r="B1983" s="1" t="n">
        <v>45533.54908564815</v>
      </c>
      <c r="C1983" s="1" t="n">
        <v>46093</v>
      </c>
      <c r="D1983" t="inlineStr">
        <is>
          <t>ÖSTERGÖTLANDS LÄN</t>
        </is>
      </c>
      <c r="E1983" t="inlineStr">
        <is>
          <t>KINDA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53747-2022</t>
        </is>
      </c>
      <c r="B1984" s="1" t="n">
        <v>44880.44351851852</v>
      </c>
      <c r="C1984" s="1" t="n">
        <v>46093</v>
      </c>
      <c r="D1984" t="inlineStr">
        <is>
          <t>ÖSTERGÖTLANDS LÄN</t>
        </is>
      </c>
      <c r="E1984" t="inlineStr">
        <is>
          <t>NORRKÖPING</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2638-2024</t>
        </is>
      </c>
      <c r="B1985" s="1" t="n">
        <v>45314.33872685185</v>
      </c>
      <c r="C1985" s="1" t="n">
        <v>46093</v>
      </c>
      <c r="D1985" t="inlineStr">
        <is>
          <t>ÖSTERGÖTLANDS LÄN</t>
        </is>
      </c>
      <c r="E1985" t="inlineStr">
        <is>
          <t>KINDA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65573-2021</t>
        </is>
      </c>
      <c r="B1986" s="1" t="n">
        <v>44516</v>
      </c>
      <c r="C1986" s="1" t="n">
        <v>46093</v>
      </c>
      <c r="D1986" t="inlineStr">
        <is>
          <t>ÖSTERGÖTLANDS LÄN</t>
        </is>
      </c>
      <c r="E1986" t="inlineStr">
        <is>
          <t>ÅTVIDABERG</t>
        </is>
      </c>
      <c r="F1986" t="inlineStr">
        <is>
          <t>Sveaskog</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35466-2025</t>
        </is>
      </c>
      <c r="B1987" s="1" t="n">
        <v>45855.65826388889</v>
      </c>
      <c r="C1987" s="1" t="n">
        <v>46093</v>
      </c>
      <c r="D1987" t="inlineStr">
        <is>
          <t>ÖSTERGÖTLANDS LÄN</t>
        </is>
      </c>
      <c r="E1987" t="inlineStr">
        <is>
          <t>FINSPÅNG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26146-2024</t>
        </is>
      </c>
      <c r="B1988" s="1" t="n">
        <v>45468.49909722222</v>
      </c>
      <c r="C1988" s="1" t="n">
        <v>46093</v>
      </c>
      <c r="D1988" t="inlineStr">
        <is>
          <t>ÖSTERGÖTLANDS LÄN</t>
        </is>
      </c>
      <c r="E1988" t="inlineStr">
        <is>
          <t>KINDA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39137-2025</t>
        </is>
      </c>
      <c r="B1989" s="1" t="n">
        <v>45888.59415509259</v>
      </c>
      <c r="C1989" s="1" t="n">
        <v>46093</v>
      </c>
      <c r="D1989" t="inlineStr">
        <is>
          <t>ÖSTERGÖTLANDS LÄN</t>
        </is>
      </c>
      <c r="E1989" t="inlineStr">
        <is>
          <t>FINSPÅNG</t>
        </is>
      </c>
      <c r="F1989" t="inlineStr">
        <is>
          <t>Holmen skog AB</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60038-2023</t>
        </is>
      </c>
      <c r="B1990" s="1" t="n">
        <v>45258</v>
      </c>
      <c r="C1990" s="1" t="n">
        <v>46093</v>
      </c>
      <c r="D1990" t="inlineStr">
        <is>
          <t>ÖSTERGÖTLANDS LÄN</t>
        </is>
      </c>
      <c r="E1990" t="inlineStr">
        <is>
          <t>FINSPÅNG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38719-2025</t>
        </is>
      </c>
      <c r="B1991" s="1" t="n">
        <v>45886.65516203704</v>
      </c>
      <c r="C1991" s="1" t="n">
        <v>46093</v>
      </c>
      <c r="D1991" t="inlineStr">
        <is>
          <t>ÖSTERGÖTLANDS LÄN</t>
        </is>
      </c>
      <c r="E1991" t="inlineStr">
        <is>
          <t>NORRKÖPING</t>
        </is>
      </c>
      <c r="G1991" t="n">
        <v>14.3</v>
      </c>
      <c r="H1991" t="n">
        <v>0</v>
      </c>
      <c r="I1991" t="n">
        <v>0</v>
      </c>
      <c r="J1991" t="n">
        <v>0</v>
      </c>
      <c r="K1991" t="n">
        <v>0</v>
      </c>
      <c r="L1991" t="n">
        <v>0</v>
      </c>
      <c r="M1991" t="n">
        <v>0</v>
      </c>
      <c r="N1991" t="n">
        <v>0</v>
      </c>
      <c r="O1991" t="n">
        <v>0</v>
      </c>
      <c r="P1991" t="n">
        <v>0</v>
      </c>
      <c r="Q1991" t="n">
        <v>0</v>
      </c>
      <c r="R1991" s="2" t="inlineStr"/>
    </row>
    <row r="1992" ht="15" customHeight="1">
      <c r="A1992" t="inlineStr">
        <is>
          <t>A 62501-2023</t>
        </is>
      </c>
      <c r="B1992" s="1" t="n">
        <v>45268</v>
      </c>
      <c r="C1992" s="1" t="n">
        <v>46093</v>
      </c>
      <c r="D1992" t="inlineStr">
        <is>
          <t>ÖSTERGÖTLANDS LÄN</t>
        </is>
      </c>
      <c r="E1992" t="inlineStr">
        <is>
          <t>LINKÖPING</t>
        </is>
      </c>
      <c r="G1992" t="n">
        <v>7.4</v>
      </c>
      <c r="H1992" t="n">
        <v>0</v>
      </c>
      <c r="I1992" t="n">
        <v>0</v>
      </c>
      <c r="J1992" t="n">
        <v>0</v>
      </c>
      <c r="K1992" t="n">
        <v>0</v>
      </c>
      <c r="L1992" t="n">
        <v>0</v>
      </c>
      <c r="M1992" t="n">
        <v>0</v>
      </c>
      <c r="N1992" t="n">
        <v>0</v>
      </c>
      <c r="O1992" t="n">
        <v>0</v>
      </c>
      <c r="P1992" t="n">
        <v>0</v>
      </c>
      <c r="Q1992" t="n">
        <v>0</v>
      </c>
      <c r="R1992" s="2" t="inlineStr"/>
    </row>
    <row r="1993" ht="15" customHeight="1">
      <c r="A1993" t="inlineStr">
        <is>
          <t>A 58947-2022</t>
        </is>
      </c>
      <c r="B1993" s="1" t="n">
        <v>44903.64769675926</v>
      </c>
      <c r="C1993" s="1" t="n">
        <v>46093</v>
      </c>
      <c r="D1993" t="inlineStr">
        <is>
          <t>ÖSTERGÖTLANDS LÄN</t>
        </is>
      </c>
      <c r="E1993" t="inlineStr">
        <is>
          <t>LINKÖPING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39074-2025</t>
        </is>
      </c>
      <c r="B1994" s="1" t="n">
        <v>45888</v>
      </c>
      <c r="C1994" s="1" t="n">
        <v>46093</v>
      </c>
      <c r="D1994" t="inlineStr">
        <is>
          <t>ÖSTERGÖTLANDS LÄN</t>
        </is>
      </c>
      <c r="E1994" t="inlineStr">
        <is>
          <t>LINKÖPING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60169-2023</t>
        </is>
      </c>
      <c r="B1995" s="1" t="n">
        <v>45258</v>
      </c>
      <c r="C1995" s="1" t="n">
        <v>46093</v>
      </c>
      <c r="D1995" t="inlineStr">
        <is>
          <t>ÖSTERGÖTLANDS LÄN</t>
        </is>
      </c>
      <c r="E1995" t="inlineStr">
        <is>
          <t>FINSPÅNG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49979-2022</t>
        </is>
      </c>
      <c r="B1996" s="1" t="n">
        <v>44865</v>
      </c>
      <c r="C1996" s="1" t="n">
        <v>46093</v>
      </c>
      <c r="D1996" t="inlineStr">
        <is>
          <t>ÖSTERGÖTLANDS LÄN</t>
        </is>
      </c>
      <c r="E1996" t="inlineStr">
        <is>
          <t>LINKÖPING</t>
        </is>
      </c>
      <c r="F1996" t="inlineStr">
        <is>
          <t>Övriga Aktiebolag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39172-2025</t>
        </is>
      </c>
      <c r="B1997" s="1" t="n">
        <v>45888</v>
      </c>
      <c r="C1997" s="1" t="n">
        <v>46093</v>
      </c>
      <c r="D1997" t="inlineStr">
        <is>
          <t>ÖSTERGÖTLANDS LÄN</t>
        </is>
      </c>
      <c r="E1997" t="inlineStr">
        <is>
          <t>YDRE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61076-2023</t>
        </is>
      </c>
      <c r="B1998" s="1" t="n">
        <v>45260</v>
      </c>
      <c r="C1998" s="1" t="n">
        <v>46093</v>
      </c>
      <c r="D1998" t="inlineStr">
        <is>
          <t>ÖSTERGÖTLANDS LÄN</t>
        </is>
      </c>
      <c r="E1998" t="inlineStr">
        <is>
          <t>FINSPÅNG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26917-2024</t>
        </is>
      </c>
      <c r="B1999" s="1" t="n">
        <v>45470.88379629629</v>
      </c>
      <c r="C1999" s="1" t="n">
        <v>46093</v>
      </c>
      <c r="D1999" t="inlineStr">
        <is>
          <t>ÖSTERGÖTLANDS LÄN</t>
        </is>
      </c>
      <c r="E1999" t="inlineStr">
        <is>
          <t>KINDA</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3682-2025</t>
        </is>
      </c>
      <c r="B2000" s="1" t="n">
        <v>45681</v>
      </c>
      <c r="C2000" s="1" t="n">
        <v>46093</v>
      </c>
      <c r="D2000" t="inlineStr">
        <is>
          <t>ÖSTERGÖTLANDS LÄN</t>
        </is>
      </c>
      <c r="E2000" t="inlineStr">
        <is>
          <t>FINSPÅNG</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65113-2023</t>
        </is>
      </c>
      <c r="B2001" s="1" t="n">
        <v>45287</v>
      </c>
      <c r="C2001" s="1" t="n">
        <v>46093</v>
      </c>
      <c r="D2001" t="inlineStr">
        <is>
          <t>ÖSTERGÖTLANDS LÄN</t>
        </is>
      </c>
      <c r="E2001" t="inlineStr">
        <is>
          <t>VALDEMARSVIK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50733-2024</t>
        </is>
      </c>
      <c r="B2002" s="1" t="n">
        <v>45602.39106481482</v>
      </c>
      <c r="C2002" s="1" t="n">
        <v>46093</v>
      </c>
      <c r="D2002" t="inlineStr">
        <is>
          <t>ÖSTERGÖTLANDS LÄN</t>
        </is>
      </c>
      <c r="E2002" t="inlineStr">
        <is>
          <t>MOTALA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199-2022</t>
        </is>
      </c>
      <c r="B2003" s="1" t="n">
        <v>44564.68190972223</v>
      </c>
      <c r="C2003" s="1" t="n">
        <v>46093</v>
      </c>
      <c r="D2003" t="inlineStr">
        <is>
          <t>ÖSTERGÖTLANDS LÄN</t>
        </is>
      </c>
      <c r="E2003" t="inlineStr">
        <is>
          <t>FINSPÅNG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5156-2023</t>
        </is>
      </c>
      <c r="B2004" s="1" t="n">
        <v>44958.93928240741</v>
      </c>
      <c r="C2004" s="1" t="n">
        <v>46093</v>
      </c>
      <c r="D2004" t="inlineStr">
        <is>
          <t>ÖSTERGÖTLANDS LÄN</t>
        </is>
      </c>
      <c r="E2004" t="inlineStr">
        <is>
          <t>FINSPÅNG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25944-2024</t>
        </is>
      </c>
      <c r="B2005" s="1" t="n">
        <v>45467.63711805556</v>
      </c>
      <c r="C2005" s="1" t="n">
        <v>46093</v>
      </c>
      <c r="D2005" t="inlineStr">
        <is>
          <t>ÖSTERGÖTLANDS LÄN</t>
        </is>
      </c>
      <c r="E2005" t="inlineStr">
        <is>
          <t>BOXHOLM</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52863-2023</t>
        </is>
      </c>
      <c r="B2006" s="1" t="n">
        <v>45219</v>
      </c>
      <c r="C2006" s="1" t="n">
        <v>46093</v>
      </c>
      <c r="D2006" t="inlineStr">
        <is>
          <t>ÖSTERGÖTLANDS LÄN</t>
        </is>
      </c>
      <c r="E2006" t="inlineStr">
        <is>
          <t>KINDA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3325-2024</t>
        </is>
      </c>
      <c r="B2007" s="1" t="n">
        <v>45317</v>
      </c>
      <c r="C2007" s="1" t="n">
        <v>46093</v>
      </c>
      <c r="D2007" t="inlineStr">
        <is>
          <t>ÖSTERGÖTLANDS LÄN</t>
        </is>
      </c>
      <c r="E2007" t="inlineStr">
        <is>
          <t>NORRKÖPING</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27698-2023</t>
        </is>
      </c>
      <c r="B2008" s="1" t="n">
        <v>45095</v>
      </c>
      <c r="C2008" s="1" t="n">
        <v>46093</v>
      </c>
      <c r="D2008" t="inlineStr">
        <is>
          <t>ÖSTERGÖTLANDS LÄN</t>
        </is>
      </c>
      <c r="E2008" t="inlineStr">
        <is>
          <t>FINSPÅNG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38765-2025</t>
        </is>
      </c>
      <c r="B2009" s="1" t="n">
        <v>45887.40671296296</v>
      </c>
      <c r="C2009" s="1" t="n">
        <v>46093</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2031-2024</t>
        </is>
      </c>
      <c r="B2010" s="1" t="n">
        <v>45308.76643518519</v>
      </c>
      <c r="C2010" s="1" t="n">
        <v>46093</v>
      </c>
      <c r="D2010" t="inlineStr">
        <is>
          <t>ÖSTERGÖTLANDS LÄN</t>
        </is>
      </c>
      <c r="E2010" t="inlineStr">
        <is>
          <t>ÅTVIDABERG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60288-2023</t>
        </is>
      </c>
      <c r="B2011" s="1" t="n">
        <v>45258.70559027778</v>
      </c>
      <c r="C2011" s="1" t="n">
        <v>46093</v>
      </c>
      <c r="D2011" t="inlineStr">
        <is>
          <t>ÖSTERGÖTLANDS LÄN</t>
        </is>
      </c>
      <c r="E2011" t="inlineStr">
        <is>
          <t>VALDEMARSVIK</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43516-2024</t>
        </is>
      </c>
      <c r="B2012" s="1" t="n">
        <v>45569.32538194444</v>
      </c>
      <c r="C2012" s="1" t="n">
        <v>46093</v>
      </c>
      <c r="D2012" t="inlineStr">
        <is>
          <t>ÖSTERGÖTLANDS LÄN</t>
        </is>
      </c>
      <c r="E2012" t="inlineStr">
        <is>
          <t>VALDEMARSVIK</t>
        </is>
      </c>
      <c r="F2012" t="inlineStr">
        <is>
          <t>Kyrkan</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43518-2024</t>
        </is>
      </c>
      <c r="B2013" s="1" t="n">
        <v>45569.32959490741</v>
      </c>
      <c r="C2013" s="1" t="n">
        <v>46093</v>
      </c>
      <c r="D2013" t="inlineStr">
        <is>
          <t>ÖSTERGÖTLANDS LÄN</t>
        </is>
      </c>
      <c r="E2013" t="inlineStr">
        <is>
          <t>VALDEMARSVIK</t>
        </is>
      </c>
      <c r="F2013" t="inlineStr">
        <is>
          <t>Kyrkan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59399-2021</t>
        </is>
      </c>
      <c r="B2014" s="1" t="n">
        <v>44491.40493055555</v>
      </c>
      <c r="C2014" s="1" t="n">
        <v>46093</v>
      </c>
      <c r="D2014" t="inlineStr">
        <is>
          <t>ÖSTERGÖTLANDS LÄN</t>
        </is>
      </c>
      <c r="E2014" t="inlineStr">
        <is>
          <t>VALDEMARSVIK</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53827-2023</t>
        </is>
      </c>
      <c r="B2015" s="1" t="n">
        <v>45230</v>
      </c>
      <c r="C2015" s="1" t="n">
        <v>46093</v>
      </c>
      <c r="D2015" t="inlineStr">
        <is>
          <t>ÖSTERGÖTLANDS LÄN</t>
        </is>
      </c>
      <c r="E2015" t="inlineStr">
        <is>
          <t>LINKÖPING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58333-2023</t>
        </is>
      </c>
      <c r="B2016" s="1" t="n">
        <v>45250.59774305556</v>
      </c>
      <c r="C2016" s="1" t="n">
        <v>46093</v>
      </c>
      <c r="D2016" t="inlineStr">
        <is>
          <t>ÖSTERGÖTLANDS LÄN</t>
        </is>
      </c>
      <c r="E2016" t="inlineStr">
        <is>
          <t>FINSPÅNG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37154-2023</t>
        </is>
      </c>
      <c r="B2017" s="1" t="n">
        <v>45155</v>
      </c>
      <c r="C2017" s="1" t="n">
        <v>46093</v>
      </c>
      <c r="D2017" t="inlineStr">
        <is>
          <t>ÖSTERGÖTLANDS LÄN</t>
        </is>
      </c>
      <c r="E2017" t="inlineStr">
        <is>
          <t>LINKÖPING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38949-2025</t>
        </is>
      </c>
      <c r="B2018" s="1" t="n">
        <v>45887.65681712963</v>
      </c>
      <c r="C2018" s="1" t="n">
        <v>46093</v>
      </c>
      <c r="D2018" t="inlineStr">
        <is>
          <t>ÖSTERGÖTLANDS LÄN</t>
        </is>
      </c>
      <c r="E2018" t="inlineStr">
        <is>
          <t>VALDEMARSVIK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6375-2025</t>
        </is>
      </c>
      <c r="B2019" s="1" t="n">
        <v>45699.40489583334</v>
      </c>
      <c r="C2019" s="1" t="n">
        <v>46093</v>
      </c>
      <c r="D2019" t="inlineStr">
        <is>
          <t>ÖSTERGÖTLANDS LÄN</t>
        </is>
      </c>
      <c r="E2019" t="inlineStr">
        <is>
          <t>ÖDESHÖG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61589-2022</t>
        </is>
      </c>
      <c r="B2020" s="1" t="n">
        <v>44916.63892361111</v>
      </c>
      <c r="C2020" s="1" t="n">
        <v>46093</v>
      </c>
      <c r="D2020" t="inlineStr">
        <is>
          <t>ÖSTERGÖTLANDS LÄN</t>
        </is>
      </c>
      <c r="E2020" t="inlineStr">
        <is>
          <t>YDRE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35277-2025</t>
        </is>
      </c>
      <c r="B2021" s="1" t="n">
        <v>45853.9731712963</v>
      </c>
      <c r="C2021" s="1" t="n">
        <v>46093</v>
      </c>
      <c r="D2021" t="inlineStr">
        <is>
          <t>ÖSTERGÖTLANDS LÄN</t>
        </is>
      </c>
      <c r="E2021" t="inlineStr">
        <is>
          <t>FINSPÅNG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35278-2025</t>
        </is>
      </c>
      <c r="B2022" s="1" t="n">
        <v>45853.97888888889</v>
      </c>
      <c r="C2022" s="1" t="n">
        <v>46093</v>
      </c>
      <c r="D2022" t="inlineStr">
        <is>
          <t>ÖSTERGÖTLANDS LÄN</t>
        </is>
      </c>
      <c r="E2022" t="inlineStr">
        <is>
          <t>FINSPÅNG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39097-2025</t>
        </is>
      </c>
      <c r="B2023" s="1" t="n">
        <v>45888</v>
      </c>
      <c r="C2023" s="1" t="n">
        <v>46093</v>
      </c>
      <c r="D2023" t="inlineStr">
        <is>
          <t>ÖSTERGÖTLANDS LÄN</t>
        </is>
      </c>
      <c r="E2023" t="inlineStr">
        <is>
          <t>KINDA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39101-2025</t>
        </is>
      </c>
      <c r="B2024" s="1" t="n">
        <v>45888</v>
      </c>
      <c r="C2024" s="1" t="n">
        <v>46093</v>
      </c>
      <c r="D2024" t="inlineStr">
        <is>
          <t>ÖSTERGÖTLANDS LÄN</t>
        </is>
      </c>
      <c r="E2024" t="inlineStr">
        <is>
          <t>KINDA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38992-2025</t>
        </is>
      </c>
      <c r="B2025" s="1" t="n">
        <v>45888.32987268519</v>
      </c>
      <c r="C2025" s="1" t="n">
        <v>46093</v>
      </c>
      <c r="D2025" t="inlineStr">
        <is>
          <t>ÖSTERGÖTLANDS LÄN</t>
        </is>
      </c>
      <c r="E2025" t="inlineStr">
        <is>
          <t>ÅTVIDABERG</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65742-2021</t>
        </is>
      </c>
      <c r="B2026" s="1" t="n">
        <v>44516</v>
      </c>
      <c r="C2026" s="1" t="n">
        <v>46093</v>
      </c>
      <c r="D2026" t="inlineStr">
        <is>
          <t>ÖSTERGÖTLANDS LÄN</t>
        </is>
      </c>
      <c r="E2026" t="inlineStr">
        <is>
          <t>FINSPÅNG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11680-2025</t>
        </is>
      </c>
      <c r="B2027" s="1" t="n">
        <v>45727.54421296297</v>
      </c>
      <c r="C2027" s="1" t="n">
        <v>46093</v>
      </c>
      <c r="D2027" t="inlineStr">
        <is>
          <t>ÖSTERGÖTLANDS LÄN</t>
        </is>
      </c>
      <c r="E2027" t="inlineStr">
        <is>
          <t>ÅTVIDABERG</t>
        </is>
      </c>
      <c r="F2027" t="inlineStr">
        <is>
          <t>Övriga Aktiebolag</t>
        </is>
      </c>
      <c r="G2027" t="n">
        <v>9.800000000000001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7034-2024</t>
        </is>
      </c>
      <c r="B2028" s="1" t="n">
        <v>45343</v>
      </c>
      <c r="C2028" s="1" t="n">
        <v>46093</v>
      </c>
      <c r="D2028" t="inlineStr">
        <is>
          <t>ÖSTERGÖTLANDS LÄN</t>
        </is>
      </c>
      <c r="E2028" t="inlineStr">
        <is>
          <t>MOTALA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35404-2023</t>
        </is>
      </c>
      <c r="B2029" s="1" t="n">
        <v>45146.60049768518</v>
      </c>
      <c r="C2029" s="1" t="n">
        <v>46093</v>
      </c>
      <c r="D2029" t="inlineStr">
        <is>
          <t>ÖSTERGÖTLANDS LÄN</t>
        </is>
      </c>
      <c r="E2029" t="inlineStr">
        <is>
          <t>MJÖLBY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35432-2023</t>
        </is>
      </c>
      <c r="B2030" s="1" t="n">
        <v>45146.62869212963</v>
      </c>
      <c r="C2030" s="1" t="n">
        <v>46093</v>
      </c>
      <c r="D2030" t="inlineStr">
        <is>
          <t>ÖSTERGÖTLANDS LÄN</t>
        </is>
      </c>
      <c r="E2030" t="inlineStr">
        <is>
          <t>BOXHOLM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1914-2023</t>
        </is>
      </c>
      <c r="B2031" s="1" t="n">
        <v>44939</v>
      </c>
      <c r="C2031" s="1" t="n">
        <v>46093</v>
      </c>
      <c r="D2031" t="inlineStr">
        <is>
          <t>ÖSTERGÖTLANDS LÄN</t>
        </is>
      </c>
      <c r="E2031" t="inlineStr">
        <is>
          <t>NORRKÖPING</t>
        </is>
      </c>
      <c r="F2031" t="inlineStr">
        <is>
          <t>Naturvårdsverket</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38756-2025</t>
        </is>
      </c>
      <c r="B2032" s="1" t="n">
        <v>45887.39501157407</v>
      </c>
      <c r="C2032" s="1" t="n">
        <v>46093</v>
      </c>
      <c r="D2032" t="inlineStr">
        <is>
          <t>ÖSTERGÖTLANDS LÄN</t>
        </is>
      </c>
      <c r="E2032" t="inlineStr">
        <is>
          <t>MJÖLBY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18134-2023</t>
        </is>
      </c>
      <c r="B2033" s="1" t="n">
        <v>45040</v>
      </c>
      <c r="C2033" s="1" t="n">
        <v>46093</v>
      </c>
      <c r="D2033" t="inlineStr">
        <is>
          <t>ÖSTERGÖTLANDS LÄN</t>
        </is>
      </c>
      <c r="E2033" t="inlineStr">
        <is>
          <t>FINSPÅNG</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11330-2023</t>
        </is>
      </c>
      <c r="B2034" s="1" t="n">
        <v>44993.24648148148</v>
      </c>
      <c r="C2034" s="1" t="n">
        <v>46093</v>
      </c>
      <c r="D2034" t="inlineStr">
        <is>
          <t>ÖSTERGÖTLANDS LÄN</t>
        </is>
      </c>
      <c r="E2034" t="inlineStr">
        <is>
          <t>LINKÖPING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63961-2023</t>
        </is>
      </c>
      <c r="B2035" s="1" t="n">
        <v>45278</v>
      </c>
      <c r="C2035" s="1" t="n">
        <v>46093</v>
      </c>
      <c r="D2035" t="inlineStr">
        <is>
          <t>ÖSTERGÖTLANDS LÄN</t>
        </is>
      </c>
      <c r="E2035" t="inlineStr">
        <is>
          <t>NORRKÖPING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39099-2025</t>
        </is>
      </c>
      <c r="B2036" s="1" t="n">
        <v>45888</v>
      </c>
      <c r="C2036" s="1" t="n">
        <v>46093</v>
      </c>
      <c r="D2036" t="inlineStr">
        <is>
          <t>ÖSTERGÖTLANDS LÄN</t>
        </is>
      </c>
      <c r="E2036" t="inlineStr">
        <is>
          <t>KINDA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48462-2022</t>
        </is>
      </c>
      <c r="B2037" s="1" t="n">
        <v>44858</v>
      </c>
      <c r="C2037" s="1" t="n">
        <v>46093</v>
      </c>
      <c r="D2037" t="inlineStr">
        <is>
          <t>ÖSTERGÖTLANDS LÄN</t>
        </is>
      </c>
      <c r="E2037" t="inlineStr">
        <is>
          <t>NORRKÖPING</t>
        </is>
      </c>
      <c r="F2037" t="inlineStr">
        <is>
          <t>Holmen skog AB</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35178-2025</t>
        </is>
      </c>
      <c r="B2038" s="1" t="n">
        <v>45852.91939814815</v>
      </c>
      <c r="C2038" s="1" t="n">
        <v>46093</v>
      </c>
      <c r="D2038" t="inlineStr">
        <is>
          <t>ÖSTERGÖTLANDS LÄN</t>
        </is>
      </c>
      <c r="E2038" t="inlineStr">
        <is>
          <t>LINKÖPING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39155-2025</t>
        </is>
      </c>
      <c r="B2039" s="1" t="n">
        <v>45888.61847222222</v>
      </c>
      <c r="C2039" s="1" t="n">
        <v>46093</v>
      </c>
      <c r="D2039" t="inlineStr">
        <is>
          <t>ÖSTERGÖTLANDS LÄN</t>
        </is>
      </c>
      <c r="E2039" t="inlineStr">
        <is>
          <t>NORRKÖPING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60790-2023</t>
        </is>
      </c>
      <c r="B2040" s="1" t="n">
        <v>45259</v>
      </c>
      <c r="C2040" s="1" t="n">
        <v>46093</v>
      </c>
      <c r="D2040" t="inlineStr">
        <is>
          <t>ÖSTERGÖTLANDS LÄN</t>
        </is>
      </c>
      <c r="E2040" t="inlineStr">
        <is>
          <t>BOXHOLM</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34916-2024</t>
        </is>
      </c>
      <c r="B2041" s="1" t="n">
        <v>45527.43385416667</v>
      </c>
      <c r="C2041" s="1" t="n">
        <v>46093</v>
      </c>
      <c r="D2041" t="inlineStr">
        <is>
          <t>ÖSTERGÖTLANDS LÄN</t>
        </is>
      </c>
      <c r="E2041" t="inlineStr">
        <is>
          <t>NORRKÖPING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42000-2023</t>
        </is>
      </c>
      <c r="B2042" s="1" t="n">
        <v>45177</v>
      </c>
      <c r="C2042" s="1" t="n">
        <v>46093</v>
      </c>
      <c r="D2042" t="inlineStr">
        <is>
          <t>ÖSTERGÖTLANDS LÄN</t>
        </is>
      </c>
      <c r="E2042" t="inlineStr">
        <is>
          <t>LINKÖPING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38735-2025</t>
        </is>
      </c>
      <c r="B2043" s="1" t="n">
        <v>45887</v>
      </c>
      <c r="C2043" s="1" t="n">
        <v>46093</v>
      </c>
      <c r="D2043" t="inlineStr">
        <is>
          <t>ÖSTERGÖTLANDS LÄN</t>
        </is>
      </c>
      <c r="E2043" t="inlineStr">
        <is>
          <t>MJÖLBY</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38737-2025</t>
        </is>
      </c>
      <c r="B2044" s="1" t="n">
        <v>45887</v>
      </c>
      <c r="C2044" s="1" t="n">
        <v>46093</v>
      </c>
      <c r="D2044" t="inlineStr">
        <is>
          <t>ÖSTERGÖTLANDS LÄN</t>
        </is>
      </c>
      <c r="E2044" t="inlineStr">
        <is>
          <t>YDRE</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35174-2025</t>
        </is>
      </c>
      <c r="B2045" s="1" t="n">
        <v>45852.90648148148</v>
      </c>
      <c r="C2045" s="1" t="n">
        <v>46093</v>
      </c>
      <c r="D2045" t="inlineStr">
        <is>
          <t>ÖSTERGÖTLANDS LÄN</t>
        </is>
      </c>
      <c r="E2045" t="inlineStr">
        <is>
          <t>LINKÖPING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29516-2024</t>
        </is>
      </c>
      <c r="B2046" s="1" t="n">
        <v>45484</v>
      </c>
      <c r="C2046" s="1" t="n">
        <v>46093</v>
      </c>
      <c r="D2046" t="inlineStr">
        <is>
          <t>ÖSTERGÖTLANDS LÄN</t>
        </is>
      </c>
      <c r="E2046" t="inlineStr">
        <is>
          <t>KINDA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29523-2024</t>
        </is>
      </c>
      <c r="B2047" s="1" t="n">
        <v>45484.45675925926</v>
      </c>
      <c r="C2047" s="1" t="n">
        <v>46093</v>
      </c>
      <c r="D2047" t="inlineStr">
        <is>
          <t>ÖSTERGÖTLANDS LÄN</t>
        </is>
      </c>
      <c r="E2047" t="inlineStr">
        <is>
          <t>MOTALA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4071-2024</t>
        </is>
      </c>
      <c r="B2048" s="1" t="n">
        <v>45323.56947916667</v>
      </c>
      <c r="C2048" s="1" t="n">
        <v>46093</v>
      </c>
      <c r="D2048" t="inlineStr">
        <is>
          <t>ÖSTERGÖTLANDS LÄN</t>
        </is>
      </c>
      <c r="E2048" t="inlineStr">
        <is>
          <t>FINSPÅNG</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29525-2024</t>
        </is>
      </c>
      <c r="B2049" s="1" t="n">
        <v>45484.45920138889</v>
      </c>
      <c r="C2049" s="1" t="n">
        <v>46093</v>
      </c>
      <c r="D2049" t="inlineStr">
        <is>
          <t>ÖSTERGÖTLANDS LÄN</t>
        </is>
      </c>
      <c r="E2049" t="inlineStr">
        <is>
          <t>MOTALA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55231-2024</t>
        </is>
      </c>
      <c r="B2050" s="1" t="n">
        <v>45621.58040509259</v>
      </c>
      <c r="C2050" s="1" t="n">
        <v>46093</v>
      </c>
      <c r="D2050" t="inlineStr">
        <is>
          <t>ÖSTERGÖTLANDS LÄN</t>
        </is>
      </c>
      <c r="E2050" t="inlineStr">
        <is>
          <t>FINSPÅNG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35181-2025</t>
        </is>
      </c>
      <c r="B2051" s="1" t="n">
        <v>45852.96164351852</v>
      </c>
      <c r="C2051" s="1" t="n">
        <v>46093</v>
      </c>
      <c r="D2051" t="inlineStr">
        <is>
          <t>ÖSTERGÖTLANDS LÄN</t>
        </is>
      </c>
      <c r="E2051" t="inlineStr">
        <is>
          <t>ÖDESHÖG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39035-2023</t>
        </is>
      </c>
      <c r="B2052" s="1" t="n">
        <v>45163.87773148148</v>
      </c>
      <c r="C2052" s="1" t="n">
        <v>46093</v>
      </c>
      <c r="D2052" t="inlineStr">
        <is>
          <t>ÖSTERGÖTLANDS LÄN</t>
        </is>
      </c>
      <c r="E2052" t="inlineStr">
        <is>
          <t>BOXHOLM</t>
        </is>
      </c>
      <c r="F2052" t="inlineStr">
        <is>
          <t>Allmännings- och besparingsskogar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31147-2025</t>
        </is>
      </c>
      <c r="B2053" s="1" t="n">
        <v>45832.6390625</v>
      </c>
      <c r="C2053" s="1" t="n">
        <v>46093</v>
      </c>
      <c r="D2053" t="inlineStr">
        <is>
          <t>ÖSTERGÖTLANDS LÄN</t>
        </is>
      </c>
      <c r="E2053" t="inlineStr">
        <is>
          <t>KINDA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17664-2025</t>
        </is>
      </c>
      <c r="B2054" s="1" t="n">
        <v>45758.36203703703</v>
      </c>
      <c r="C2054" s="1" t="n">
        <v>46093</v>
      </c>
      <c r="D2054" t="inlineStr">
        <is>
          <t>ÖSTERGÖTLANDS LÄN</t>
        </is>
      </c>
      <c r="E2054" t="inlineStr">
        <is>
          <t>NORRKÖPING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940-2023</t>
        </is>
      </c>
      <c r="B2055" s="1" t="n">
        <v>44933</v>
      </c>
      <c r="C2055" s="1" t="n">
        <v>46093</v>
      </c>
      <c r="D2055" t="inlineStr">
        <is>
          <t>ÖSTERGÖTLANDS LÄN</t>
        </is>
      </c>
      <c r="E2055" t="inlineStr">
        <is>
          <t>LINKÖPING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31582-2023</t>
        </is>
      </c>
      <c r="B2056" s="1" t="n">
        <v>45117</v>
      </c>
      <c r="C2056" s="1" t="n">
        <v>46093</v>
      </c>
      <c r="D2056" t="inlineStr">
        <is>
          <t>ÖSTERGÖTLANDS LÄN</t>
        </is>
      </c>
      <c r="E2056" t="inlineStr">
        <is>
          <t>NORRKÖPING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35275-2025</t>
        </is>
      </c>
      <c r="B2057" s="1" t="n">
        <v>45853.96457175926</v>
      </c>
      <c r="C2057" s="1" t="n">
        <v>46093</v>
      </c>
      <c r="D2057" t="inlineStr">
        <is>
          <t>ÖSTERGÖTLANDS LÄN</t>
        </is>
      </c>
      <c r="E2057" t="inlineStr">
        <is>
          <t>FINSPÅNG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48247-2024</t>
        </is>
      </c>
      <c r="B2058" s="1" t="n">
        <v>45590.40115740741</v>
      </c>
      <c r="C2058" s="1" t="n">
        <v>46093</v>
      </c>
      <c r="D2058" t="inlineStr">
        <is>
          <t>ÖSTERGÖTLANDS LÄN</t>
        </is>
      </c>
      <c r="E2058" t="inlineStr">
        <is>
          <t>VALDEMARSVIK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28213-2025</t>
        </is>
      </c>
      <c r="B2059" s="1" t="n">
        <v>45818.46033564815</v>
      </c>
      <c r="C2059" s="1" t="n">
        <v>46093</v>
      </c>
      <c r="D2059" t="inlineStr">
        <is>
          <t>ÖSTERGÖTLANDS LÄN</t>
        </is>
      </c>
      <c r="E2059" t="inlineStr">
        <is>
          <t>VALDEMARSVIK</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30114-2024</t>
        </is>
      </c>
      <c r="B2060" s="1" t="n">
        <v>45489.47268518519</v>
      </c>
      <c r="C2060" s="1" t="n">
        <v>46093</v>
      </c>
      <c r="D2060" t="inlineStr">
        <is>
          <t>ÖSTERGÖTLANDS LÄN</t>
        </is>
      </c>
      <c r="E2060" t="inlineStr">
        <is>
          <t>SÖDERKÖPING</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38441-2024</t>
        </is>
      </c>
      <c r="B2061" s="1" t="n">
        <v>45546</v>
      </c>
      <c r="C2061" s="1" t="n">
        <v>46093</v>
      </c>
      <c r="D2061" t="inlineStr">
        <is>
          <t>ÖSTERGÖTLANDS LÄN</t>
        </is>
      </c>
      <c r="E2061" t="inlineStr">
        <is>
          <t>NORRKÖPING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1259-2025</t>
        </is>
      </c>
      <c r="B2062" s="1" t="n">
        <v>45667.471875</v>
      </c>
      <c r="C2062" s="1" t="n">
        <v>46093</v>
      </c>
      <c r="D2062" t="inlineStr">
        <is>
          <t>ÖSTERGÖTLANDS LÄN</t>
        </is>
      </c>
      <c r="E2062" t="inlineStr">
        <is>
          <t>VALDEMARSVIK</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38760-2025</t>
        </is>
      </c>
      <c r="B2063" s="1" t="n">
        <v>45887.39769675926</v>
      </c>
      <c r="C2063" s="1" t="n">
        <v>46093</v>
      </c>
      <c r="D2063" t="inlineStr">
        <is>
          <t>ÖSTERGÖTLANDS LÄN</t>
        </is>
      </c>
      <c r="E2063" t="inlineStr">
        <is>
          <t>MJÖLBY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38761-2025</t>
        </is>
      </c>
      <c r="B2064" s="1" t="n">
        <v>45887.40015046296</v>
      </c>
      <c r="C2064" s="1" t="n">
        <v>46093</v>
      </c>
      <c r="D2064" t="inlineStr">
        <is>
          <t>ÖSTERGÖTLANDS LÄN</t>
        </is>
      </c>
      <c r="E2064" t="inlineStr">
        <is>
          <t>YDRE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56425-2022</t>
        </is>
      </c>
      <c r="B2065" s="1" t="n">
        <v>44891</v>
      </c>
      <c r="C2065" s="1" t="n">
        <v>46093</v>
      </c>
      <c r="D2065" t="inlineStr">
        <is>
          <t>ÖSTERGÖTLANDS LÄN</t>
        </is>
      </c>
      <c r="E2065" t="inlineStr">
        <is>
          <t>FINSPÅNG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38913-2025</t>
        </is>
      </c>
      <c r="B2066" s="1" t="n">
        <v>45887</v>
      </c>
      <c r="C2066" s="1" t="n">
        <v>46093</v>
      </c>
      <c r="D2066" t="inlineStr">
        <is>
          <t>ÖSTERGÖTLANDS LÄN</t>
        </is>
      </c>
      <c r="E2066" t="inlineStr">
        <is>
          <t>NORRKÖPING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8806-2024</t>
        </is>
      </c>
      <c r="B2067" s="1" t="n">
        <v>45356.64872685185</v>
      </c>
      <c r="C2067" s="1" t="n">
        <v>46093</v>
      </c>
      <c r="D2067" t="inlineStr">
        <is>
          <t>ÖSTERGÖTLANDS LÄN</t>
        </is>
      </c>
      <c r="E2067" t="inlineStr">
        <is>
          <t>NORRKÖPING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2944-2024</t>
        </is>
      </c>
      <c r="B2068" s="1" t="n">
        <v>45315.62240740741</v>
      </c>
      <c r="C2068" s="1" t="n">
        <v>46093</v>
      </c>
      <c r="D2068" t="inlineStr">
        <is>
          <t>ÖSTERGÖTLANDS LÄN</t>
        </is>
      </c>
      <c r="E2068" t="inlineStr">
        <is>
          <t>ÅTVIDABERG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56270-2021</t>
        </is>
      </c>
      <c r="B2069" s="1" t="n">
        <v>44479</v>
      </c>
      <c r="C2069" s="1" t="n">
        <v>46093</v>
      </c>
      <c r="D2069" t="inlineStr">
        <is>
          <t>ÖSTERGÖTLANDS LÄN</t>
        </is>
      </c>
      <c r="E2069" t="inlineStr">
        <is>
          <t>ÅTVIDABERG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54442-2021</t>
        </is>
      </c>
      <c r="B2070" s="1" t="n">
        <v>44473.45114583334</v>
      </c>
      <c r="C2070" s="1" t="n">
        <v>46093</v>
      </c>
      <c r="D2070" t="inlineStr">
        <is>
          <t>ÖSTERGÖTLANDS LÄN</t>
        </is>
      </c>
      <c r="E2070" t="inlineStr">
        <is>
          <t>MJÖLBY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39053-2025</t>
        </is>
      </c>
      <c r="B2071" s="1" t="n">
        <v>45888.44862268519</v>
      </c>
      <c r="C2071" s="1" t="n">
        <v>46093</v>
      </c>
      <c r="D2071" t="inlineStr">
        <is>
          <t>ÖSTERGÖTLANDS LÄN</t>
        </is>
      </c>
      <c r="E2071" t="inlineStr">
        <is>
          <t>FINSPÅNG</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26350-2025</t>
        </is>
      </c>
      <c r="B2072" s="1" t="n">
        <v>45805</v>
      </c>
      <c r="C2072" s="1" t="n">
        <v>46093</v>
      </c>
      <c r="D2072" t="inlineStr">
        <is>
          <t>ÖSTERGÖTLANDS LÄN</t>
        </is>
      </c>
      <c r="E2072" t="inlineStr">
        <is>
          <t>MOTALA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39071-2025</t>
        </is>
      </c>
      <c r="B2073" s="1" t="n">
        <v>45888.46922453704</v>
      </c>
      <c r="C2073" s="1" t="n">
        <v>46093</v>
      </c>
      <c r="D2073" t="inlineStr">
        <is>
          <t>ÖSTERGÖTLANDS LÄN</t>
        </is>
      </c>
      <c r="E2073" t="inlineStr">
        <is>
          <t>NORRKÖPING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39072-2025</t>
        </is>
      </c>
      <c r="B2074" s="1" t="n">
        <v>45888.4712037037</v>
      </c>
      <c r="C2074" s="1" t="n">
        <v>46093</v>
      </c>
      <c r="D2074" t="inlineStr">
        <is>
          <t>ÖSTERGÖTLANDS LÄN</t>
        </is>
      </c>
      <c r="E2074" t="inlineStr">
        <is>
          <t>NORRKÖPING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31813-2023</t>
        </is>
      </c>
      <c r="B2075" s="1" t="n">
        <v>45106</v>
      </c>
      <c r="C2075" s="1" t="n">
        <v>46093</v>
      </c>
      <c r="D2075" t="inlineStr">
        <is>
          <t>ÖSTERGÖTLANDS LÄN</t>
        </is>
      </c>
      <c r="E2075" t="inlineStr">
        <is>
          <t>NORRKÖPING</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20540-2024</t>
        </is>
      </c>
      <c r="B2076" s="1" t="n">
        <v>45436.32626157408</v>
      </c>
      <c r="C2076" s="1" t="n">
        <v>46093</v>
      </c>
      <c r="D2076" t="inlineStr">
        <is>
          <t>ÖSTERGÖTLANDS LÄN</t>
        </is>
      </c>
      <c r="E2076" t="inlineStr">
        <is>
          <t>YDRE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38997-2025</t>
        </is>
      </c>
      <c r="B2077" s="1" t="n">
        <v>45888.33875</v>
      </c>
      <c r="C2077" s="1" t="n">
        <v>46093</v>
      </c>
      <c r="D2077" t="inlineStr">
        <is>
          <t>ÖSTERGÖTLANDS LÄN</t>
        </is>
      </c>
      <c r="E2077" t="inlineStr">
        <is>
          <t>ÅTVIDABERG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35279-2025</t>
        </is>
      </c>
      <c r="B2078" s="1" t="n">
        <v>45853.98606481482</v>
      </c>
      <c r="C2078" s="1" t="n">
        <v>46093</v>
      </c>
      <c r="D2078" t="inlineStr">
        <is>
          <t>ÖSTERGÖTLANDS LÄN</t>
        </is>
      </c>
      <c r="E2078" t="inlineStr">
        <is>
          <t>FINSPÅNG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6336-2025</t>
        </is>
      </c>
      <c r="B2079" s="1" t="n">
        <v>45698.96422453703</v>
      </c>
      <c r="C2079" s="1" t="n">
        <v>46093</v>
      </c>
      <c r="D2079" t="inlineStr">
        <is>
          <t>ÖSTERGÖTLANDS LÄN</t>
        </is>
      </c>
      <c r="E2079" t="inlineStr">
        <is>
          <t>VALDEMARSVIK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5479-2024</t>
        </is>
      </c>
      <c r="B2080" s="1" t="n">
        <v>45333.84959490741</v>
      </c>
      <c r="C2080" s="1" t="n">
        <v>46093</v>
      </c>
      <c r="D2080" t="inlineStr">
        <is>
          <t>ÖSTERGÖTLANDS LÄN</t>
        </is>
      </c>
      <c r="E2080" t="inlineStr">
        <is>
          <t>KINDA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38971-2025</t>
        </is>
      </c>
      <c r="B2081" s="1" t="n">
        <v>45887.71827546296</v>
      </c>
      <c r="C2081" s="1" t="n">
        <v>46093</v>
      </c>
      <c r="D2081" t="inlineStr">
        <is>
          <t>ÖSTERGÖTLANDS LÄN</t>
        </is>
      </c>
      <c r="E2081" t="inlineStr">
        <is>
          <t>LINKÖPING</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8088-2024</t>
        </is>
      </c>
      <c r="B2082" s="1" t="n">
        <v>45351</v>
      </c>
      <c r="C2082" s="1" t="n">
        <v>46093</v>
      </c>
      <c r="D2082" t="inlineStr">
        <is>
          <t>ÖSTERGÖTLANDS LÄN</t>
        </is>
      </c>
      <c r="E2082" t="inlineStr">
        <is>
          <t>KINDA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34761-2024</t>
        </is>
      </c>
      <c r="B2083" s="1" t="n">
        <v>45526.61543981481</v>
      </c>
      <c r="C2083" s="1" t="n">
        <v>46093</v>
      </c>
      <c r="D2083" t="inlineStr">
        <is>
          <t>ÖSTERGÖTLANDS LÄN</t>
        </is>
      </c>
      <c r="E2083" t="inlineStr">
        <is>
          <t>MOTALA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53670-2024</t>
        </is>
      </c>
      <c r="B2084" s="1" t="n">
        <v>45615.33805555556</v>
      </c>
      <c r="C2084" s="1" t="n">
        <v>46093</v>
      </c>
      <c r="D2084" t="inlineStr">
        <is>
          <t>ÖSTERGÖTLANDS LÄN</t>
        </is>
      </c>
      <c r="E2084" t="inlineStr">
        <is>
          <t>FINSPÅNG</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72567-2021</t>
        </is>
      </c>
      <c r="B2085" s="1" t="n">
        <v>44546.45023148148</v>
      </c>
      <c r="C2085" s="1" t="n">
        <v>46093</v>
      </c>
      <c r="D2085" t="inlineStr">
        <is>
          <t>ÖSTERGÖTLANDS LÄN</t>
        </is>
      </c>
      <c r="E2085" t="inlineStr">
        <is>
          <t>LINKÖPING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7992-2023</t>
        </is>
      </c>
      <c r="B2086" s="1" t="n">
        <v>44970</v>
      </c>
      <c r="C2086" s="1" t="n">
        <v>46093</v>
      </c>
      <c r="D2086" t="inlineStr">
        <is>
          <t>ÖSTERGÖTLANDS LÄN</t>
        </is>
      </c>
      <c r="E2086" t="inlineStr">
        <is>
          <t>LINKÖPING</t>
        </is>
      </c>
      <c r="F2086" t="inlineStr">
        <is>
          <t>Kommuner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57662-2022</t>
        </is>
      </c>
      <c r="B2087" s="1" t="n">
        <v>44897.4424537037</v>
      </c>
      <c r="C2087" s="1" t="n">
        <v>46093</v>
      </c>
      <c r="D2087" t="inlineStr">
        <is>
          <t>ÖSTERGÖTLANDS LÄN</t>
        </is>
      </c>
      <c r="E2087" t="inlineStr">
        <is>
          <t>FINSPÅNG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23911-2025</t>
        </is>
      </c>
      <c r="B2088" s="1" t="n">
        <v>45794.82371527778</v>
      </c>
      <c r="C2088" s="1" t="n">
        <v>46093</v>
      </c>
      <c r="D2088" t="inlineStr">
        <is>
          <t>ÖSTERGÖTLANDS LÄN</t>
        </is>
      </c>
      <c r="E2088" t="inlineStr">
        <is>
          <t>NORRKÖPING</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39067-2025</t>
        </is>
      </c>
      <c r="B2089" s="1" t="n">
        <v>45888.4658449074</v>
      </c>
      <c r="C2089" s="1" t="n">
        <v>46093</v>
      </c>
      <c r="D2089" t="inlineStr">
        <is>
          <t>ÖSTERGÖTLANDS LÄN</t>
        </is>
      </c>
      <c r="E2089" t="inlineStr">
        <is>
          <t>NORRKÖPING</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48658-2024</t>
        </is>
      </c>
      <c r="B2090" s="1" t="n">
        <v>45593.48603009259</v>
      </c>
      <c r="C2090" s="1" t="n">
        <v>46093</v>
      </c>
      <c r="D2090" t="inlineStr">
        <is>
          <t>ÖSTERGÖTLANDS LÄN</t>
        </is>
      </c>
      <c r="E2090" t="inlineStr">
        <is>
          <t>FINSPÅNG</t>
        </is>
      </c>
      <c r="F2090" t="inlineStr">
        <is>
          <t>Övriga Aktiebolag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45819-2024</t>
        </is>
      </c>
      <c r="B2091" s="1" t="n">
        <v>45579.7454050926</v>
      </c>
      <c r="C2091" s="1" t="n">
        <v>46093</v>
      </c>
      <c r="D2091" t="inlineStr">
        <is>
          <t>ÖSTERGÖTLANDS LÄN</t>
        </is>
      </c>
      <c r="E2091" t="inlineStr">
        <is>
          <t>LINKÖPING</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26007-2025</t>
        </is>
      </c>
      <c r="B2092" s="1" t="n">
        <v>45804.67081018518</v>
      </c>
      <c r="C2092" s="1" t="n">
        <v>46093</v>
      </c>
      <c r="D2092" t="inlineStr">
        <is>
          <t>ÖSTERGÖTLANDS LÄN</t>
        </is>
      </c>
      <c r="E2092" t="inlineStr">
        <is>
          <t>LINKÖPING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39081-2025</t>
        </is>
      </c>
      <c r="B2093" s="1" t="n">
        <v>45888.48699074074</v>
      </c>
      <c r="C2093" s="1" t="n">
        <v>46093</v>
      </c>
      <c r="D2093" t="inlineStr">
        <is>
          <t>ÖSTERGÖTLANDS LÄN</t>
        </is>
      </c>
      <c r="E2093" t="inlineStr">
        <is>
          <t>YDRE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22029-2025</t>
        </is>
      </c>
      <c r="B2094" s="1" t="n">
        <v>45785.24804398148</v>
      </c>
      <c r="C2094" s="1" t="n">
        <v>46093</v>
      </c>
      <c r="D2094" t="inlineStr">
        <is>
          <t>ÖSTERGÖTLANDS LÄN</t>
        </is>
      </c>
      <c r="E2094" t="inlineStr">
        <is>
          <t>KINDA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45457-2024</t>
        </is>
      </c>
      <c r="B2095" s="1" t="n">
        <v>45576.67208333333</v>
      </c>
      <c r="C2095" s="1" t="n">
        <v>46093</v>
      </c>
      <c r="D2095" t="inlineStr">
        <is>
          <t>ÖSTERGÖTLANDS LÄN</t>
        </is>
      </c>
      <c r="E2095" t="inlineStr">
        <is>
          <t>KINDA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35179-2025</t>
        </is>
      </c>
      <c r="B2096" s="1" t="n">
        <v>45852.93737268518</v>
      </c>
      <c r="C2096" s="1" t="n">
        <v>46093</v>
      </c>
      <c r="D2096" t="inlineStr">
        <is>
          <t>ÖSTERGÖTLANDS LÄN</t>
        </is>
      </c>
      <c r="E2096" t="inlineStr">
        <is>
          <t>LINKÖPING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35180-2025</t>
        </is>
      </c>
      <c r="B2097" s="1" t="n">
        <v>45852.9413425926</v>
      </c>
      <c r="C2097" s="1" t="n">
        <v>46093</v>
      </c>
      <c r="D2097" t="inlineStr">
        <is>
          <t>ÖSTERGÖTLANDS LÄN</t>
        </is>
      </c>
      <c r="E2097" t="inlineStr">
        <is>
          <t>LINKÖPING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55173-2024</t>
        </is>
      </c>
      <c r="B2098" s="1" t="n">
        <v>45618</v>
      </c>
      <c r="C2098" s="1" t="n">
        <v>46093</v>
      </c>
      <c r="D2098" t="inlineStr">
        <is>
          <t>ÖSTERGÖTLANDS LÄN</t>
        </is>
      </c>
      <c r="E2098" t="inlineStr">
        <is>
          <t>ÖDESHÖG</t>
        </is>
      </c>
      <c r="G2098" t="n">
        <v>16.5</v>
      </c>
      <c r="H2098" t="n">
        <v>0</v>
      </c>
      <c r="I2098" t="n">
        <v>0</v>
      </c>
      <c r="J2098" t="n">
        <v>0</v>
      </c>
      <c r="K2098" t="n">
        <v>0</v>
      </c>
      <c r="L2098" t="n">
        <v>0</v>
      </c>
      <c r="M2098" t="n">
        <v>0</v>
      </c>
      <c r="N2098" t="n">
        <v>0</v>
      </c>
      <c r="O2098" t="n">
        <v>0</v>
      </c>
      <c r="P2098" t="n">
        <v>0</v>
      </c>
      <c r="Q2098" t="n">
        <v>0</v>
      </c>
      <c r="R2098" s="2" t="inlineStr"/>
    </row>
    <row r="2099" ht="15" customHeight="1">
      <c r="A2099" t="inlineStr">
        <is>
          <t>A 3041-2024</t>
        </is>
      </c>
      <c r="B2099" s="1" t="n">
        <v>45316.34875</v>
      </c>
      <c r="C2099" s="1" t="n">
        <v>46093</v>
      </c>
      <c r="D2099" t="inlineStr">
        <is>
          <t>ÖSTERGÖTLANDS LÄN</t>
        </is>
      </c>
      <c r="E2099" t="inlineStr">
        <is>
          <t>LINKÖPING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51359-2024</t>
        </is>
      </c>
      <c r="B2100" s="1" t="n">
        <v>45604.36541666667</v>
      </c>
      <c r="C2100" s="1" t="n">
        <v>46093</v>
      </c>
      <c r="D2100" t="inlineStr">
        <is>
          <t>ÖSTERGÖTLANDS LÄN</t>
        </is>
      </c>
      <c r="E2100" t="inlineStr">
        <is>
          <t>BOXHOLM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10035-2025</t>
        </is>
      </c>
      <c r="B2101" s="1" t="n">
        <v>45719.49922453704</v>
      </c>
      <c r="C2101" s="1" t="n">
        <v>46093</v>
      </c>
      <c r="D2101" t="inlineStr">
        <is>
          <t>ÖSTERGÖTLANDS LÄN</t>
        </is>
      </c>
      <c r="E2101" t="inlineStr">
        <is>
          <t>KINDA</t>
        </is>
      </c>
      <c r="G2101" t="n">
        <v>1.9</v>
      </c>
      <c r="H2101" t="n">
        <v>0</v>
      </c>
      <c r="I2101" t="n">
        <v>0</v>
      </c>
      <c r="J2101" t="n">
        <v>0</v>
      </c>
      <c r="K2101" t="n">
        <v>0</v>
      </c>
      <c r="L2101" t="n">
        <v>0</v>
      </c>
      <c r="M2101" t="n">
        <v>0</v>
      </c>
      <c r="N2101" t="n">
        <v>0</v>
      </c>
      <c r="O2101" t="n">
        <v>0</v>
      </c>
      <c r="P2101" t="n">
        <v>0</v>
      </c>
      <c r="Q2101" t="n">
        <v>0</v>
      </c>
      <c r="R2101" s="2" t="inlineStr"/>
      <c r="U2101">
        <f>HYPERLINK("https://klasma.github.io/Logging_0513/knärot/A 10035-2025 karta knärot.png", "A 10035-2025")</f>
        <v/>
      </c>
      <c r="V2101">
        <f>HYPERLINK("https://klasma.github.io/Logging_0513/klagomål/A 10035-2025 FSC-klagomål.docx", "A 10035-2025")</f>
        <v/>
      </c>
      <c r="W2101">
        <f>HYPERLINK("https://klasma.github.io/Logging_0513/klagomålsmail/A 10035-2025 FSC-klagomål mail.docx", "A 10035-2025")</f>
        <v/>
      </c>
      <c r="X2101">
        <f>HYPERLINK("https://klasma.github.io/Logging_0513/tillsyn/A 10035-2025 tillsynsbegäran.docx", "A 10035-2025")</f>
        <v/>
      </c>
      <c r="Y2101">
        <f>HYPERLINK("https://klasma.github.io/Logging_0513/tillsynsmail/A 10035-2025 tillsynsbegäran mail.docx", "A 10035-2025")</f>
        <v/>
      </c>
    </row>
    <row r="2102" ht="15" customHeight="1">
      <c r="A2102" t="inlineStr">
        <is>
          <t>A 10187-2025</t>
        </is>
      </c>
      <c r="B2102" s="1" t="n">
        <v>45719.69138888889</v>
      </c>
      <c r="C2102" s="1" t="n">
        <v>46093</v>
      </c>
      <c r="D2102" t="inlineStr">
        <is>
          <t>ÖSTERGÖTLANDS LÄN</t>
        </is>
      </c>
      <c r="E2102" t="inlineStr">
        <is>
          <t>SÖDERKÖPING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32602-2022</t>
        </is>
      </c>
      <c r="B2103" s="1" t="n">
        <v>44783.43192129629</v>
      </c>
      <c r="C2103" s="1" t="n">
        <v>46093</v>
      </c>
      <c r="D2103" t="inlineStr">
        <is>
          <t>ÖSTERGÖTLANDS LÄN</t>
        </is>
      </c>
      <c r="E2103" t="inlineStr">
        <is>
          <t>LINKÖPING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39090-2025</t>
        </is>
      </c>
      <c r="B2104" s="1" t="n">
        <v>45888.49229166667</v>
      </c>
      <c r="C2104" s="1" t="n">
        <v>46093</v>
      </c>
      <c r="D2104" t="inlineStr">
        <is>
          <t>ÖSTERGÖTLANDS LÄN</t>
        </is>
      </c>
      <c r="E2104" t="inlineStr">
        <is>
          <t>KINDA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7295-2022</t>
        </is>
      </c>
      <c r="B2105" s="1" t="n">
        <v>44606.48096064815</v>
      </c>
      <c r="C2105" s="1" t="n">
        <v>46093</v>
      </c>
      <c r="D2105" t="inlineStr">
        <is>
          <t>ÖSTERGÖTLANDS LÄN</t>
        </is>
      </c>
      <c r="E2105" t="inlineStr">
        <is>
          <t>MOTALA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7306-2022</t>
        </is>
      </c>
      <c r="B2106" s="1" t="n">
        <v>44606.50606481481</v>
      </c>
      <c r="C2106" s="1" t="n">
        <v>46093</v>
      </c>
      <c r="D2106" t="inlineStr">
        <is>
          <t>ÖSTERGÖTLANDS LÄN</t>
        </is>
      </c>
      <c r="E2106" t="inlineStr">
        <is>
          <t>YDRE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35375-2025</t>
        </is>
      </c>
      <c r="B2107" s="1" t="n">
        <v>45854.89873842592</v>
      </c>
      <c r="C2107" s="1" t="n">
        <v>46093</v>
      </c>
      <c r="D2107" t="inlineStr">
        <is>
          <t>ÖSTERGÖTLANDS LÄN</t>
        </is>
      </c>
      <c r="E2107" t="inlineStr">
        <is>
          <t>FINSPÅNG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41932-2021</t>
        </is>
      </c>
      <c r="B2108" s="1" t="n">
        <v>44425</v>
      </c>
      <c r="C2108" s="1" t="n">
        <v>46093</v>
      </c>
      <c r="D2108" t="inlineStr">
        <is>
          <t>ÖSTERGÖTLANDS LÄN</t>
        </is>
      </c>
      <c r="E2108" t="inlineStr">
        <is>
          <t>FINSPÅNG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17430-2024</t>
        </is>
      </c>
      <c r="B2109" s="1" t="n">
        <v>45415.32174768519</v>
      </c>
      <c r="C2109" s="1" t="n">
        <v>46093</v>
      </c>
      <c r="D2109" t="inlineStr">
        <is>
          <t>ÖSTERGÖTLANDS LÄN</t>
        </is>
      </c>
      <c r="E2109" t="inlineStr">
        <is>
          <t>ÅTVIDABERG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23910-2025</t>
        </is>
      </c>
      <c r="B2110" s="1" t="n">
        <v>45794.82150462963</v>
      </c>
      <c r="C2110" s="1" t="n">
        <v>46093</v>
      </c>
      <c r="D2110" t="inlineStr">
        <is>
          <t>ÖSTERGÖTLANDS LÄN</t>
        </is>
      </c>
      <c r="E2110" t="inlineStr">
        <is>
          <t>NORRKÖPING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26392-2023</t>
        </is>
      </c>
      <c r="B2111" s="1" t="n">
        <v>45092.35369212963</v>
      </c>
      <c r="C2111" s="1" t="n">
        <v>46093</v>
      </c>
      <c r="D2111" t="inlineStr">
        <is>
          <t>ÖSTERGÖTLANDS LÄN</t>
        </is>
      </c>
      <c r="E2111" t="inlineStr">
        <is>
          <t>NORRKÖPING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38740-2025</t>
        </is>
      </c>
      <c r="B2112" s="1" t="n">
        <v>45887</v>
      </c>
      <c r="C2112" s="1" t="n">
        <v>46093</v>
      </c>
      <c r="D2112" t="inlineStr">
        <is>
          <t>ÖSTERGÖTLANDS LÄN</t>
        </is>
      </c>
      <c r="E2112" t="inlineStr">
        <is>
          <t>NORRKÖPING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60210-2023</t>
        </is>
      </c>
      <c r="B2113" s="1" t="n">
        <v>45258.60165509259</v>
      </c>
      <c r="C2113" s="1" t="n">
        <v>46093</v>
      </c>
      <c r="D2113" t="inlineStr">
        <is>
          <t>ÖSTERGÖTLANDS LÄN</t>
        </is>
      </c>
      <c r="E2113" t="inlineStr">
        <is>
          <t>BOXHOLM</t>
        </is>
      </c>
      <c r="F2113" t="inlineStr">
        <is>
          <t>Övriga Aktiebolag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60217-2023</t>
        </is>
      </c>
      <c r="B2114" s="1" t="n">
        <v>45258.6102662037</v>
      </c>
      <c r="C2114" s="1" t="n">
        <v>46093</v>
      </c>
      <c r="D2114" t="inlineStr">
        <is>
          <t>ÖSTERGÖTLANDS LÄN</t>
        </is>
      </c>
      <c r="E2114" t="inlineStr">
        <is>
          <t>ÅTVIDABERG</t>
        </is>
      </c>
      <c r="F2114" t="inlineStr">
        <is>
          <t>Holmen skog AB</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32378-2024</t>
        </is>
      </c>
      <c r="B2115" s="1" t="n">
        <v>45512.61466435185</v>
      </c>
      <c r="C2115" s="1" t="n">
        <v>46093</v>
      </c>
      <c r="D2115" t="inlineStr">
        <is>
          <t>ÖSTERGÖTLANDS LÄN</t>
        </is>
      </c>
      <c r="E2115" t="inlineStr">
        <is>
          <t>ÖDESHÖG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5492-2024</t>
        </is>
      </c>
      <c r="B2116" s="1" t="n">
        <v>45334.32820601852</v>
      </c>
      <c r="C2116" s="1" t="n">
        <v>46093</v>
      </c>
      <c r="D2116" t="inlineStr">
        <is>
          <t>ÖSTERGÖTLANDS LÄN</t>
        </is>
      </c>
      <c r="E2116" t="inlineStr">
        <is>
          <t>ÅTVIDABERG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14148-2025</t>
        </is>
      </c>
      <c r="B2117" s="1" t="n">
        <v>45740.49010416667</v>
      </c>
      <c r="C2117" s="1" t="n">
        <v>46093</v>
      </c>
      <c r="D2117" t="inlineStr">
        <is>
          <t>ÖSTERGÖTLANDS LÄN</t>
        </is>
      </c>
      <c r="E2117" t="inlineStr">
        <is>
          <t>BOXHOLM</t>
        </is>
      </c>
      <c r="F2117" t="inlineStr">
        <is>
          <t>Övriga Aktiebolag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5941-2024</t>
        </is>
      </c>
      <c r="B2118" s="1" t="n">
        <v>45336</v>
      </c>
      <c r="C2118" s="1" t="n">
        <v>46093</v>
      </c>
      <c r="D2118" t="inlineStr">
        <is>
          <t>ÖSTERGÖTLANDS LÄN</t>
        </is>
      </c>
      <c r="E2118" t="inlineStr">
        <is>
          <t>NORRKÖPING</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62049-2023</t>
        </is>
      </c>
      <c r="B2119" s="1" t="n">
        <v>45266.69091435185</v>
      </c>
      <c r="C2119" s="1" t="n">
        <v>46093</v>
      </c>
      <c r="D2119" t="inlineStr">
        <is>
          <t>ÖSTERGÖTLANDS LÄN</t>
        </is>
      </c>
      <c r="E2119" t="inlineStr">
        <is>
          <t>NORRKÖPING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24547-2025</t>
        </is>
      </c>
      <c r="B2120" s="1" t="n">
        <v>45798.44715277778</v>
      </c>
      <c r="C2120" s="1" t="n">
        <v>46093</v>
      </c>
      <c r="D2120" t="inlineStr">
        <is>
          <t>ÖSTERGÖTLANDS LÄN</t>
        </is>
      </c>
      <c r="E2120" t="inlineStr">
        <is>
          <t>MOTALA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39025-2025</t>
        </is>
      </c>
      <c r="B2121" s="1" t="n">
        <v>45888.3796875</v>
      </c>
      <c r="C2121" s="1" t="n">
        <v>46093</v>
      </c>
      <c r="D2121" t="inlineStr">
        <is>
          <t>ÖSTERGÖTLANDS LÄN</t>
        </is>
      </c>
      <c r="E2121" t="inlineStr">
        <is>
          <t>FINSPÅNG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9734-2023</t>
        </is>
      </c>
      <c r="B2122" s="1" t="n">
        <v>44984</v>
      </c>
      <c r="C2122" s="1" t="n">
        <v>46093</v>
      </c>
      <c r="D2122" t="inlineStr">
        <is>
          <t>ÖSTERGÖTLANDS LÄN</t>
        </is>
      </c>
      <c r="E2122" t="inlineStr">
        <is>
          <t>SÖDERKÖPING</t>
        </is>
      </c>
      <c r="F2122" t="inlineStr">
        <is>
          <t>Allmännings- och besparingsskogar</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27264-2025</t>
        </is>
      </c>
      <c r="B2123" s="1" t="n">
        <v>45812.4794212963</v>
      </c>
      <c r="C2123" s="1" t="n">
        <v>46093</v>
      </c>
      <c r="D2123" t="inlineStr">
        <is>
          <t>ÖSTERGÖTLANDS LÄN</t>
        </is>
      </c>
      <c r="E2123" t="inlineStr">
        <is>
          <t>LINKÖPING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9799-2023</t>
        </is>
      </c>
      <c r="B2124" s="1" t="n">
        <v>44984.65405092593</v>
      </c>
      <c r="C2124" s="1" t="n">
        <v>46093</v>
      </c>
      <c r="D2124" t="inlineStr">
        <is>
          <t>ÖSTERGÖTLANDS LÄN</t>
        </is>
      </c>
      <c r="E2124" t="inlineStr">
        <is>
          <t>SÖDERKÖPING</t>
        </is>
      </c>
      <c r="F2124" t="inlineStr">
        <is>
          <t>Allmännings- och besparingsskogar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39467-2024</t>
        </is>
      </c>
      <c r="B2125" s="1" t="n">
        <v>45551.63465277778</v>
      </c>
      <c r="C2125" s="1" t="n">
        <v>46093</v>
      </c>
      <c r="D2125" t="inlineStr">
        <is>
          <t>ÖSTERGÖTLANDS LÄN</t>
        </is>
      </c>
      <c r="E2125" t="inlineStr">
        <is>
          <t>FINSPÅNG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27579-2023</t>
        </is>
      </c>
      <c r="B2126" s="1" t="n">
        <v>45093</v>
      </c>
      <c r="C2126" s="1" t="n">
        <v>46093</v>
      </c>
      <c r="D2126" t="inlineStr">
        <is>
          <t>ÖSTERGÖTLANDS LÄN</t>
        </is>
      </c>
      <c r="E2126" t="inlineStr">
        <is>
          <t>NORRKÖPING</t>
        </is>
      </c>
      <c r="F2126" t="inlineStr">
        <is>
          <t>Allmännings- och besparingsskogar</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27607-2023</t>
        </is>
      </c>
      <c r="B2127" s="1" t="n">
        <v>45097</v>
      </c>
      <c r="C2127" s="1" t="n">
        <v>46093</v>
      </c>
      <c r="D2127" t="inlineStr">
        <is>
          <t>ÖSTERGÖTLANDS LÄN</t>
        </is>
      </c>
      <c r="E2127" t="inlineStr">
        <is>
          <t>FINSPÅNG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27699-2023</t>
        </is>
      </c>
      <c r="B2128" s="1" t="n">
        <v>45095</v>
      </c>
      <c r="C2128" s="1" t="n">
        <v>46093</v>
      </c>
      <c r="D2128" t="inlineStr">
        <is>
          <t>ÖSTERGÖTLANDS LÄN</t>
        </is>
      </c>
      <c r="E2128" t="inlineStr">
        <is>
          <t>FINSPÅNG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47679-2024</t>
        </is>
      </c>
      <c r="B2129" s="1" t="n">
        <v>45588.41420138889</v>
      </c>
      <c r="C2129" s="1" t="n">
        <v>46093</v>
      </c>
      <c r="D2129" t="inlineStr">
        <is>
          <t>ÖSTERGÖTLANDS LÄN</t>
        </is>
      </c>
      <c r="E2129" t="inlineStr">
        <is>
          <t>VALDEMARSVIK</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25679-2024</t>
        </is>
      </c>
      <c r="B2130" s="1" t="n">
        <v>45463.79559027778</v>
      </c>
      <c r="C2130" s="1" t="n">
        <v>46093</v>
      </c>
      <c r="D2130" t="inlineStr">
        <is>
          <t>ÖSTERGÖTLANDS LÄN</t>
        </is>
      </c>
      <c r="E2130" t="inlineStr">
        <is>
          <t>FINSPÅNG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26785-2024</t>
        </is>
      </c>
      <c r="B2131" s="1" t="n">
        <v>45470</v>
      </c>
      <c r="C2131" s="1" t="n">
        <v>46093</v>
      </c>
      <c r="D2131" t="inlineStr">
        <is>
          <t>ÖSTERGÖTLANDS LÄN</t>
        </is>
      </c>
      <c r="E2131" t="inlineStr">
        <is>
          <t>MOTALA</t>
        </is>
      </c>
      <c r="F2131" t="inlineStr">
        <is>
          <t>Sveaskog</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64161-2023</t>
        </is>
      </c>
      <c r="B2132" s="1" t="n">
        <v>45279.61494212963</v>
      </c>
      <c r="C2132" s="1" t="n">
        <v>46093</v>
      </c>
      <c r="D2132" t="inlineStr">
        <is>
          <t>ÖSTERGÖTLANDS LÄN</t>
        </is>
      </c>
      <c r="E2132" t="inlineStr">
        <is>
          <t>MOTALA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39683-2025</t>
        </is>
      </c>
      <c r="B2133" s="1" t="n">
        <v>45890.66296296296</v>
      </c>
      <c r="C2133" s="1" t="n">
        <v>46093</v>
      </c>
      <c r="D2133" t="inlineStr">
        <is>
          <t>ÖSTERGÖTLANDS LÄN</t>
        </is>
      </c>
      <c r="E2133" t="inlineStr">
        <is>
          <t>VALDEMARSVIK</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64175-2023</t>
        </is>
      </c>
      <c r="B2134" s="1" t="n">
        <v>45279</v>
      </c>
      <c r="C2134" s="1" t="n">
        <v>46093</v>
      </c>
      <c r="D2134" t="inlineStr">
        <is>
          <t>ÖSTERGÖTLANDS LÄN</t>
        </is>
      </c>
      <c r="E2134" t="inlineStr">
        <is>
          <t>MOTALA</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3530-2024</t>
        </is>
      </c>
      <c r="B2135" s="1" t="n">
        <v>45320.54717592592</v>
      </c>
      <c r="C2135" s="1" t="n">
        <v>46093</v>
      </c>
      <c r="D2135" t="inlineStr">
        <is>
          <t>ÖSTERGÖTLANDS LÄN</t>
        </is>
      </c>
      <c r="E2135" t="inlineStr">
        <is>
          <t>LINKÖPING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72563-2021</t>
        </is>
      </c>
      <c r="B2136" s="1" t="n">
        <v>44546.44777777778</v>
      </c>
      <c r="C2136" s="1" t="n">
        <v>46093</v>
      </c>
      <c r="D2136" t="inlineStr">
        <is>
          <t>ÖSTERGÖTLANDS LÄN</t>
        </is>
      </c>
      <c r="E2136" t="inlineStr">
        <is>
          <t>MJÖLBY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27543-2024</t>
        </is>
      </c>
      <c r="B2137" s="1" t="n">
        <v>45474.59736111111</v>
      </c>
      <c r="C2137" s="1" t="n">
        <v>46093</v>
      </c>
      <c r="D2137" t="inlineStr">
        <is>
          <t>ÖSTERGÖTLANDS LÄN</t>
        </is>
      </c>
      <c r="E2137" t="inlineStr">
        <is>
          <t>YDRE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39659-2025</t>
        </is>
      </c>
      <c r="B2138" s="1" t="n">
        <v>45890.62998842593</v>
      </c>
      <c r="C2138" s="1" t="n">
        <v>46093</v>
      </c>
      <c r="D2138" t="inlineStr">
        <is>
          <t>ÖSTERGÖTLANDS LÄN</t>
        </is>
      </c>
      <c r="E2138" t="inlineStr">
        <is>
          <t>SÖDERKÖPING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57144-2024</t>
        </is>
      </c>
      <c r="B2139" s="1" t="n">
        <v>45629.38939814815</v>
      </c>
      <c r="C2139" s="1" t="n">
        <v>46093</v>
      </c>
      <c r="D2139" t="inlineStr">
        <is>
          <t>ÖSTERGÖTLANDS LÄN</t>
        </is>
      </c>
      <c r="E2139" t="inlineStr">
        <is>
          <t>VALDEMARSVIK</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46240-2021</t>
        </is>
      </c>
      <c r="B2140" s="1" t="n">
        <v>44442</v>
      </c>
      <c r="C2140" s="1" t="n">
        <v>46093</v>
      </c>
      <c r="D2140" t="inlineStr">
        <is>
          <t>ÖSTERGÖTLANDS LÄN</t>
        </is>
      </c>
      <c r="E2140" t="inlineStr">
        <is>
          <t>MJÖLBY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35492-2025</t>
        </is>
      </c>
      <c r="B2141" s="1" t="n">
        <v>45855.89788194445</v>
      </c>
      <c r="C2141" s="1" t="n">
        <v>46093</v>
      </c>
      <c r="D2141" t="inlineStr">
        <is>
          <t>ÖSTERGÖTLANDS LÄN</t>
        </is>
      </c>
      <c r="E2141" t="inlineStr">
        <is>
          <t>FINSPÅNG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68095-2021</t>
        </is>
      </c>
      <c r="B2142" s="1" t="n">
        <v>44526.3550462963</v>
      </c>
      <c r="C2142" s="1" t="n">
        <v>46093</v>
      </c>
      <c r="D2142" t="inlineStr">
        <is>
          <t>ÖSTERGÖTLANDS LÄN</t>
        </is>
      </c>
      <c r="E2142" t="inlineStr">
        <is>
          <t>MJÖLBY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39438-2025</t>
        </is>
      </c>
      <c r="B2143" s="1" t="n">
        <v>45889.68641203704</v>
      </c>
      <c r="C2143" s="1" t="n">
        <v>46093</v>
      </c>
      <c r="D2143" t="inlineStr">
        <is>
          <t>ÖSTERGÖTLANDS LÄN</t>
        </is>
      </c>
      <c r="E2143" t="inlineStr">
        <is>
          <t>LINKÖPING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35374-2025</t>
        </is>
      </c>
      <c r="B2144" s="1" t="n">
        <v>45854.89011574074</v>
      </c>
      <c r="C2144" s="1" t="n">
        <v>46093</v>
      </c>
      <c r="D2144" t="inlineStr">
        <is>
          <t>ÖSTERGÖTLANDS LÄN</t>
        </is>
      </c>
      <c r="E2144" t="inlineStr">
        <is>
          <t>FINSPÅNG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45309-2023</t>
        </is>
      </c>
      <c r="B2145" s="1" t="n">
        <v>45191</v>
      </c>
      <c r="C2145" s="1" t="n">
        <v>46093</v>
      </c>
      <c r="D2145" t="inlineStr">
        <is>
          <t>ÖSTERGÖTLANDS LÄN</t>
        </is>
      </c>
      <c r="E2145" t="inlineStr">
        <is>
          <t>NORRKÖPING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43995-2023</t>
        </is>
      </c>
      <c r="B2146" s="1" t="n">
        <v>45187.97777777778</v>
      </c>
      <c r="C2146" s="1" t="n">
        <v>46093</v>
      </c>
      <c r="D2146" t="inlineStr">
        <is>
          <t>ÖSTERGÖTLANDS LÄN</t>
        </is>
      </c>
      <c r="E2146" t="inlineStr">
        <is>
          <t>MOTALA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22555-2024</t>
        </is>
      </c>
      <c r="B2147" s="1" t="n">
        <v>45447</v>
      </c>
      <c r="C2147" s="1" t="n">
        <v>46093</v>
      </c>
      <c r="D2147" t="inlineStr">
        <is>
          <t>ÖSTERGÖTLANDS LÄN</t>
        </is>
      </c>
      <c r="E2147" t="inlineStr">
        <is>
          <t>FINSPÅNG</t>
        </is>
      </c>
      <c r="F2147" t="inlineStr">
        <is>
          <t>Holmen skog AB</t>
        </is>
      </c>
      <c r="G2147" t="n">
        <v>26.7</v>
      </c>
      <c r="H2147" t="n">
        <v>0</v>
      </c>
      <c r="I2147" t="n">
        <v>0</v>
      </c>
      <c r="J2147" t="n">
        <v>0</v>
      </c>
      <c r="K2147" t="n">
        <v>0</v>
      </c>
      <c r="L2147" t="n">
        <v>0</v>
      </c>
      <c r="M2147" t="n">
        <v>0</v>
      </c>
      <c r="N2147" t="n">
        <v>0</v>
      </c>
      <c r="O2147" t="n">
        <v>0</v>
      </c>
      <c r="P2147" t="n">
        <v>0</v>
      </c>
      <c r="Q2147" t="n">
        <v>0</v>
      </c>
      <c r="R2147" s="2" t="inlineStr"/>
    </row>
    <row r="2148" ht="15" customHeight="1">
      <c r="A2148" t="inlineStr">
        <is>
          <t>A 51707-2024</t>
        </is>
      </c>
      <c r="B2148" s="1" t="n">
        <v>45607.36407407407</v>
      </c>
      <c r="C2148" s="1" t="n">
        <v>46093</v>
      </c>
      <c r="D2148" t="inlineStr">
        <is>
          <t>ÖSTERGÖTLANDS LÄN</t>
        </is>
      </c>
      <c r="E2148" t="inlineStr">
        <is>
          <t>ÅTVIDABERG</t>
        </is>
      </c>
      <c r="F2148" t="inlineStr">
        <is>
          <t>Sveaskog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51709-2024</t>
        </is>
      </c>
      <c r="B2149" s="1" t="n">
        <v>45607.36740740741</v>
      </c>
      <c r="C2149" s="1" t="n">
        <v>46093</v>
      </c>
      <c r="D2149" t="inlineStr">
        <is>
          <t>ÖSTERGÖTLANDS LÄN</t>
        </is>
      </c>
      <c r="E2149" t="inlineStr">
        <is>
          <t>ÅTVIDABERG</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39246-2025</t>
        </is>
      </c>
      <c r="B2150" s="1" t="n">
        <v>45889.35399305556</v>
      </c>
      <c r="C2150" s="1" t="n">
        <v>46093</v>
      </c>
      <c r="D2150" t="inlineStr">
        <is>
          <t>ÖSTERGÖTLANDS LÄN</t>
        </is>
      </c>
      <c r="E2150" t="inlineStr">
        <is>
          <t>KINDA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51713-2024</t>
        </is>
      </c>
      <c r="B2151" s="1" t="n">
        <v>45607.37271990741</v>
      </c>
      <c r="C2151" s="1" t="n">
        <v>46093</v>
      </c>
      <c r="D2151" t="inlineStr">
        <is>
          <t>ÖSTERGÖTLANDS LÄN</t>
        </is>
      </c>
      <c r="E2151" t="inlineStr">
        <is>
          <t>ÅTVIDABERG</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30358-2025</t>
        </is>
      </c>
      <c r="B2152" s="1" t="n">
        <v>45827.54061342592</v>
      </c>
      <c r="C2152" s="1" t="n">
        <v>46093</v>
      </c>
      <c r="D2152" t="inlineStr">
        <is>
          <t>ÖSTERGÖTLANDS LÄN</t>
        </is>
      </c>
      <c r="E2152" t="inlineStr">
        <is>
          <t>MOTALA</t>
        </is>
      </c>
      <c r="F2152" t="inlineStr">
        <is>
          <t>Sveaskog</t>
        </is>
      </c>
      <c r="G2152" t="n">
        <v>11.4</v>
      </c>
      <c r="H2152" t="n">
        <v>0</v>
      </c>
      <c r="I2152" t="n">
        <v>0</v>
      </c>
      <c r="J2152" t="n">
        <v>0</v>
      </c>
      <c r="K2152" t="n">
        <v>0</v>
      </c>
      <c r="L2152" t="n">
        <v>0</v>
      </c>
      <c r="M2152" t="n">
        <v>0</v>
      </c>
      <c r="N2152" t="n">
        <v>0</v>
      </c>
      <c r="O2152" t="n">
        <v>0</v>
      </c>
      <c r="P2152" t="n">
        <v>0</v>
      </c>
      <c r="Q2152" t="n">
        <v>0</v>
      </c>
      <c r="R2152" s="2" t="inlineStr"/>
    </row>
    <row r="2153" ht="15" customHeight="1">
      <c r="A2153" t="inlineStr">
        <is>
          <t>A 23907-2025</t>
        </is>
      </c>
      <c r="B2153" s="1" t="n">
        <v>45794.81583333333</v>
      </c>
      <c r="C2153" s="1" t="n">
        <v>46093</v>
      </c>
      <c r="D2153" t="inlineStr">
        <is>
          <t>ÖSTERGÖTLANDS LÄN</t>
        </is>
      </c>
      <c r="E2153" t="inlineStr">
        <is>
          <t>NORRKÖPING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39224-2025</t>
        </is>
      </c>
      <c r="B2154" s="1" t="n">
        <v>45889</v>
      </c>
      <c r="C2154" s="1" t="n">
        <v>46093</v>
      </c>
      <c r="D2154" t="inlineStr">
        <is>
          <t>ÖSTERGÖTLANDS LÄN</t>
        </is>
      </c>
      <c r="E2154" t="inlineStr">
        <is>
          <t>NORRKÖPING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39226-2025</t>
        </is>
      </c>
      <c r="B2155" s="1" t="n">
        <v>45889.2216550926</v>
      </c>
      <c r="C2155" s="1" t="n">
        <v>46093</v>
      </c>
      <c r="D2155" t="inlineStr">
        <is>
          <t>ÖSTERGÖTLANDS LÄN</t>
        </is>
      </c>
      <c r="E2155" t="inlineStr">
        <is>
          <t>MJÖLBY</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39229-2025</t>
        </is>
      </c>
      <c r="B2156" s="1" t="n">
        <v>45889.25998842593</v>
      </c>
      <c r="C2156" s="1" t="n">
        <v>46093</v>
      </c>
      <c r="D2156" t="inlineStr">
        <is>
          <t>ÖSTERGÖTLANDS LÄN</t>
        </is>
      </c>
      <c r="E2156" t="inlineStr">
        <is>
          <t>MOTALA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39237-2025</t>
        </is>
      </c>
      <c r="B2157" s="1" t="n">
        <v>45889</v>
      </c>
      <c r="C2157" s="1" t="n">
        <v>46093</v>
      </c>
      <c r="D2157" t="inlineStr">
        <is>
          <t>ÖSTERGÖTLANDS LÄN</t>
        </is>
      </c>
      <c r="E2157" t="inlineStr">
        <is>
          <t>YDRE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21298-2024</t>
        </is>
      </c>
      <c r="B2158" s="1" t="n">
        <v>45440.66909722222</v>
      </c>
      <c r="C2158" s="1" t="n">
        <v>46093</v>
      </c>
      <c r="D2158" t="inlineStr">
        <is>
          <t>ÖSTERGÖTLANDS LÄN</t>
        </is>
      </c>
      <c r="E2158" t="inlineStr">
        <is>
          <t>ÅTVIDABERG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50403-2024</t>
        </is>
      </c>
      <c r="B2159" s="1" t="n">
        <v>45601.35335648148</v>
      </c>
      <c r="C2159" s="1" t="n">
        <v>46093</v>
      </c>
      <c r="D2159" t="inlineStr">
        <is>
          <t>ÖSTERGÖTLANDS LÄN</t>
        </is>
      </c>
      <c r="E2159" t="inlineStr">
        <is>
          <t>KINDA</t>
        </is>
      </c>
      <c r="F2159" t="inlineStr">
        <is>
          <t>Sveaskog</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61624-2023</t>
        </is>
      </c>
      <c r="B2160" s="1" t="n">
        <v>45261</v>
      </c>
      <c r="C2160" s="1" t="n">
        <v>46093</v>
      </c>
      <c r="D2160" t="inlineStr">
        <is>
          <t>ÖSTERGÖTLANDS LÄN</t>
        </is>
      </c>
      <c r="E2160" t="inlineStr">
        <is>
          <t>ÅTVIDABERG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40676-2023</t>
        </is>
      </c>
      <c r="B2161" s="1" t="n">
        <v>45170</v>
      </c>
      <c r="C2161" s="1" t="n">
        <v>46093</v>
      </c>
      <c r="D2161" t="inlineStr">
        <is>
          <t>ÖSTERGÖTLANDS LÄN</t>
        </is>
      </c>
      <c r="E2161" t="inlineStr">
        <is>
          <t>YDRE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43225-2022</t>
        </is>
      </c>
      <c r="B2162" s="1" t="n">
        <v>44833</v>
      </c>
      <c r="C2162" s="1" t="n">
        <v>46093</v>
      </c>
      <c r="D2162" t="inlineStr">
        <is>
          <t>ÖSTERGÖTLANDS LÄN</t>
        </is>
      </c>
      <c r="E2162" t="inlineStr">
        <is>
          <t>VALDEMARSVIK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52561-2024</t>
        </is>
      </c>
      <c r="B2163" s="1" t="n">
        <v>45609.65366898148</v>
      </c>
      <c r="C2163" s="1" t="n">
        <v>46093</v>
      </c>
      <c r="D2163" t="inlineStr">
        <is>
          <t>ÖSTERGÖTLANDS LÄN</t>
        </is>
      </c>
      <c r="E2163" t="inlineStr">
        <is>
          <t>FINSPÅNG</t>
        </is>
      </c>
      <c r="F2163" t="inlineStr">
        <is>
          <t>Holmen skog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35494-2025</t>
        </is>
      </c>
      <c r="B2164" s="1" t="n">
        <v>45855.92417824074</v>
      </c>
      <c r="C2164" s="1" t="n">
        <v>46093</v>
      </c>
      <c r="D2164" t="inlineStr">
        <is>
          <t>ÖSTERGÖTLANDS LÄN</t>
        </is>
      </c>
      <c r="E2164" t="inlineStr">
        <is>
          <t>FINSPÅNG</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39669-2025</t>
        </is>
      </c>
      <c r="B2165" s="1" t="n">
        <v>45890.64196759259</v>
      </c>
      <c r="C2165" s="1" t="n">
        <v>46093</v>
      </c>
      <c r="D2165" t="inlineStr">
        <is>
          <t>ÖSTERGÖTLANDS LÄN</t>
        </is>
      </c>
      <c r="E2165" t="inlineStr">
        <is>
          <t>VALDEMARSVIK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39674-2025</t>
        </is>
      </c>
      <c r="B2166" s="1" t="n">
        <v>45890.64568287037</v>
      </c>
      <c r="C2166" s="1" t="n">
        <v>46093</v>
      </c>
      <c r="D2166" t="inlineStr">
        <is>
          <t>ÖSTERGÖTLANDS LÄN</t>
        </is>
      </c>
      <c r="E2166" t="inlineStr">
        <is>
          <t>VALDEMARSVIK</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39675-2025</t>
        </is>
      </c>
      <c r="B2167" s="1" t="n">
        <v>45890.64841435185</v>
      </c>
      <c r="C2167" s="1" t="n">
        <v>46093</v>
      </c>
      <c r="D2167" t="inlineStr">
        <is>
          <t>ÖSTERGÖTLANDS LÄN</t>
        </is>
      </c>
      <c r="E2167" t="inlineStr">
        <is>
          <t>VALDEMARSVIK</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39678-2025</t>
        </is>
      </c>
      <c r="B2168" s="1" t="n">
        <v>45890.65094907407</v>
      </c>
      <c r="C2168" s="1" t="n">
        <v>46093</v>
      </c>
      <c r="D2168" t="inlineStr">
        <is>
          <t>ÖSTERGÖTLANDS LÄN</t>
        </is>
      </c>
      <c r="E2168" t="inlineStr">
        <is>
          <t>VALDEMARSVIK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39364-2025</t>
        </is>
      </c>
      <c r="B2169" s="1" t="n">
        <v>45889</v>
      </c>
      <c r="C2169" s="1" t="n">
        <v>46093</v>
      </c>
      <c r="D2169" t="inlineStr">
        <is>
          <t>ÖSTERGÖTLANDS LÄN</t>
        </is>
      </c>
      <c r="E2169" t="inlineStr">
        <is>
          <t>YDRE</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43965-2024</t>
        </is>
      </c>
      <c r="B2170" s="1" t="n">
        <v>45572.48486111111</v>
      </c>
      <c r="C2170" s="1" t="n">
        <v>46093</v>
      </c>
      <c r="D2170" t="inlineStr">
        <is>
          <t>ÖSTERGÖTLANDS LÄN</t>
        </is>
      </c>
      <c r="E2170" t="inlineStr">
        <is>
          <t>FINSPÅNG</t>
        </is>
      </c>
      <c r="F2170" t="inlineStr">
        <is>
          <t>Holmen skog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62686-2023</t>
        </is>
      </c>
      <c r="B2171" s="1" t="n">
        <v>45271</v>
      </c>
      <c r="C2171" s="1" t="n">
        <v>46093</v>
      </c>
      <c r="D2171" t="inlineStr">
        <is>
          <t>ÖSTERGÖTLANDS LÄN</t>
        </is>
      </c>
      <c r="E2171" t="inlineStr">
        <is>
          <t>LINKÖPING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16949-2023</t>
        </is>
      </c>
      <c r="B2172" s="1" t="n">
        <v>45033</v>
      </c>
      <c r="C2172" s="1" t="n">
        <v>46093</v>
      </c>
      <c r="D2172" t="inlineStr">
        <is>
          <t>ÖSTERGÖTLANDS LÄN</t>
        </is>
      </c>
      <c r="E2172" t="inlineStr">
        <is>
          <t>NORRKÖPING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39348-2025</t>
        </is>
      </c>
      <c r="B2173" s="1" t="n">
        <v>45889</v>
      </c>
      <c r="C2173" s="1" t="n">
        <v>46093</v>
      </c>
      <c r="D2173" t="inlineStr">
        <is>
          <t>ÖSTERGÖTLANDS LÄN</t>
        </is>
      </c>
      <c r="E2173" t="inlineStr">
        <is>
          <t>YDRE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39318-2025</t>
        </is>
      </c>
      <c r="B2174" s="1" t="n">
        <v>45889</v>
      </c>
      <c r="C2174" s="1" t="n">
        <v>46093</v>
      </c>
      <c r="D2174" t="inlineStr">
        <is>
          <t>ÖSTERGÖTLANDS LÄN</t>
        </is>
      </c>
      <c r="E2174" t="inlineStr">
        <is>
          <t>YDRE</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39230-2025</t>
        </is>
      </c>
      <c r="B2175" s="1" t="n">
        <v>45889.26685185185</v>
      </c>
      <c r="C2175" s="1" t="n">
        <v>46093</v>
      </c>
      <c r="D2175" t="inlineStr">
        <is>
          <t>ÖSTERGÖTLANDS LÄN</t>
        </is>
      </c>
      <c r="E2175" t="inlineStr">
        <is>
          <t>MJÖLBY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39310-2025</t>
        </is>
      </c>
      <c r="B2176" s="1" t="n">
        <v>45889</v>
      </c>
      <c r="C2176" s="1" t="n">
        <v>46093</v>
      </c>
      <c r="D2176" t="inlineStr">
        <is>
          <t>ÖSTERGÖTLANDS LÄN</t>
        </is>
      </c>
      <c r="E2176" t="inlineStr">
        <is>
          <t>YDRE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39327-2025</t>
        </is>
      </c>
      <c r="B2177" s="1" t="n">
        <v>45889</v>
      </c>
      <c r="C2177" s="1" t="n">
        <v>46093</v>
      </c>
      <c r="D2177" t="inlineStr">
        <is>
          <t>ÖSTERGÖTLANDS LÄN</t>
        </is>
      </c>
      <c r="E2177" t="inlineStr">
        <is>
          <t>YDRE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44329-2023</t>
        </is>
      </c>
      <c r="B2178" s="1" t="n">
        <v>45188.66209490741</v>
      </c>
      <c r="C2178" s="1" t="n">
        <v>46093</v>
      </c>
      <c r="D2178" t="inlineStr">
        <is>
          <t>ÖSTERGÖTLANDS LÄN</t>
        </is>
      </c>
      <c r="E2178" t="inlineStr">
        <is>
          <t>KINDA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12706-2023</t>
        </is>
      </c>
      <c r="B2179" s="1" t="n">
        <v>45000.65476851852</v>
      </c>
      <c r="C2179" s="1" t="n">
        <v>46093</v>
      </c>
      <c r="D2179" t="inlineStr">
        <is>
          <t>ÖSTERGÖTLANDS LÄN</t>
        </is>
      </c>
      <c r="E2179" t="inlineStr">
        <is>
          <t>KINDA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51294-2022</t>
        </is>
      </c>
      <c r="B2180" s="1" t="n">
        <v>44868</v>
      </c>
      <c r="C2180" s="1" t="n">
        <v>46093</v>
      </c>
      <c r="D2180" t="inlineStr">
        <is>
          <t>ÖSTERGÖTLANDS LÄN</t>
        </is>
      </c>
      <c r="E2180" t="inlineStr">
        <is>
          <t>KINDA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38019-2024</t>
        </is>
      </c>
      <c r="B2181" s="1" t="n">
        <v>45544.6372337963</v>
      </c>
      <c r="C2181" s="1" t="n">
        <v>46093</v>
      </c>
      <c r="D2181" t="inlineStr">
        <is>
          <t>ÖSTERGÖTLANDS LÄN</t>
        </is>
      </c>
      <c r="E2181" t="inlineStr">
        <is>
          <t>KINDA</t>
        </is>
      </c>
      <c r="G2181" t="n">
        <v>6.3</v>
      </c>
      <c r="H2181" t="n">
        <v>0</v>
      </c>
      <c r="I2181" t="n">
        <v>0</v>
      </c>
      <c r="J2181" t="n">
        <v>0</v>
      </c>
      <c r="K2181" t="n">
        <v>0</v>
      </c>
      <c r="L2181" t="n">
        <v>0</v>
      </c>
      <c r="M2181" t="n">
        <v>0</v>
      </c>
      <c r="N2181" t="n">
        <v>0</v>
      </c>
      <c r="O2181" t="n">
        <v>0</v>
      </c>
      <c r="P2181" t="n">
        <v>0</v>
      </c>
      <c r="Q2181" t="n">
        <v>0</v>
      </c>
      <c r="R2181" s="2" t="inlineStr"/>
      <c r="U2181">
        <f>HYPERLINK("https://klasma.github.io/Logging_0513/knärot/A 38019-2024 karta knärot.png", "A 38019-2024")</f>
        <v/>
      </c>
      <c r="V2181">
        <f>HYPERLINK("https://klasma.github.io/Logging_0513/klagomål/A 38019-2024 FSC-klagomål.docx", "A 38019-2024")</f>
        <v/>
      </c>
      <c r="W2181">
        <f>HYPERLINK("https://klasma.github.io/Logging_0513/klagomålsmail/A 38019-2024 FSC-klagomål mail.docx", "A 38019-2024")</f>
        <v/>
      </c>
      <c r="X2181">
        <f>HYPERLINK("https://klasma.github.io/Logging_0513/tillsyn/A 38019-2024 tillsynsbegäran.docx", "A 38019-2024")</f>
        <v/>
      </c>
      <c r="Y2181">
        <f>HYPERLINK("https://klasma.github.io/Logging_0513/tillsynsmail/A 38019-2024 tillsynsbegäran mail.docx", "A 38019-2024")</f>
        <v/>
      </c>
    </row>
    <row r="2182" ht="15" customHeight="1">
      <c r="A2182" t="inlineStr">
        <is>
          <t>A 39370-2025</t>
        </is>
      </c>
      <c r="B2182" s="1" t="n">
        <v>45889</v>
      </c>
      <c r="C2182" s="1" t="n">
        <v>46093</v>
      </c>
      <c r="D2182" t="inlineStr">
        <is>
          <t>ÖSTERGÖTLANDS LÄN</t>
        </is>
      </c>
      <c r="E2182" t="inlineStr">
        <is>
          <t>YDRE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56867-2022</t>
        </is>
      </c>
      <c r="B2183" s="1" t="n">
        <v>44894.51788194444</v>
      </c>
      <c r="C2183" s="1" t="n">
        <v>46093</v>
      </c>
      <c r="D2183" t="inlineStr">
        <is>
          <t>ÖSTERGÖTLANDS LÄN</t>
        </is>
      </c>
      <c r="E2183" t="inlineStr">
        <is>
          <t>MOTALA</t>
        </is>
      </c>
      <c r="F2183" t="inlineStr">
        <is>
          <t>Sveaskog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35440-2025</t>
        </is>
      </c>
      <c r="B2184" s="1" t="n">
        <v>45855.49415509259</v>
      </c>
      <c r="C2184" s="1" t="n">
        <v>46093</v>
      </c>
      <c r="D2184" t="inlineStr">
        <is>
          <t>ÖSTERGÖTLANDS LÄN</t>
        </is>
      </c>
      <c r="E2184" t="inlineStr">
        <is>
          <t>BOXHOLM</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12980-2025</t>
        </is>
      </c>
      <c r="B2185" s="1" t="n">
        <v>45734.46005787037</v>
      </c>
      <c r="C2185" s="1" t="n">
        <v>46093</v>
      </c>
      <c r="D2185" t="inlineStr">
        <is>
          <t>ÖSTERGÖTLANDS LÄN</t>
        </is>
      </c>
      <c r="E2185" t="inlineStr">
        <is>
          <t>MJÖLBY</t>
        </is>
      </c>
      <c r="F2185" t="inlineStr">
        <is>
          <t>Sveaskog</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39661-2025</t>
        </is>
      </c>
      <c r="B2186" s="1" t="n">
        <v>45890.63361111111</v>
      </c>
      <c r="C2186" s="1" t="n">
        <v>46093</v>
      </c>
      <c r="D2186" t="inlineStr">
        <is>
          <t>ÖSTERGÖTLANDS LÄN</t>
        </is>
      </c>
      <c r="E2186" t="inlineStr">
        <is>
          <t>VALDEMARSVIK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39227-2025</t>
        </is>
      </c>
      <c r="B2187" s="1" t="n">
        <v>45889.22287037037</v>
      </c>
      <c r="C2187" s="1" t="n">
        <v>46093</v>
      </c>
      <c r="D2187" t="inlineStr">
        <is>
          <t>ÖSTERGÖTLANDS LÄN</t>
        </is>
      </c>
      <c r="E2187" t="inlineStr">
        <is>
          <t>MJÖLBY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39228-2025</t>
        </is>
      </c>
      <c r="B2188" s="1" t="n">
        <v>45889.25898148148</v>
      </c>
      <c r="C2188" s="1" t="n">
        <v>46093</v>
      </c>
      <c r="D2188" t="inlineStr">
        <is>
          <t>ÖSTERGÖTLANDS LÄN</t>
        </is>
      </c>
      <c r="E2188" t="inlineStr">
        <is>
          <t>MOTALA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39353-2025</t>
        </is>
      </c>
      <c r="B2189" s="1" t="n">
        <v>45889</v>
      </c>
      <c r="C2189" s="1" t="n">
        <v>46093</v>
      </c>
      <c r="D2189" t="inlineStr">
        <is>
          <t>ÖSTERGÖTLANDS LÄN</t>
        </is>
      </c>
      <c r="E2189" t="inlineStr">
        <is>
          <t>YDRE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70378-2021</t>
        </is>
      </c>
      <c r="B2190" s="1" t="n">
        <v>44536</v>
      </c>
      <c r="C2190" s="1" t="n">
        <v>46093</v>
      </c>
      <c r="D2190" t="inlineStr">
        <is>
          <t>ÖSTERGÖTLANDS LÄN</t>
        </is>
      </c>
      <c r="E2190" t="inlineStr">
        <is>
          <t>NORRKÖPING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39368-2025</t>
        </is>
      </c>
      <c r="B2191" s="1" t="n">
        <v>45889</v>
      </c>
      <c r="C2191" s="1" t="n">
        <v>46093</v>
      </c>
      <c r="D2191" t="inlineStr">
        <is>
          <t>ÖSTERGÖTLANDS LÄN</t>
        </is>
      </c>
      <c r="E2191" t="inlineStr">
        <is>
          <t>YDRE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23834-2023</t>
        </is>
      </c>
      <c r="B2192" s="1" t="n">
        <v>45078.43443287037</v>
      </c>
      <c r="C2192" s="1" t="n">
        <v>46093</v>
      </c>
      <c r="D2192" t="inlineStr">
        <is>
          <t>ÖSTERGÖTLANDS LÄN</t>
        </is>
      </c>
      <c r="E2192" t="inlineStr">
        <is>
          <t>BOXHOLM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29485-2021</t>
        </is>
      </c>
      <c r="B2193" s="1" t="n">
        <v>44361</v>
      </c>
      <c r="C2193" s="1" t="n">
        <v>46093</v>
      </c>
      <c r="D2193" t="inlineStr">
        <is>
          <t>ÖSTERGÖTLANDS LÄN</t>
        </is>
      </c>
      <c r="E2193" t="inlineStr">
        <is>
          <t>NORRKÖPING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44139-2024</t>
        </is>
      </c>
      <c r="B2194" s="1" t="n">
        <v>45572.6625</v>
      </c>
      <c r="C2194" s="1" t="n">
        <v>46093</v>
      </c>
      <c r="D2194" t="inlineStr">
        <is>
          <t>ÖSTERGÖTLANDS LÄN</t>
        </is>
      </c>
      <c r="E2194" t="inlineStr">
        <is>
          <t>KINDA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55345-2021</t>
        </is>
      </c>
      <c r="B2195" s="1" t="n">
        <v>44475</v>
      </c>
      <c r="C2195" s="1" t="n">
        <v>46093</v>
      </c>
      <c r="D2195" t="inlineStr">
        <is>
          <t>ÖSTERGÖTLANDS LÄN</t>
        </is>
      </c>
      <c r="E2195" t="inlineStr">
        <is>
          <t>LINKÖPING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40065-2024</t>
        </is>
      </c>
      <c r="B2196" s="1" t="n">
        <v>45554.2862037037</v>
      </c>
      <c r="C2196" s="1" t="n">
        <v>46093</v>
      </c>
      <c r="D2196" t="inlineStr">
        <is>
          <t>ÖSTERGÖTLANDS LÄN</t>
        </is>
      </c>
      <c r="E2196" t="inlineStr">
        <is>
          <t>FINSPÅNG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5868-2022</t>
        </is>
      </c>
      <c r="B2197" s="1" t="n">
        <v>44596</v>
      </c>
      <c r="C2197" s="1" t="n">
        <v>46093</v>
      </c>
      <c r="D2197" t="inlineStr">
        <is>
          <t>ÖSTERGÖTLANDS LÄN</t>
        </is>
      </c>
      <c r="E2197" t="inlineStr">
        <is>
          <t>NORRKÖPING</t>
        </is>
      </c>
      <c r="F2197" t="inlineStr">
        <is>
          <t>Allmännings- och besparingsskogar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63489-2023</t>
        </is>
      </c>
      <c r="B2198" s="1" t="n">
        <v>45274.66761574074</v>
      </c>
      <c r="C2198" s="1" t="n">
        <v>46093</v>
      </c>
      <c r="D2198" t="inlineStr">
        <is>
          <t>ÖSTERGÖTLANDS LÄN</t>
        </is>
      </c>
      <c r="E2198" t="inlineStr">
        <is>
          <t>LINKÖPING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48317-2023</t>
        </is>
      </c>
      <c r="B2199" s="1" t="n">
        <v>45205</v>
      </c>
      <c r="C2199" s="1" t="n">
        <v>46093</v>
      </c>
      <c r="D2199" t="inlineStr">
        <is>
          <t>ÖSTERGÖTLANDS LÄN</t>
        </is>
      </c>
      <c r="E2199" t="inlineStr">
        <is>
          <t>BOXHOLM</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1506-2022</t>
        </is>
      </c>
      <c r="B2200" s="1" t="n">
        <v>44573</v>
      </c>
      <c r="C2200" s="1" t="n">
        <v>46093</v>
      </c>
      <c r="D2200" t="inlineStr">
        <is>
          <t>ÖSTERGÖTLANDS LÄN</t>
        </is>
      </c>
      <c r="E2200" t="inlineStr">
        <is>
          <t>NORRKÖPING</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39223-2025</t>
        </is>
      </c>
      <c r="B2201" s="1" t="n">
        <v>45889</v>
      </c>
      <c r="C2201" s="1" t="n">
        <v>46093</v>
      </c>
      <c r="D2201" t="inlineStr">
        <is>
          <t>ÖSTERGÖTLANDS LÄN</t>
        </is>
      </c>
      <c r="E2201" t="inlineStr">
        <is>
          <t>NORRKÖPING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17590-2023</t>
        </is>
      </c>
      <c r="B2202" s="1" t="n">
        <v>45036</v>
      </c>
      <c r="C2202" s="1" t="n">
        <v>46093</v>
      </c>
      <c r="D2202" t="inlineStr">
        <is>
          <t>ÖSTERGÖTLANDS LÄN</t>
        </is>
      </c>
      <c r="E2202" t="inlineStr">
        <is>
          <t>VALDEMARSVIK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2478-2022</t>
        </is>
      </c>
      <c r="B2203" s="1" t="n">
        <v>44579</v>
      </c>
      <c r="C2203" s="1" t="n">
        <v>46093</v>
      </c>
      <c r="D2203" t="inlineStr">
        <is>
          <t>ÖSTERGÖTLANDS LÄN</t>
        </is>
      </c>
      <c r="E2203" t="inlineStr">
        <is>
          <t>ÅTVIDABERG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39225-2025</t>
        </is>
      </c>
      <c r="B2204" s="1" t="n">
        <v>45889.22056712963</v>
      </c>
      <c r="C2204" s="1" t="n">
        <v>46093</v>
      </c>
      <c r="D2204" t="inlineStr">
        <is>
          <t>ÖSTERGÖTLANDS LÄN</t>
        </is>
      </c>
      <c r="E2204" t="inlineStr">
        <is>
          <t>MJÖLBY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58525-2021</t>
        </is>
      </c>
      <c r="B2205" s="1" t="n">
        <v>44488</v>
      </c>
      <c r="C2205" s="1" t="n">
        <v>46093</v>
      </c>
      <c r="D2205" t="inlineStr">
        <is>
          <t>ÖSTERGÖTLANDS LÄN</t>
        </is>
      </c>
      <c r="E2205" t="inlineStr">
        <is>
          <t>NORRKÖPING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27220-2023</t>
        </is>
      </c>
      <c r="B2206" s="1" t="n">
        <v>45092</v>
      </c>
      <c r="C2206" s="1" t="n">
        <v>46093</v>
      </c>
      <c r="D2206" t="inlineStr">
        <is>
          <t>ÖSTERGÖTLANDS LÄN</t>
        </is>
      </c>
      <c r="E2206" t="inlineStr">
        <is>
          <t>MOTALA</t>
        </is>
      </c>
      <c r="F2206" t="inlineStr">
        <is>
          <t>Övriga statliga verk och myndigheter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27288-2023</t>
        </is>
      </c>
      <c r="B2207" s="1" t="n">
        <v>45096</v>
      </c>
      <c r="C2207" s="1" t="n">
        <v>46093</v>
      </c>
      <c r="D2207" t="inlineStr">
        <is>
          <t>ÖSTERGÖTLANDS LÄN</t>
        </is>
      </c>
      <c r="E2207" t="inlineStr">
        <is>
          <t>NORRKÖPING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40106-2025</t>
        </is>
      </c>
      <c r="B2208" s="1" t="n">
        <v>45894.48984953704</v>
      </c>
      <c r="C2208" s="1" t="n">
        <v>46093</v>
      </c>
      <c r="D2208" t="inlineStr">
        <is>
          <t>ÖSTERGÖTLANDS LÄN</t>
        </is>
      </c>
      <c r="E2208" t="inlineStr">
        <is>
          <t>MOTALA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39817-2025</t>
        </is>
      </c>
      <c r="B2209" s="1" t="n">
        <v>45891.53243055556</v>
      </c>
      <c r="C2209" s="1" t="n">
        <v>46093</v>
      </c>
      <c r="D2209" t="inlineStr">
        <is>
          <t>ÖSTERGÖTLANDS LÄN</t>
        </is>
      </c>
      <c r="E2209" t="inlineStr">
        <is>
          <t>SÖDERKÖPING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10184-2025</t>
        </is>
      </c>
      <c r="B2210" s="1" t="n">
        <v>45719.6859375</v>
      </c>
      <c r="C2210" s="1" t="n">
        <v>46093</v>
      </c>
      <c r="D2210" t="inlineStr">
        <is>
          <t>ÖSTERGÖTLANDS LÄN</t>
        </is>
      </c>
      <c r="E2210" t="inlineStr">
        <is>
          <t>VALDEMARSVIK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10219-2025</t>
        </is>
      </c>
      <c r="B2211" s="1" t="n">
        <v>45720.27141203704</v>
      </c>
      <c r="C2211" s="1" t="n">
        <v>46093</v>
      </c>
      <c r="D2211" t="inlineStr">
        <is>
          <t>ÖSTERGÖTLANDS LÄN</t>
        </is>
      </c>
      <c r="E2211" t="inlineStr">
        <is>
          <t>BOXHOLM</t>
        </is>
      </c>
      <c r="F2211" t="inlineStr">
        <is>
          <t>Övriga Aktiebolag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39826-2025</t>
        </is>
      </c>
      <c r="B2212" s="1" t="n">
        <v>45891.55048611111</v>
      </c>
      <c r="C2212" s="1" t="n">
        <v>46093</v>
      </c>
      <c r="D2212" t="inlineStr">
        <is>
          <t>ÖSTERGÖTLANDS LÄN</t>
        </is>
      </c>
      <c r="E2212" t="inlineStr">
        <is>
          <t>FINSPÅNG</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39829-2025</t>
        </is>
      </c>
      <c r="B2213" s="1" t="n">
        <v>45891.55820601852</v>
      </c>
      <c r="C2213" s="1" t="n">
        <v>46093</v>
      </c>
      <c r="D2213" t="inlineStr">
        <is>
          <t>ÖSTERGÖTLANDS LÄN</t>
        </is>
      </c>
      <c r="E2213" t="inlineStr">
        <is>
          <t>ÖDESHÖG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40186-2025</t>
        </is>
      </c>
      <c r="B2214" s="1" t="n">
        <v>45894.64597222222</v>
      </c>
      <c r="C2214" s="1" t="n">
        <v>46093</v>
      </c>
      <c r="D2214" t="inlineStr">
        <is>
          <t>ÖSTERGÖTLANDS LÄN</t>
        </is>
      </c>
      <c r="E2214" t="inlineStr">
        <is>
          <t>FINSPÅNG</t>
        </is>
      </c>
      <c r="F2214" t="inlineStr">
        <is>
          <t>Holmen skog AB</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49569-2022</t>
        </is>
      </c>
      <c r="B2215" s="1" t="n">
        <v>44862</v>
      </c>
      <c r="C2215" s="1" t="n">
        <v>46093</v>
      </c>
      <c r="D2215" t="inlineStr">
        <is>
          <t>ÖSTERGÖTLANDS LÄN</t>
        </is>
      </c>
      <c r="E2215" t="inlineStr">
        <is>
          <t>SÖDERKÖPING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33997-2024</t>
        </is>
      </c>
      <c r="B2216" s="1" t="n">
        <v>45523.54790509259</v>
      </c>
      <c r="C2216" s="1" t="n">
        <v>46093</v>
      </c>
      <c r="D2216" t="inlineStr">
        <is>
          <t>ÖSTERGÖTLANDS LÄN</t>
        </is>
      </c>
      <c r="E2216" t="inlineStr">
        <is>
          <t>FINSPÅNG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20288-2025</t>
        </is>
      </c>
      <c r="B2217" s="1" t="n">
        <v>45774.71646990741</v>
      </c>
      <c r="C2217" s="1" t="n">
        <v>46093</v>
      </c>
      <c r="D2217" t="inlineStr">
        <is>
          <t>ÖSTERGÖTLANDS LÄN</t>
        </is>
      </c>
      <c r="E2217" t="inlineStr">
        <is>
          <t>MJÖLBY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40215-2025</t>
        </is>
      </c>
      <c r="B2218" s="1" t="n">
        <v>45894.68724537037</v>
      </c>
      <c r="C2218" s="1" t="n">
        <v>46093</v>
      </c>
      <c r="D2218" t="inlineStr">
        <is>
          <t>ÖSTERGÖTLANDS LÄN</t>
        </is>
      </c>
      <c r="E2218" t="inlineStr">
        <is>
          <t>FINSPÅNG</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70-2024</t>
        </is>
      </c>
      <c r="B2219" s="1" t="n">
        <v>45293</v>
      </c>
      <c r="C2219" s="1" t="n">
        <v>46093</v>
      </c>
      <c r="D2219" t="inlineStr">
        <is>
          <t>ÖSTERGÖTLANDS LÄN</t>
        </is>
      </c>
      <c r="E2219" t="inlineStr">
        <is>
          <t>LINKÖPING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39832-2025</t>
        </is>
      </c>
      <c r="B2220" s="1" t="n">
        <v>45891.56042824074</v>
      </c>
      <c r="C2220" s="1" t="n">
        <v>46093</v>
      </c>
      <c r="D2220" t="inlineStr">
        <is>
          <t>ÖSTERGÖTLANDS LÄN</t>
        </is>
      </c>
      <c r="E2220" t="inlineStr">
        <is>
          <t>ÖDESHÖG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27632-2025</t>
        </is>
      </c>
      <c r="B2221" s="1" t="n">
        <v>45813.56320601852</v>
      </c>
      <c r="C2221" s="1" t="n">
        <v>46093</v>
      </c>
      <c r="D2221" t="inlineStr">
        <is>
          <t>ÖSTERGÖTLANDS LÄN</t>
        </is>
      </c>
      <c r="E2221" t="inlineStr">
        <is>
          <t>NORRKÖPING</t>
        </is>
      </c>
      <c r="F2221" t="inlineStr">
        <is>
          <t>Holmen skog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28915-2023</t>
        </is>
      </c>
      <c r="B2222" s="1" t="n">
        <v>45104</v>
      </c>
      <c r="C2222" s="1" t="n">
        <v>46093</v>
      </c>
      <c r="D2222" t="inlineStr">
        <is>
          <t>ÖSTERGÖTLANDS LÄN</t>
        </is>
      </c>
      <c r="E2222" t="inlineStr">
        <is>
          <t>YDRE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29449-2025</t>
        </is>
      </c>
      <c r="B2223" s="1" t="n">
        <v>45824</v>
      </c>
      <c r="C2223" s="1" t="n">
        <v>46093</v>
      </c>
      <c r="D2223" t="inlineStr">
        <is>
          <t>ÖSTERGÖTLANDS LÄN</t>
        </is>
      </c>
      <c r="E2223" t="inlineStr">
        <is>
          <t>ÅTVIDABERG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13413-2023</t>
        </is>
      </c>
      <c r="B2224" s="1" t="n">
        <v>45005.58341435185</v>
      </c>
      <c r="C2224" s="1" t="n">
        <v>46093</v>
      </c>
      <c r="D2224" t="inlineStr">
        <is>
          <t>ÖSTERGÖTLANDS LÄN</t>
        </is>
      </c>
      <c r="E2224" t="inlineStr">
        <is>
          <t>LINKÖPING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39861-2025</t>
        </is>
      </c>
      <c r="B2225" s="1" t="n">
        <v>45891.59726851852</v>
      </c>
      <c r="C2225" s="1" t="n">
        <v>46093</v>
      </c>
      <c r="D2225" t="inlineStr">
        <is>
          <t>ÖSTERGÖTLANDS LÄN</t>
        </is>
      </c>
      <c r="E2225" t="inlineStr">
        <is>
          <t>NORRKÖPING</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15746-2023</t>
        </is>
      </c>
      <c r="B2226" s="1" t="n">
        <v>45021.61027777778</v>
      </c>
      <c r="C2226" s="1" t="n">
        <v>46093</v>
      </c>
      <c r="D2226" t="inlineStr">
        <is>
          <t>ÖSTERGÖTLANDS LÄN</t>
        </is>
      </c>
      <c r="E2226" t="inlineStr">
        <is>
          <t>BOXHOLM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22694-2023</t>
        </is>
      </c>
      <c r="B2227" s="1" t="n">
        <v>45071</v>
      </c>
      <c r="C2227" s="1" t="n">
        <v>46093</v>
      </c>
      <c r="D2227" t="inlineStr">
        <is>
          <t>ÖSTERGÖTLANDS LÄN</t>
        </is>
      </c>
      <c r="E2227" t="inlineStr">
        <is>
          <t>KINDA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39862-2025</t>
        </is>
      </c>
      <c r="B2228" s="1" t="n">
        <v>45891.59938657407</v>
      </c>
      <c r="C2228" s="1" t="n">
        <v>46093</v>
      </c>
      <c r="D2228" t="inlineStr">
        <is>
          <t>ÖSTERGÖTLANDS LÄN</t>
        </is>
      </c>
      <c r="E2228" t="inlineStr">
        <is>
          <t>NORRKÖPING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8193-2025</t>
        </is>
      </c>
      <c r="B2229" s="1" t="n">
        <v>45707</v>
      </c>
      <c r="C2229" s="1" t="n">
        <v>46093</v>
      </c>
      <c r="D2229" t="inlineStr">
        <is>
          <t>ÖSTERGÖTLANDS LÄN</t>
        </is>
      </c>
      <c r="E2229" t="inlineStr">
        <is>
          <t>FINSPÅNG</t>
        </is>
      </c>
      <c r="F2229" t="inlineStr">
        <is>
          <t>Allmännings- och besparingsskogar</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40169-2025</t>
        </is>
      </c>
      <c r="B2230" s="1" t="n">
        <v>45894.62824074074</v>
      </c>
      <c r="C2230" s="1" t="n">
        <v>46093</v>
      </c>
      <c r="D2230" t="inlineStr">
        <is>
          <t>ÖSTERGÖTLANDS LÄN</t>
        </is>
      </c>
      <c r="E2230" t="inlineStr">
        <is>
          <t>LINKÖPING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35747-2025</t>
        </is>
      </c>
      <c r="B2231" s="1" t="n">
        <v>45860.56385416666</v>
      </c>
      <c r="C2231" s="1" t="n">
        <v>46093</v>
      </c>
      <c r="D2231" t="inlineStr">
        <is>
          <t>ÖSTERGÖTLANDS LÄN</t>
        </is>
      </c>
      <c r="E2231" t="inlineStr">
        <is>
          <t>LINKÖPING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801-2025</t>
        </is>
      </c>
      <c r="B2232" s="1" t="n">
        <v>45665.53950231482</v>
      </c>
      <c r="C2232" s="1" t="n">
        <v>46093</v>
      </c>
      <c r="D2232" t="inlineStr">
        <is>
          <t>ÖSTERGÖTLANDS LÄN</t>
        </is>
      </c>
      <c r="E2232" t="inlineStr">
        <is>
          <t>ÅTVIDABERG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62-2024</t>
        </is>
      </c>
      <c r="B2233" s="1" t="n">
        <v>45293.64920138889</v>
      </c>
      <c r="C2233" s="1" t="n">
        <v>46093</v>
      </c>
      <c r="D2233" t="inlineStr">
        <is>
          <t>ÖSTERGÖTLANDS LÄN</t>
        </is>
      </c>
      <c r="E2233" t="inlineStr">
        <is>
          <t>FINSPÅNG</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133-2024</t>
        </is>
      </c>
      <c r="B2234" s="1" t="n">
        <v>45294.43197916666</v>
      </c>
      <c r="C2234" s="1" t="n">
        <v>46093</v>
      </c>
      <c r="D2234" t="inlineStr">
        <is>
          <t>ÖSTERGÖTLANDS LÄN</t>
        </is>
      </c>
      <c r="E2234" t="inlineStr">
        <is>
          <t>KINDA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38805-2021</t>
        </is>
      </c>
      <c r="B2235" s="1" t="n">
        <v>44410</v>
      </c>
      <c r="C2235" s="1" t="n">
        <v>46093</v>
      </c>
      <c r="D2235" t="inlineStr">
        <is>
          <t>ÖSTERGÖTLANDS LÄN</t>
        </is>
      </c>
      <c r="E2235" t="inlineStr">
        <is>
          <t>ÅTVIDABERG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12156-2024</t>
        </is>
      </c>
      <c r="B2236" s="1" t="n">
        <v>45377.77662037037</v>
      </c>
      <c r="C2236" s="1" t="n">
        <v>46093</v>
      </c>
      <c r="D2236" t="inlineStr">
        <is>
          <t>ÖSTERGÖTLANDS LÄN</t>
        </is>
      </c>
      <c r="E2236" t="inlineStr">
        <is>
          <t>MOTALA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21048-2024</t>
        </is>
      </c>
      <c r="B2237" s="1" t="n">
        <v>45439.67638888889</v>
      </c>
      <c r="C2237" s="1" t="n">
        <v>46093</v>
      </c>
      <c r="D2237" t="inlineStr">
        <is>
          <t>ÖSTERGÖTLANDS LÄN</t>
        </is>
      </c>
      <c r="E2237" t="inlineStr">
        <is>
          <t>MOTALA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38964-2021</t>
        </is>
      </c>
      <c r="B2238" s="1" t="n">
        <v>44411</v>
      </c>
      <c r="C2238" s="1" t="n">
        <v>46093</v>
      </c>
      <c r="D2238" t="inlineStr">
        <is>
          <t>ÖSTERGÖTLANDS LÄN</t>
        </is>
      </c>
      <c r="E2238" t="inlineStr">
        <is>
          <t>ÅTVIDABERG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63248-2023</t>
        </is>
      </c>
      <c r="B2239" s="1" t="n">
        <v>45273.67059027778</v>
      </c>
      <c r="C2239" s="1" t="n">
        <v>46093</v>
      </c>
      <c r="D2239" t="inlineStr">
        <is>
          <t>ÖSTERGÖTLANDS LÄN</t>
        </is>
      </c>
      <c r="E2239" t="inlineStr">
        <is>
          <t>YDRE</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50063-2022</t>
        </is>
      </c>
      <c r="B2240" s="1" t="n">
        <v>44860</v>
      </c>
      <c r="C2240" s="1" t="n">
        <v>46093</v>
      </c>
      <c r="D2240" t="inlineStr">
        <is>
          <t>ÖSTERGÖTLANDS LÄN</t>
        </is>
      </c>
      <c r="E2240" t="inlineStr">
        <is>
          <t>FINSPÅNG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14198-2025</t>
        </is>
      </c>
      <c r="B2241" s="1" t="n">
        <v>45740.56796296296</v>
      </c>
      <c r="C2241" s="1" t="n">
        <v>46093</v>
      </c>
      <c r="D2241" t="inlineStr">
        <is>
          <t>ÖSTERGÖTLANDS LÄN</t>
        </is>
      </c>
      <c r="E2241" t="inlineStr">
        <is>
          <t>ÅTVIDABERG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38595-2022</t>
        </is>
      </c>
      <c r="B2242" s="1" t="n">
        <v>44813</v>
      </c>
      <c r="C2242" s="1" t="n">
        <v>46093</v>
      </c>
      <c r="D2242" t="inlineStr">
        <is>
          <t>ÖSTERGÖTLANDS LÄN</t>
        </is>
      </c>
      <c r="E2242" t="inlineStr">
        <is>
          <t>SÖDERKÖPING</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64186-2023</t>
        </is>
      </c>
      <c r="B2243" s="1" t="n">
        <v>45279.66266203704</v>
      </c>
      <c r="C2243" s="1" t="n">
        <v>46093</v>
      </c>
      <c r="D2243" t="inlineStr">
        <is>
          <t>ÖSTERGÖTLANDS LÄN</t>
        </is>
      </c>
      <c r="E2243" t="inlineStr">
        <is>
          <t>MOTALA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40053-2025</t>
        </is>
      </c>
      <c r="B2244" s="1" t="n">
        <v>45894.41133101852</v>
      </c>
      <c r="C2244" s="1" t="n">
        <v>46093</v>
      </c>
      <c r="D2244" t="inlineStr">
        <is>
          <t>ÖSTERGÖTLANDS LÄN</t>
        </is>
      </c>
      <c r="E2244" t="inlineStr">
        <is>
          <t>NORRKÖPING</t>
        </is>
      </c>
      <c r="F2244" t="inlineStr">
        <is>
          <t>Allmännings- och besparingsskogar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64211-2023</t>
        </is>
      </c>
      <c r="B2245" s="1" t="n">
        <v>45279.76971064815</v>
      </c>
      <c r="C2245" s="1" t="n">
        <v>46093</v>
      </c>
      <c r="D2245" t="inlineStr">
        <is>
          <t>ÖSTERGÖTLANDS LÄN</t>
        </is>
      </c>
      <c r="E2245" t="inlineStr">
        <is>
          <t>SÖDERKÖPING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4647-2024</t>
        </is>
      </c>
      <c r="B2246" s="1" t="n">
        <v>45328.44785879629</v>
      </c>
      <c r="C2246" s="1" t="n">
        <v>46093</v>
      </c>
      <c r="D2246" t="inlineStr">
        <is>
          <t>ÖSTERGÖTLANDS LÄN</t>
        </is>
      </c>
      <c r="E2246" t="inlineStr">
        <is>
          <t>FINSPÅNG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39709-2025</t>
        </is>
      </c>
      <c r="B2247" s="1" t="n">
        <v>45890.84398148148</v>
      </c>
      <c r="C2247" s="1" t="n">
        <v>46093</v>
      </c>
      <c r="D2247" t="inlineStr">
        <is>
          <t>ÖSTERGÖTLANDS LÄN</t>
        </is>
      </c>
      <c r="E2247" t="inlineStr">
        <is>
          <t>FINSPÅNG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62136-2023</t>
        </is>
      </c>
      <c r="B2248" s="1" t="n">
        <v>45267.36078703704</v>
      </c>
      <c r="C2248" s="1" t="n">
        <v>46093</v>
      </c>
      <c r="D2248" t="inlineStr">
        <is>
          <t>ÖSTERGÖTLANDS LÄN</t>
        </is>
      </c>
      <c r="E2248" t="inlineStr">
        <is>
          <t>ÅTVIDABERG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39830-2025</t>
        </is>
      </c>
      <c r="B2249" s="1" t="n">
        <v>45891</v>
      </c>
      <c r="C2249" s="1" t="n">
        <v>46093</v>
      </c>
      <c r="D2249" t="inlineStr">
        <is>
          <t>ÖSTERGÖTLANDS LÄN</t>
        </is>
      </c>
      <c r="E2249" t="inlineStr">
        <is>
          <t>VALDEMARSVIK</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63528-2023</t>
        </is>
      </c>
      <c r="B2250" s="1" t="n">
        <v>45274.94810185185</v>
      </c>
      <c r="C2250" s="1" t="n">
        <v>46093</v>
      </c>
      <c r="D2250" t="inlineStr">
        <is>
          <t>ÖSTERGÖTLANDS LÄN</t>
        </is>
      </c>
      <c r="E2250" t="inlineStr">
        <is>
          <t>LINKÖPING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39415-2024</t>
        </is>
      </c>
      <c r="B2251" s="1" t="n">
        <v>45551.56912037037</v>
      </c>
      <c r="C2251" s="1" t="n">
        <v>46093</v>
      </c>
      <c r="D2251" t="inlineStr">
        <is>
          <t>ÖSTERGÖTLANDS LÄN</t>
        </is>
      </c>
      <c r="E2251" t="inlineStr">
        <is>
          <t>FINSPÅNG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63638-2023</t>
        </is>
      </c>
      <c r="B2252" s="1" t="n">
        <v>45275</v>
      </c>
      <c r="C2252" s="1" t="n">
        <v>46093</v>
      </c>
      <c r="D2252" t="inlineStr">
        <is>
          <t>ÖSTERGÖTLANDS LÄN</t>
        </is>
      </c>
      <c r="E2252" t="inlineStr">
        <is>
          <t>LINKÖPING</t>
        </is>
      </c>
      <c r="F2252" t="inlineStr">
        <is>
          <t>Övriga Aktiebolag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63658-2023</t>
        </is>
      </c>
      <c r="B2253" s="1" t="n">
        <v>45275</v>
      </c>
      <c r="C2253" s="1" t="n">
        <v>46093</v>
      </c>
      <c r="D2253" t="inlineStr">
        <is>
          <t>ÖSTERGÖTLANDS LÄN</t>
        </is>
      </c>
      <c r="E2253" t="inlineStr">
        <is>
          <t>LINKÖPING</t>
        </is>
      </c>
      <c r="F2253" t="inlineStr">
        <is>
          <t>Övriga Aktiebolag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6782-2024</t>
        </is>
      </c>
      <c r="B2254" s="1" t="n">
        <v>45342</v>
      </c>
      <c r="C2254" s="1" t="n">
        <v>46093</v>
      </c>
      <c r="D2254" t="inlineStr">
        <is>
          <t>ÖSTERGÖTLANDS LÄN</t>
        </is>
      </c>
      <c r="E2254" t="inlineStr">
        <is>
          <t>LINKÖPING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7808-2022</t>
        </is>
      </c>
      <c r="B2255" s="1" t="n">
        <v>44608</v>
      </c>
      <c r="C2255" s="1" t="n">
        <v>46093</v>
      </c>
      <c r="D2255" t="inlineStr">
        <is>
          <t>ÖSTERGÖTLANDS LÄN</t>
        </is>
      </c>
      <c r="E2255" t="inlineStr">
        <is>
          <t>LINKÖPING</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2197-2023</t>
        </is>
      </c>
      <c r="B2256" s="1" t="n">
        <v>44942.37232638889</v>
      </c>
      <c r="C2256" s="1" t="n">
        <v>46093</v>
      </c>
      <c r="D2256" t="inlineStr">
        <is>
          <t>ÖSTERGÖTLANDS LÄN</t>
        </is>
      </c>
      <c r="E2256" t="inlineStr">
        <is>
          <t>MOTALA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40292-2023</t>
        </is>
      </c>
      <c r="B2257" s="1" t="n">
        <v>45169.5819675926</v>
      </c>
      <c r="C2257" s="1" t="n">
        <v>46093</v>
      </c>
      <c r="D2257" t="inlineStr">
        <is>
          <t>ÖSTERGÖTLANDS LÄN</t>
        </is>
      </c>
      <c r="E2257" t="inlineStr">
        <is>
          <t>ÅTVIDABERG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38015-2023</t>
        </is>
      </c>
      <c r="B2258" s="1" t="n">
        <v>45160</v>
      </c>
      <c r="C2258" s="1" t="n">
        <v>46093</v>
      </c>
      <c r="D2258" t="inlineStr">
        <is>
          <t>ÖSTERGÖTLANDS LÄN</t>
        </is>
      </c>
      <c r="E2258" t="inlineStr">
        <is>
          <t>KINDA</t>
        </is>
      </c>
      <c r="F2258" t="inlineStr">
        <is>
          <t>Allmännings- och besparingsskogar</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39848-2025</t>
        </is>
      </c>
      <c r="B2259" s="1" t="n">
        <v>45891</v>
      </c>
      <c r="C2259" s="1" t="n">
        <v>46093</v>
      </c>
      <c r="D2259" t="inlineStr">
        <is>
          <t>ÖSTERGÖTLANDS LÄN</t>
        </is>
      </c>
      <c r="E2259" t="inlineStr">
        <is>
          <t>VALDEMARSVIK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617-2024</t>
        </is>
      </c>
      <c r="B2260" s="1" t="n">
        <v>45299.66028935185</v>
      </c>
      <c r="C2260" s="1" t="n">
        <v>46093</v>
      </c>
      <c r="D2260" t="inlineStr">
        <is>
          <t>ÖSTERGÖTLANDS LÄN</t>
        </is>
      </c>
      <c r="E2260" t="inlineStr">
        <is>
          <t>LINKÖPING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40056-2025</t>
        </is>
      </c>
      <c r="B2261" s="1" t="n">
        <v>45894.41927083334</v>
      </c>
      <c r="C2261" s="1" t="n">
        <v>46093</v>
      </c>
      <c r="D2261" t="inlineStr">
        <is>
          <t>ÖSTERGÖTLANDS LÄN</t>
        </is>
      </c>
      <c r="E2261" t="inlineStr">
        <is>
          <t>FINSPÅNG</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56830-2024</t>
        </is>
      </c>
      <c r="B2262" s="1" t="n">
        <v>45628.4957175926</v>
      </c>
      <c r="C2262" s="1" t="n">
        <v>46093</v>
      </c>
      <c r="D2262" t="inlineStr">
        <is>
          <t>ÖSTERGÖTLANDS LÄN</t>
        </is>
      </c>
      <c r="E2262" t="inlineStr">
        <is>
          <t>VALDEMARSVIK</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670-2024</t>
        </is>
      </c>
      <c r="B2263" s="1" t="n">
        <v>45300.3408912037</v>
      </c>
      <c r="C2263" s="1" t="n">
        <v>46093</v>
      </c>
      <c r="D2263" t="inlineStr">
        <is>
          <t>ÖSTERGÖTLANDS LÄN</t>
        </is>
      </c>
      <c r="E2263" t="inlineStr">
        <is>
          <t>LINKÖPING</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56855-2024</t>
        </is>
      </c>
      <c r="B2264" s="1" t="n">
        <v>45628.54432870371</v>
      </c>
      <c r="C2264" s="1" t="n">
        <v>46093</v>
      </c>
      <c r="D2264" t="inlineStr">
        <is>
          <t>ÖSTERGÖTLANDS LÄN</t>
        </is>
      </c>
      <c r="E2264" t="inlineStr">
        <is>
          <t>VALDEMARSVIK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40132-2025</t>
        </is>
      </c>
      <c r="B2265" s="1" t="n">
        <v>45894.55216435185</v>
      </c>
      <c r="C2265" s="1" t="n">
        <v>46093</v>
      </c>
      <c r="D2265" t="inlineStr">
        <is>
          <t>ÖSTERGÖTLANDS LÄN</t>
        </is>
      </c>
      <c r="E2265" t="inlineStr">
        <is>
          <t>NORRKÖPING</t>
        </is>
      </c>
      <c r="F2265" t="inlineStr">
        <is>
          <t>Holmen skog AB</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12223-2025</t>
        </is>
      </c>
      <c r="B2266" s="1" t="n">
        <v>45729</v>
      </c>
      <c r="C2266" s="1" t="n">
        <v>46093</v>
      </c>
      <c r="D2266" t="inlineStr">
        <is>
          <t>ÖSTERGÖTLANDS LÄN</t>
        </is>
      </c>
      <c r="E2266" t="inlineStr">
        <is>
          <t>NORRKÖPING</t>
        </is>
      </c>
      <c r="F2266" t="inlineStr">
        <is>
          <t>Allmännings- och besparingsskogar</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52125-2022</t>
        </is>
      </c>
      <c r="B2267" s="1" t="n">
        <v>44873</v>
      </c>
      <c r="C2267" s="1" t="n">
        <v>46093</v>
      </c>
      <c r="D2267" t="inlineStr">
        <is>
          <t>ÖSTERGÖTLANDS LÄN</t>
        </is>
      </c>
      <c r="E2267" t="inlineStr">
        <is>
          <t>LINKÖPING</t>
        </is>
      </c>
      <c r="F2267" t="inlineStr">
        <is>
          <t>Övriga Aktiebolag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49915-2024</t>
        </is>
      </c>
      <c r="B2268" s="1" t="n">
        <v>45597.56597222222</v>
      </c>
      <c r="C2268" s="1" t="n">
        <v>46093</v>
      </c>
      <c r="D2268" t="inlineStr">
        <is>
          <t>ÖSTERGÖTLANDS LÄN</t>
        </is>
      </c>
      <c r="E2268" t="inlineStr">
        <is>
          <t>MJÖLBY</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49934-2024</t>
        </is>
      </c>
      <c r="B2269" s="1" t="n">
        <v>45597.58349537037</v>
      </c>
      <c r="C2269" s="1" t="n">
        <v>46093</v>
      </c>
      <c r="D2269" t="inlineStr">
        <is>
          <t>ÖSTERGÖTLANDS LÄN</t>
        </is>
      </c>
      <c r="E2269" t="inlineStr">
        <is>
          <t>VALDEMARSVIK</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30357-2025</t>
        </is>
      </c>
      <c r="B2270" s="1" t="n">
        <v>45827.53986111111</v>
      </c>
      <c r="C2270" s="1" t="n">
        <v>46093</v>
      </c>
      <c r="D2270" t="inlineStr">
        <is>
          <t>ÖSTERGÖTLANDS LÄN</t>
        </is>
      </c>
      <c r="E2270" t="inlineStr">
        <is>
          <t>MOTALA</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25877-2024</t>
        </is>
      </c>
      <c r="B2271" s="1" t="n">
        <v>45467.48385416667</v>
      </c>
      <c r="C2271" s="1" t="n">
        <v>46093</v>
      </c>
      <c r="D2271" t="inlineStr">
        <is>
          <t>ÖSTERGÖTLANDS LÄN</t>
        </is>
      </c>
      <c r="E2271" t="inlineStr">
        <is>
          <t>FINSPÅNG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43872-2023</t>
        </is>
      </c>
      <c r="B2272" s="1" t="n">
        <v>45187</v>
      </c>
      <c r="C2272" s="1" t="n">
        <v>46093</v>
      </c>
      <c r="D2272" t="inlineStr">
        <is>
          <t>ÖSTERGÖTLANDS LÄN</t>
        </is>
      </c>
      <c r="E2272" t="inlineStr">
        <is>
          <t>ÅTVIDABERG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39965-2025</t>
        </is>
      </c>
      <c r="B2273" s="1" t="n">
        <v>45892.57770833333</v>
      </c>
      <c r="C2273" s="1" t="n">
        <v>46093</v>
      </c>
      <c r="D2273" t="inlineStr">
        <is>
          <t>ÖSTERGÖTLANDS LÄN</t>
        </is>
      </c>
      <c r="E2273" t="inlineStr">
        <is>
          <t>MJÖLBY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36336-2023</t>
        </is>
      </c>
      <c r="B2274" s="1" t="n">
        <v>45152.45078703704</v>
      </c>
      <c r="C2274" s="1" t="n">
        <v>46093</v>
      </c>
      <c r="D2274" t="inlineStr">
        <is>
          <t>ÖSTERGÖTLANDS LÄN</t>
        </is>
      </c>
      <c r="E2274" t="inlineStr">
        <is>
          <t>LINKÖPING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40006-2025</t>
        </is>
      </c>
      <c r="B2275" s="1" t="n">
        <v>45894.34081018518</v>
      </c>
      <c r="C2275" s="1" t="n">
        <v>46093</v>
      </c>
      <c r="D2275" t="inlineStr">
        <is>
          <t>ÖSTERGÖTLANDS LÄN</t>
        </is>
      </c>
      <c r="E2275" t="inlineStr">
        <is>
          <t>FINSPÅNG</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29349-2024</t>
        </is>
      </c>
      <c r="B2276" s="1" t="n">
        <v>45483.48837962963</v>
      </c>
      <c r="C2276" s="1" t="n">
        <v>46093</v>
      </c>
      <c r="D2276" t="inlineStr">
        <is>
          <t>ÖSTERGÖTLANDS LÄN</t>
        </is>
      </c>
      <c r="E2276" t="inlineStr">
        <is>
          <t>ÅTVIDABERG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39788-2025</t>
        </is>
      </c>
      <c r="B2277" s="1" t="n">
        <v>45891</v>
      </c>
      <c r="C2277" s="1" t="n">
        <v>46093</v>
      </c>
      <c r="D2277" t="inlineStr">
        <is>
          <t>ÖSTERGÖTLANDS LÄN</t>
        </is>
      </c>
      <c r="E2277" t="inlineStr">
        <is>
          <t>YDRE</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710-2025</t>
        </is>
      </c>
      <c r="B2278" s="1" t="n">
        <v>45665.3637962963</v>
      </c>
      <c r="C2278" s="1" t="n">
        <v>46093</v>
      </c>
      <c r="D2278" t="inlineStr">
        <is>
          <t>ÖSTERGÖTLANDS LÄN</t>
        </is>
      </c>
      <c r="E2278" t="inlineStr">
        <is>
          <t>ÅTVIDABERG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39865-2025</t>
        </is>
      </c>
      <c r="B2279" s="1" t="n">
        <v>45891.60346064815</v>
      </c>
      <c r="C2279" s="1" t="n">
        <v>46093</v>
      </c>
      <c r="D2279" t="inlineStr">
        <is>
          <t>ÖSTERGÖTLANDS LÄN</t>
        </is>
      </c>
      <c r="E2279" t="inlineStr">
        <is>
          <t>NORRKÖPING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55812-2021</t>
        </is>
      </c>
      <c r="B2280" s="1" t="n">
        <v>44476</v>
      </c>
      <c r="C2280" s="1" t="n">
        <v>46093</v>
      </c>
      <c r="D2280" t="inlineStr">
        <is>
          <t>ÖSTERGÖTLANDS LÄN</t>
        </is>
      </c>
      <c r="E2280" t="inlineStr">
        <is>
          <t>FINSPÅNG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55844-2021</t>
        </is>
      </c>
      <c r="B2281" s="1" t="n">
        <v>44476.63773148148</v>
      </c>
      <c r="C2281" s="1" t="n">
        <v>46093</v>
      </c>
      <c r="D2281" t="inlineStr">
        <is>
          <t>ÖSTERGÖTLANDS LÄN</t>
        </is>
      </c>
      <c r="E2281" t="inlineStr">
        <is>
          <t>YDRE</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40102-2025</t>
        </is>
      </c>
      <c r="B2282" s="1" t="n">
        <v>45894.4878587963</v>
      </c>
      <c r="C2282" s="1" t="n">
        <v>46093</v>
      </c>
      <c r="D2282" t="inlineStr">
        <is>
          <t>ÖSTERGÖTLANDS LÄN</t>
        </is>
      </c>
      <c r="E2282" t="inlineStr">
        <is>
          <t>ÖDESHÖG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62028-2023</t>
        </is>
      </c>
      <c r="B2283" s="1" t="n">
        <v>45266</v>
      </c>
      <c r="C2283" s="1" t="n">
        <v>46093</v>
      </c>
      <c r="D2283" t="inlineStr">
        <is>
          <t>ÖSTERGÖTLANDS LÄN</t>
        </is>
      </c>
      <c r="E2283" t="inlineStr">
        <is>
          <t>NORRKÖPING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62075-2023</t>
        </is>
      </c>
      <c r="B2284" s="1" t="n">
        <v>45266.74684027778</v>
      </c>
      <c r="C2284" s="1" t="n">
        <v>46093</v>
      </c>
      <c r="D2284" t="inlineStr">
        <is>
          <t>ÖSTERGÖTLANDS LÄN</t>
        </is>
      </c>
      <c r="E2284" t="inlineStr">
        <is>
          <t>MOTALA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20050-2023</t>
        </is>
      </c>
      <c r="B2285" s="1" t="n">
        <v>45054.66798611111</v>
      </c>
      <c r="C2285" s="1" t="n">
        <v>46093</v>
      </c>
      <c r="D2285" t="inlineStr">
        <is>
          <t>ÖSTERGÖTLANDS LÄN</t>
        </is>
      </c>
      <c r="E2285" t="inlineStr">
        <is>
          <t>YDRE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62077-2023</t>
        </is>
      </c>
      <c r="B2286" s="1" t="n">
        <v>45266.753125</v>
      </c>
      <c r="C2286" s="1" t="n">
        <v>46093</v>
      </c>
      <c r="D2286" t="inlineStr">
        <is>
          <t>ÖSTERGÖTLANDS LÄN</t>
        </is>
      </c>
      <c r="E2286" t="inlineStr">
        <is>
          <t>MOTALA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62079-2023</t>
        </is>
      </c>
      <c r="B2287" s="1" t="n">
        <v>45266</v>
      </c>
      <c r="C2287" s="1" t="n">
        <v>46093</v>
      </c>
      <c r="D2287" t="inlineStr">
        <is>
          <t>ÖSTERGÖTLANDS LÄN</t>
        </is>
      </c>
      <c r="E2287" t="inlineStr">
        <is>
          <t>MOTALA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11136-2025</t>
        </is>
      </c>
      <c r="B2288" s="1" t="n">
        <v>45723.65960648148</v>
      </c>
      <c r="C2288" s="1" t="n">
        <v>46093</v>
      </c>
      <c r="D2288" t="inlineStr">
        <is>
          <t>ÖSTERGÖTLANDS LÄN</t>
        </is>
      </c>
      <c r="E2288" t="inlineStr">
        <is>
          <t>NORRKÖPING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16480-2021</t>
        </is>
      </c>
      <c r="B2289" s="1" t="n">
        <v>44293</v>
      </c>
      <c r="C2289" s="1" t="n">
        <v>46093</v>
      </c>
      <c r="D2289" t="inlineStr">
        <is>
          <t>ÖSTERGÖTLANDS LÄN</t>
        </is>
      </c>
      <c r="E2289" t="inlineStr">
        <is>
          <t>ÅTVIDABERG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40095-2025</t>
        </is>
      </c>
      <c r="B2290" s="1" t="n">
        <v>45894.4825</v>
      </c>
      <c r="C2290" s="1" t="n">
        <v>46093</v>
      </c>
      <c r="D2290" t="inlineStr">
        <is>
          <t>ÖSTERGÖTLANDS LÄN</t>
        </is>
      </c>
      <c r="E2290" t="inlineStr">
        <is>
          <t>NORRKÖPING</t>
        </is>
      </c>
      <c r="F2290" t="inlineStr">
        <is>
          <t>Holmen skog AB</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56623-2024</t>
        </is>
      </c>
      <c r="B2291" s="1" t="n">
        <v>45625</v>
      </c>
      <c r="C2291" s="1" t="n">
        <v>46093</v>
      </c>
      <c r="D2291" t="inlineStr">
        <is>
          <t>ÖSTERGÖTLANDS LÄN</t>
        </is>
      </c>
      <c r="E2291" t="inlineStr">
        <is>
          <t>LINKÖPING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40134-2025</t>
        </is>
      </c>
      <c r="B2292" s="1" t="n">
        <v>45894.55337962963</v>
      </c>
      <c r="C2292" s="1" t="n">
        <v>46093</v>
      </c>
      <c r="D2292" t="inlineStr">
        <is>
          <t>ÖSTERGÖTLANDS LÄN</t>
        </is>
      </c>
      <c r="E2292" t="inlineStr">
        <is>
          <t>NORRKÖPING</t>
        </is>
      </c>
      <c r="F2292" t="inlineStr">
        <is>
          <t>Holmen skog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39854-2025</t>
        </is>
      </c>
      <c r="B2293" s="1" t="n">
        <v>45891.58826388889</v>
      </c>
      <c r="C2293" s="1" t="n">
        <v>46093</v>
      </c>
      <c r="D2293" t="inlineStr">
        <is>
          <t>ÖSTERGÖTLANDS LÄN</t>
        </is>
      </c>
      <c r="E2293" t="inlineStr">
        <is>
          <t>SÖDERKÖPING</t>
        </is>
      </c>
      <c r="G2293" t="n">
        <v>26.6</v>
      </c>
      <c r="H2293" t="n">
        <v>0</v>
      </c>
      <c r="I2293" t="n">
        <v>0</v>
      </c>
      <c r="J2293" t="n">
        <v>0</v>
      </c>
      <c r="K2293" t="n">
        <v>0</v>
      </c>
      <c r="L2293" t="n">
        <v>0</v>
      </c>
      <c r="M2293" t="n">
        <v>0</v>
      </c>
      <c r="N2293" t="n">
        <v>0</v>
      </c>
      <c r="O2293" t="n">
        <v>0</v>
      </c>
      <c r="P2293" t="n">
        <v>0</v>
      </c>
      <c r="Q2293" t="n">
        <v>0</v>
      </c>
      <c r="R2293" s="2" t="inlineStr"/>
    </row>
    <row r="2294" ht="15" customHeight="1">
      <c r="A2294" t="inlineStr">
        <is>
          <t>A 39863-2025</t>
        </is>
      </c>
      <c r="B2294" s="1" t="n">
        <v>45891.60103009259</v>
      </c>
      <c r="C2294" s="1" t="n">
        <v>46093</v>
      </c>
      <c r="D2294" t="inlineStr">
        <is>
          <t>ÖSTERGÖTLANDS LÄN</t>
        </is>
      </c>
      <c r="E2294" t="inlineStr">
        <is>
          <t>NORRKÖPING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40245-2025</t>
        </is>
      </c>
      <c r="B2295" s="1" t="n">
        <v>45894.88730324074</v>
      </c>
      <c r="C2295" s="1" t="n">
        <v>46093</v>
      </c>
      <c r="D2295" t="inlineStr">
        <is>
          <t>ÖSTERGÖTLANDS LÄN</t>
        </is>
      </c>
      <c r="E2295" t="inlineStr">
        <is>
          <t>MOTALA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36263-2024</t>
        </is>
      </c>
      <c r="B2296" s="1" t="n">
        <v>45534.55334490741</v>
      </c>
      <c r="C2296" s="1" t="n">
        <v>46093</v>
      </c>
      <c r="D2296" t="inlineStr">
        <is>
          <t>ÖSTERGÖTLANDS LÄN</t>
        </is>
      </c>
      <c r="E2296" t="inlineStr">
        <is>
          <t>ÅTVIDABERG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40604-2025</t>
        </is>
      </c>
      <c r="B2297" s="1" t="n">
        <v>45896.56527777778</v>
      </c>
      <c r="C2297" s="1" t="n">
        <v>46093</v>
      </c>
      <c r="D2297" t="inlineStr">
        <is>
          <t>ÖSTERGÖTLANDS LÄN</t>
        </is>
      </c>
      <c r="E2297" t="inlineStr">
        <is>
          <t>ÖDESHÖG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39232-2024</t>
        </is>
      </c>
      <c r="B2298" s="1" t="n">
        <v>45550.68804398148</v>
      </c>
      <c r="C2298" s="1" t="n">
        <v>46093</v>
      </c>
      <c r="D2298" t="inlineStr">
        <is>
          <t>ÖSTERGÖTLANDS LÄN</t>
        </is>
      </c>
      <c r="E2298" t="inlineStr">
        <is>
          <t>NORRKÖPING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40261-2025</t>
        </is>
      </c>
      <c r="B2299" s="1" t="n">
        <v>45895.33560185185</v>
      </c>
      <c r="C2299" s="1" t="n">
        <v>46093</v>
      </c>
      <c r="D2299" t="inlineStr">
        <is>
          <t>ÖSTERGÖTLANDS LÄN</t>
        </is>
      </c>
      <c r="E2299" t="inlineStr">
        <is>
          <t>ÅTVIDABERG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40557-2025</t>
        </is>
      </c>
      <c r="B2300" s="1" t="n">
        <v>45896.45008101852</v>
      </c>
      <c r="C2300" s="1" t="n">
        <v>46093</v>
      </c>
      <c r="D2300" t="inlineStr">
        <is>
          <t>ÖSTERGÖTLANDS LÄN</t>
        </is>
      </c>
      <c r="E2300" t="inlineStr">
        <is>
          <t>FINSPÅNG</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30315-2024</t>
        </is>
      </c>
      <c r="B2301" s="1" t="n">
        <v>45490.72372685185</v>
      </c>
      <c r="C2301" s="1" t="n">
        <v>46093</v>
      </c>
      <c r="D2301" t="inlineStr">
        <is>
          <t>ÖSTERGÖTLANDS LÄN</t>
        </is>
      </c>
      <c r="E2301" t="inlineStr">
        <is>
          <t>NORRKÖPING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40619-2025</t>
        </is>
      </c>
      <c r="B2302" s="1" t="n">
        <v>45896.58465277778</v>
      </c>
      <c r="C2302" s="1" t="n">
        <v>46093</v>
      </c>
      <c r="D2302" t="inlineStr">
        <is>
          <t>ÖSTERGÖTLANDS LÄN</t>
        </is>
      </c>
      <c r="E2302" t="inlineStr">
        <is>
          <t>ÅTVIDABERG</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40669-2025</t>
        </is>
      </c>
      <c r="B2303" s="1" t="n">
        <v>45896.66505787037</v>
      </c>
      <c r="C2303" s="1" t="n">
        <v>46093</v>
      </c>
      <c r="D2303" t="inlineStr">
        <is>
          <t>ÖSTERGÖTLANDS LÄN</t>
        </is>
      </c>
      <c r="E2303" t="inlineStr">
        <is>
          <t>NORRKÖPING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40670-2025</t>
        </is>
      </c>
      <c r="B2304" s="1" t="n">
        <v>45896.66944444444</v>
      </c>
      <c r="C2304" s="1" t="n">
        <v>46093</v>
      </c>
      <c r="D2304" t="inlineStr">
        <is>
          <t>ÖSTERGÖTLANDS LÄN</t>
        </is>
      </c>
      <c r="E2304" t="inlineStr">
        <is>
          <t>NORRKÖPING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1018-2023</t>
        </is>
      </c>
      <c r="B2305" s="1" t="n">
        <v>44930</v>
      </c>
      <c r="C2305" s="1" t="n">
        <v>46093</v>
      </c>
      <c r="D2305" t="inlineStr">
        <is>
          <t>ÖSTERGÖTLANDS LÄN</t>
        </is>
      </c>
      <c r="E2305" t="inlineStr">
        <is>
          <t>NORRKÖPING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40583-2025</t>
        </is>
      </c>
      <c r="B2306" s="1" t="n">
        <v>45896.51782407407</v>
      </c>
      <c r="C2306" s="1" t="n">
        <v>46093</v>
      </c>
      <c r="D2306" t="inlineStr">
        <is>
          <t>ÖSTERGÖTLANDS LÄN</t>
        </is>
      </c>
      <c r="E2306" t="inlineStr">
        <is>
          <t>BOXHOLM</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40594-2025</t>
        </is>
      </c>
      <c r="B2307" s="1" t="n">
        <v>45896.54732638889</v>
      </c>
      <c r="C2307" s="1" t="n">
        <v>46093</v>
      </c>
      <c r="D2307" t="inlineStr">
        <is>
          <t>ÖSTERGÖTLANDS LÄN</t>
        </is>
      </c>
      <c r="E2307" t="inlineStr">
        <is>
          <t>BOXHOLM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1084-2023</t>
        </is>
      </c>
      <c r="B2308" s="1" t="n">
        <v>44929</v>
      </c>
      <c r="C2308" s="1" t="n">
        <v>46093</v>
      </c>
      <c r="D2308" t="inlineStr">
        <is>
          <t>ÖSTERGÖTLANDS LÄN</t>
        </is>
      </c>
      <c r="E2308" t="inlineStr">
        <is>
          <t>LINKÖPING</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34700-2025</t>
        </is>
      </c>
      <c r="B2309" s="1" t="n">
        <v>45848</v>
      </c>
      <c r="C2309" s="1" t="n">
        <v>46093</v>
      </c>
      <c r="D2309" t="inlineStr">
        <is>
          <t>ÖSTERGÖTLANDS LÄN</t>
        </is>
      </c>
      <c r="E2309" t="inlineStr">
        <is>
          <t>ÅTVIDABERG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40284-2025</t>
        </is>
      </c>
      <c r="B2310" s="1" t="n">
        <v>45895.373125</v>
      </c>
      <c r="C2310" s="1" t="n">
        <v>46093</v>
      </c>
      <c r="D2310" t="inlineStr">
        <is>
          <t>ÖSTERGÖTLANDS LÄN</t>
        </is>
      </c>
      <c r="E2310" t="inlineStr">
        <is>
          <t>NORRKÖPING</t>
        </is>
      </c>
      <c r="F2310" t="inlineStr">
        <is>
          <t>Holmen skog AB</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29794-2024</t>
        </is>
      </c>
      <c r="B2311" s="1" t="n">
        <v>45485.4796875</v>
      </c>
      <c r="C2311" s="1" t="n">
        <v>46093</v>
      </c>
      <c r="D2311" t="inlineStr">
        <is>
          <t>ÖSTERGÖTLANDS LÄN</t>
        </is>
      </c>
      <c r="E2311" t="inlineStr">
        <is>
          <t>KINDA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72558-2021</t>
        </is>
      </c>
      <c r="B2312" s="1" t="n">
        <v>44546.43049768519</v>
      </c>
      <c r="C2312" s="1" t="n">
        <v>46093</v>
      </c>
      <c r="D2312" t="inlineStr">
        <is>
          <t>ÖSTERGÖTLANDS LÄN</t>
        </is>
      </c>
      <c r="E2312" t="inlineStr">
        <is>
          <t>MJÖLBY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39190-2025</t>
        </is>
      </c>
      <c r="B2313" s="1" t="n">
        <v>45888</v>
      </c>
      <c r="C2313" s="1" t="n">
        <v>46093</v>
      </c>
      <c r="D2313" t="inlineStr">
        <is>
          <t>ÖSTERGÖTLANDS LÄN</t>
        </is>
      </c>
      <c r="E2313" t="inlineStr">
        <is>
          <t>ÅTVIDABERG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33589-2025</t>
        </is>
      </c>
      <c r="B2314" s="1" t="n">
        <v>45841.59689814815</v>
      </c>
      <c r="C2314" s="1" t="n">
        <v>46093</v>
      </c>
      <c r="D2314" t="inlineStr">
        <is>
          <t>ÖSTERGÖTLANDS LÄN</t>
        </is>
      </c>
      <c r="E2314" t="inlineStr">
        <is>
          <t>YDRE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33593-2025</t>
        </is>
      </c>
      <c r="B2315" s="1" t="n">
        <v>45841.6000462963</v>
      </c>
      <c r="C2315" s="1" t="n">
        <v>46093</v>
      </c>
      <c r="D2315" t="inlineStr">
        <is>
          <t>ÖSTERGÖTLANDS LÄN</t>
        </is>
      </c>
      <c r="E2315" t="inlineStr">
        <is>
          <t>YDRE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40315-2025</t>
        </is>
      </c>
      <c r="B2316" s="1" t="n">
        <v>45895.42582175926</v>
      </c>
      <c r="C2316" s="1" t="n">
        <v>46093</v>
      </c>
      <c r="D2316" t="inlineStr">
        <is>
          <t>ÖSTERGÖTLANDS LÄN</t>
        </is>
      </c>
      <c r="E2316" t="inlineStr">
        <is>
          <t>NORRKÖPING</t>
        </is>
      </c>
      <c r="F2316" t="inlineStr">
        <is>
          <t>Holmen skog AB</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40472-2025</t>
        </is>
      </c>
      <c r="B2317" s="1" t="n">
        <v>45895.67457175926</v>
      </c>
      <c r="C2317" s="1" t="n">
        <v>46093</v>
      </c>
      <c r="D2317" t="inlineStr">
        <is>
          <t>ÖSTERGÖTLANDS LÄN</t>
        </is>
      </c>
      <c r="E2317" t="inlineStr">
        <is>
          <t>FINSPÅNG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40498-2025</t>
        </is>
      </c>
      <c r="B2318" s="1" t="n">
        <v>45896.32207175926</v>
      </c>
      <c r="C2318" s="1" t="n">
        <v>46093</v>
      </c>
      <c r="D2318" t="inlineStr">
        <is>
          <t>ÖSTERGÖTLANDS LÄN</t>
        </is>
      </c>
      <c r="E2318" t="inlineStr">
        <is>
          <t>ÖDESHÖG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41363-2023</t>
        </is>
      </c>
      <c r="B2319" s="1" t="n">
        <v>45174</v>
      </c>
      <c r="C2319" s="1" t="n">
        <v>46093</v>
      </c>
      <c r="D2319" t="inlineStr">
        <is>
          <t>ÖSTERGÖTLANDS LÄN</t>
        </is>
      </c>
      <c r="E2319" t="inlineStr">
        <is>
          <t>SÖDERKÖPING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10369-2024</t>
        </is>
      </c>
      <c r="B2320" s="1" t="n">
        <v>45365</v>
      </c>
      <c r="C2320" s="1" t="n">
        <v>46093</v>
      </c>
      <c r="D2320" t="inlineStr">
        <is>
          <t>ÖSTERGÖTLANDS LÄN</t>
        </is>
      </c>
      <c r="E2320" t="inlineStr">
        <is>
          <t>SÖDERKÖPING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37728-2021</t>
        </is>
      </c>
      <c r="B2321" s="1" t="n">
        <v>44400</v>
      </c>
      <c r="C2321" s="1" t="n">
        <v>46093</v>
      </c>
      <c r="D2321" t="inlineStr">
        <is>
          <t>ÖSTERGÖTLANDS LÄN</t>
        </is>
      </c>
      <c r="E2321" t="inlineStr">
        <is>
          <t>ÅTVIDABERG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40244-2025</t>
        </is>
      </c>
      <c r="B2322" s="1" t="n">
        <v>45894.88547453703</v>
      </c>
      <c r="C2322" s="1" t="n">
        <v>46093</v>
      </c>
      <c r="D2322" t="inlineStr">
        <is>
          <t>ÖSTERGÖTLANDS LÄN</t>
        </is>
      </c>
      <c r="E2322" t="inlineStr">
        <is>
          <t>MOTALA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40278-2025</t>
        </is>
      </c>
      <c r="B2323" s="1" t="n">
        <v>45895.3627662037</v>
      </c>
      <c r="C2323" s="1" t="n">
        <v>46093</v>
      </c>
      <c r="D2323" t="inlineStr">
        <is>
          <t>ÖSTERGÖTLANDS LÄN</t>
        </is>
      </c>
      <c r="E2323" t="inlineStr">
        <is>
          <t>NORRKÖPING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40626-2025</t>
        </is>
      </c>
      <c r="B2324" s="1" t="n">
        <v>45896.58913194444</v>
      </c>
      <c r="C2324" s="1" t="n">
        <v>46093</v>
      </c>
      <c r="D2324" t="inlineStr">
        <is>
          <t>ÖSTERGÖTLANDS LÄN</t>
        </is>
      </c>
      <c r="E2324" t="inlineStr">
        <is>
          <t>ÅTVIDABERG</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40623-2025</t>
        </is>
      </c>
      <c r="B2325" s="1" t="n">
        <v>45896.58643518519</v>
      </c>
      <c r="C2325" s="1" t="n">
        <v>46093</v>
      </c>
      <c r="D2325" t="inlineStr">
        <is>
          <t>ÖSTERGÖTLANDS LÄN</t>
        </is>
      </c>
      <c r="E2325" t="inlineStr">
        <is>
          <t>ÅTVIDABERG</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40243-2025</t>
        </is>
      </c>
      <c r="B2326" s="1" t="n">
        <v>45894.88321759259</v>
      </c>
      <c r="C2326" s="1" t="n">
        <v>46093</v>
      </c>
      <c r="D2326" t="inlineStr">
        <is>
          <t>ÖSTERGÖTLANDS LÄN</t>
        </is>
      </c>
      <c r="E2326" t="inlineStr">
        <is>
          <t>MOTALA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32596-2021</t>
        </is>
      </c>
      <c r="B2327" s="1" t="n">
        <v>44375</v>
      </c>
      <c r="C2327" s="1" t="n">
        <v>46093</v>
      </c>
      <c r="D2327" t="inlineStr">
        <is>
          <t>ÖSTERGÖTLANDS LÄN</t>
        </is>
      </c>
      <c r="E2327" t="inlineStr">
        <is>
          <t>FINSPÅNG</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30389-2024</t>
        </is>
      </c>
      <c r="B2328" s="1" t="n">
        <v>45491</v>
      </c>
      <c r="C2328" s="1" t="n">
        <v>46093</v>
      </c>
      <c r="D2328" t="inlineStr">
        <is>
          <t>ÖSTERGÖTLANDS LÄN</t>
        </is>
      </c>
      <c r="E2328" t="inlineStr">
        <is>
          <t>ÖDESHÖG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27410-2024</t>
        </is>
      </c>
      <c r="B2329" s="1" t="n">
        <v>45473</v>
      </c>
      <c r="C2329" s="1" t="n">
        <v>46093</v>
      </c>
      <c r="D2329" t="inlineStr">
        <is>
          <t>ÖSTERGÖTLANDS LÄN</t>
        </is>
      </c>
      <c r="E2329" t="inlineStr">
        <is>
          <t>MOTALA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1835-2023</t>
        </is>
      </c>
      <c r="B2330" s="1" t="n">
        <v>44936</v>
      </c>
      <c r="C2330" s="1" t="n">
        <v>46093</v>
      </c>
      <c r="D2330" t="inlineStr">
        <is>
          <t>ÖSTERGÖTLANDS LÄN</t>
        </is>
      </c>
      <c r="E2330" t="inlineStr">
        <is>
          <t>NORRKÖPING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35908-2023</t>
        </is>
      </c>
      <c r="B2331" s="1" t="n">
        <v>45148.63856481481</v>
      </c>
      <c r="C2331" s="1" t="n">
        <v>46093</v>
      </c>
      <c r="D2331" t="inlineStr">
        <is>
          <t>ÖSTERGÖTLANDS LÄN</t>
        </is>
      </c>
      <c r="E2331" t="inlineStr">
        <is>
          <t>VALDEMARSVIK</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35736-2025</t>
        </is>
      </c>
      <c r="B2332" s="1" t="n">
        <v>45860</v>
      </c>
      <c r="C2332" s="1" t="n">
        <v>46093</v>
      </c>
      <c r="D2332" t="inlineStr">
        <is>
          <t>ÖSTERGÖTLANDS LÄN</t>
        </is>
      </c>
      <c r="E2332" t="inlineStr">
        <is>
          <t>NORRKÖPING</t>
        </is>
      </c>
      <c r="F2332" t="inlineStr">
        <is>
          <t>Allmännings- och besparingsskogar</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35745-2025</t>
        </is>
      </c>
      <c r="B2333" s="1" t="n">
        <v>45860.54739583333</v>
      </c>
      <c r="C2333" s="1" t="n">
        <v>46093</v>
      </c>
      <c r="D2333" t="inlineStr">
        <is>
          <t>ÖSTERGÖTLANDS LÄN</t>
        </is>
      </c>
      <c r="E2333" t="inlineStr">
        <is>
          <t>LINKÖPING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35765-2025</t>
        </is>
      </c>
      <c r="B2334" s="1" t="n">
        <v>45860.62929398148</v>
      </c>
      <c r="C2334" s="1" t="n">
        <v>46093</v>
      </c>
      <c r="D2334" t="inlineStr">
        <is>
          <t>ÖSTERGÖTLANDS LÄN</t>
        </is>
      </c>
      <c r="E2334" t="inlineStr">
        <is>
          <t>BOXHOLM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35757-2025</t>
        </is>
      </c>
      <c r="B2335" s="1" t="n">
        <v>45860.59876157407</v>
      </c>
      <c r="C2335" s="1" t="n">
        <v>46093</v>
      </c>
      <c r="D2335" t="inlineStr">
        <is>
          <t>ÖSTERGÖTLANDS LÄN</t>
        </is>
      </c>
      <c r="E2335" t="inlineStr">
        <is>
          <t>LINKÖPING</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40625-2025</t>
        </is>
      </c>
      <c r="B2336" s="1" t="n">
        <v>45896.58768518519</v>
      </c>
      <c r="C2336" s="1" t="n">
        <v>46093</v>
      </c>
      <c r="D2336" t="inlineStr">
        <is>
          <t>ÖSTERGÖTLANDS LÄN</t>
        </is>
      </c>
      <c r="E2336" t="inlineStr">
        <is>
          <t>ÅTVIDABERG</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27959-2024</t>
        </is>
      </c>
      <c r="B2337" s="1" t="n">
        <v>45476.34908564815</v>
      </c>
      <c r="C2337" s="1" t="n">
        <v>46093</v>
      </c>
      <c r="D2337" t="inlineStr">
        <is>
          <t>ÖSTERGÖTLANDS LÄN</t>
        </is>
      </c>
      <c r="E2337" t="inlineStr">
        <is>
          <t>KINDA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29859-2024</t>
        </is>
      </c>
      <c r="B2338" s="1" t="n">
        <v>45485.6846412037</v>
      </c>
      <c r="C2338" s="1" t="n">
        <v>46093</v>
      </c>
      <c r="D2338" t="inlineStr">
        <is>
          <t>ÖSTERGÖTLANDS LÄN</t>
        </is>
      </c>
      <c r="E2338" t="inlineStr">
        <is>
          <t>LINKÖPING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51571-2024</t>
        </is>
      </c>
      <c r="B2339" s="1" t="n">
        <v>45604</v>
      </c>
      <c r="C2339" s="1" t="n">
        <v>46093</v>
      </c>
      <c r="D2339" t="inlineStr">
        <is>
          <t>ÖSTERGÖTLANDS LÄN</t>
        </is>
      </c>
      <c r="E2339" t="inlineStr">
        <is>
          <t>LINKÖPING</t>
        </is>
      </c>
      <c r="F2339" t="inlineStr">
        <is>
          <t>Övriga Aktiebolag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32285-2023</t>
        </is>
      </c>
      <c r="B2340" s="1" t="n">
        <v>45120</v>
      </c>
      <c r="C2340" s="1" t="n">
        <v>46093</v>
      </c>
      <c r="D2340" t="inlineStr">
        <is>
          <t>ÖSTERGÖTLANDS LÄN</t>
        </is>
      </c>
      <c r="E2340" t="inlineStr">
        <is>
          <t>KINDA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223-2024</t>
        </is>
      </c>
      <c r="B2341" s="1" t="n">
        <v>45294.72739583333</v>
      </c>
      <c r="C2341" s="1" t="n">
        <v>46093</v>
      </c>
      <c r="D2341" t="inlineStr">
        <is>
          <t>ÖSTERGÖTLANDS LÄN</t>
        </is>
      </c>
      <c r="E2341" t="inlineStr">
        <is>
          <t>LINKÖPING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227-2024</t>
        </is>
      </c>
      <c r="B2342" s="1" t="n">
        <v>45294.73603009259</v>
      </c>
      <c r="C2342" s="1" t="n">
        <v>46093</v>
      </c>
      <c r="D2342" t="inlineStr">
        <is>
          <t>ÖSTERGÖTLANDS LÄN</t>
        </is>
      </c>
      <c r="E2342" t="inlineStr">
        <is>
          <t>LINKÖPING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58737-2024</t>
        </is>
      </c>
      <c r="B2343" s="1" t="n">
        <v>45635.68952546296</v>
      </c>
      <c r="C2343" s="1" t="n">
        <v>46093</v>
      </c>
      <c r="D2343" t="inlineStr">
        <is>
          <t>ÖSTERGÖTLANDS LÄN</t>
        </is>
      </c>
      <c r="E2343" t="inlineStr">
        <is>
          <t>KINDA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40760-2025</t>
        </is>
      </c>
      <c r="B2344" s="1" t="n">
        <v>45897.39159722222</v>
      </c>
      <c r="C2344" s="1" t="n">
        <v>46093</v>
      </c>
      <c r="D2344" t="inlineStr">
        <is>
          <t>ÖSTERGÖTLANDS LÄN</t>
        </is>
      </c>
      <c r="E2344" t="inlineStr">
        <is>
          <t>VALDEMARSVIK</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40995-2025</t>
        </is>
      </c>
      <c r="B2345" s="1" t="n">
        <v>45898.34202546296</v>
      </c>
      <c r="C2345" s="1" t="n">
        <v>46093</v>
      </c>
      <c r="D2345" t="inlineStr">
        <is>
          <t>ÖSTERGÖTLANDS LÄN</t>
        </is>
      </c>
      <c r="E2345" t="inlineStr">
        <is>
          <t>MOTALA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45044-2023</t>
        </is>
      </c>
      <c r="B2346" s="1" t="n">
        <v>45191</v>
      </c>
      <c r="C2346" s="1" t="n">
        <v>46093</v>
      </c>
      <c r="D2346" t="inlineStr">
        <is>
          <t>ÖSTERGÖTLANDS LÄN</t>
        </is>
      </c>
      <c r="E2346" t="inlineStr">
        <is>
          <t>SÖDERKÖPING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45099-2023</t>
        </is>
      </c>
      <c r="B2347" s="1" t="n">
        <v>45187</v>
      </c>
      <c r="C2347" s="1" t="n">
        <v>46093</v>
      </c>
      <c r="D2347" t="inlineStr">
        <is>
          <t>ÖSTERGÖTLANDS LÄN</t>
        </is>
      </c>
      <c r="E2347" t="inlineStr">
        <is>
          <t>MOTALA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45108-2023</t>
        </is>
      </c>
      <c r="B2348" s="1" t="n">
        <v>45187</v>
      </c>
      <c r="C2348" s="1" t="n">
        <v>46093</v>
      </c>
      <c r="D2348" t="inlineStr">
        <is>
          <t>ÖSTERGÖTLANDS LÄN</t>
        </is>
      </c>
      <c r="E2348" t="inlineStr">
        <is>
          <t>KINDA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40847-2025</t>
        </is>
      </c>
      <c r="B2349" s="1" t="n">
        <v>45897.54641203704</v>
      </c>
      <c r="C2349" s="1" t="n">
        <v>46093</v>
      </c>
      <c r="D2349" t="inlineStr">
        <is>
          <t>ÖSTERGÖTLANDS LÄN</t>
        </is>
      </c>
      <c r="E2349" t="inlineStr">
        <is>
          <t>KINDA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40845-2025</t>
        </is>
      </c>
      <c r="B2350" s="1" t="n">
        <v>45897.54273148148</v>
      </c>
      <c r="C2350" s="1" t="n">
        <v>46093</v>
      </c>
      <c r="D2350" t="inlineStr">
        <is>
          <t>ÖSTERGÖTLANDS LÄN</t>
        </is>
      </c>
      <c r="E2350" t="inlineStr">
        <is>
          <t>KINDA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1578-2023</t>
        </is>
      </c>
      <c r="B2351" s="1" t="n">
        <v>44937.6200925926</v>
      </c>
      <c r="C2351" s="1" t="n">
        <v>46093</v>
      </c>
      <c r="D2351" t="inlineStr">
        <is>
          <t>ÖSTERGÖTLANDS LÄN</t>
        </is>
      </c>
      <c r="E2351" t="inlineStr">
        <is>
          <t>ÖDESHÖG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38130-2023</t>
        </is>
      </c>
      <c r="B2352" s="1" t="n">
        <v>45161</v>
      </c>
      <c r="C2352" s="1" t="n">
        <v>46093</v>
      </c>
      <c r="D2352" t="inlineStr">
        <is>
          <t>ÖSTERGÖTLANDS LÄN</t>
        </is>
      </c>
      <c r="E2352" t="inlineStr">
        <is>
          <t>KINDA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38132-2023</t>
        </is>
      </c>
      <c r="B2353" s="1" t="n">
        <v>45161.36759259259</v>
      </c>
      <c r="C2353" s="1" t="n">
        <v>46093</v>
      </c>
      <c r="D2353" t="inlineStr">
        <is>
          <t>ÖSTERGÖTLANDS LÄN</t>
        </is>
      </c>
      <c r="E2353" t="inlineStr">
        <is>
          <t>KINDA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38133-2023</t>
        </is>
      </c>
      <c r="B2354" s="1" t="n">
        <v>45161.36928240741</v>
      </c>
      <c r="C2354" s="1" t="n">
        <v>46093</v>
      </c>
      <c r="D2354" t="inlineStr">
        <is>
          <t>ÖSTERGÖTLANDS LÄN</t>
        </is>
      </c>
      <c r="E2354" t="inlineStr">
        <is>
          <t>KINDA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40987-2025</t>
        </is>
      </c>
      <c r="B2355" s="1" t="n">
        <v>45898.30667824074</v>
      </c>
      <c r="C2355" s="1" t="n">
        <v>46093</v>
      </c>
      <c r="D2355" t="inlineStr">
        <is>
          <t>ÖSTERGÖTLANDS LÄN</t>
        </is>
      </c>
      <c r="E2355" t="inlineStr">
        <is>
          <t>KINDA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10215-2022</t>
        </is>
      </c>
      <c r="B2356" s="1" t="n">
        <v>44622.47993055556</v>
      </c>
      <c r="C2356" s="1" t="n">
        <v>46093</v>
      </c>
      <c r="D2356" t="inlineStr">
        <is>
          <t>ÖSTERGÖTLANDS LÄN</t>
        </is>
      </c>
      <c r="E2356" t="inlineStr">
        <is>
          <t>FINSPÅNG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41170-2025</t>
        </is>
      </c>
      <c r="B2357" s="1" t="n">
        <v>45898.54694444445</v>
      </c>
      <c r="C2357" s="1" t="n">
        <v>46093</v>
      </c>
      <c r="D2357" t="inlineStr">
        <is>
          <t>ÖSTERGÖTLANDS LÄN</t>
        </is>
      </c>
      <c r="E2357" t="inlineStr">
        <is>
          <t>FINSPÅNG</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41188-2025</t>
        </is>
      </c>
      <c r="B2358" s="1" t="n">
        <v>45898.56473379629</v>
      </c>
      <c r="C2358" s="1" t="n">
        <v>46093</v>
      </c>
      <c r="D2358" t="inlineStr">
        <is>
          <t>ÖSTERGÖTLANDS LÄN</t>
        </is>
      </c>
      <c r="E2358" t="inlineStr">
        <is>
          <t>FINSPÅNG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13422-2022</t>
        </is>
      </c>
      <c r="B2359" s="1" t="n">
        <v>44645</v>
      </c>
      <c r="C2359" s="1" t="n">
        <v>46093</v>
      </c>
      <c r="D2359" t="inlineStr">
        <is>
          <t>ÖSTERGÖTLANDS LÄN</t>
        </is>
      </c>
      <c r="E2359" t="inlineStr">
        <is>
          <t>MOTALA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24507-2025</t>
        </is>
      </c>
      <c r="B2360" s="1" t="n">
        <v>45798</v>
      </c>
      <c r="C2360" s="1" t="n">
        <v>46093</v>
      </c>
      <c r="D2360" t="inlineStr">
        <is>
          <t>ÖSTERGÖTLANDS LÄN</t>
        </is>
      </c>
      <c r="E2360" t="inlineStr">
        <is>
          <t>MOTALA</t>
        </is>
      </c>
      <c r="F2360" t="inlineStr">
        <is>
          <t>Sveaskog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41204-2025</t>
        </is>
      </c>
      <c r="B2361" s="1" t="n">
        <v>45898.57550925926</v>
      </c>
      <c r="C2361" s="1" t="n">
        <v>46093</v>
      </c>
      <c r="D2361" t="inlineStr">
        <is>
          <t>ÖSTERGÖTLANDS LÄN</t>
        </is>
      </c>
      <c r="E2361" t="inlineStr">
        <is>
          <t>FINSPÅNG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47428-2024</t>
        </is>
      </c>
      <c r="B2362" s="1" t="n">
        <v>45586</v>
      </c>
      <c r="C2362" s="1" t="n">
        <v>46093</v>
      </c>
      <c r="D2362" t="inlineStr">
        <is>
          <t>ÖSTERGÖTLANDS LÄN</t>
        </is>
      </c>
      <c r="E2362" t="inlineStr">
        <is>
          <t>SÖDERKÖPING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56129-2024</t>
        </is>
      </c>
      <c r="B2363" s="1" t="n">
        <v>45624</v>
      </c>
      <c r="C2363" s="1" t="n">
        <v>46093</v>
      </c>
      <c r="D2363" t="inlineStr">
        <is>
          <t>ÖSTERGÖTLANDS LÄN</t>
        </is>
      </c>
      <c r="E2363" t="inlineStr">
        <is>
          <t>KINDA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54226-2021</t>
        </is>
      </c>
      <c r="B2364" s="1" t="n">
        <v>44470.6253125</v>
      </c>
      <c r="C2364" s="1" t="n">
        <v>46093</v>
      </c>
      <c r="D2364" t="inlineStr">
        <is>
          <t>ÖSTERGÖTLANDS LÄN</t>
        </is>
      </c>
      <c r="E2364" t="inlineStr">
        <is>
          <t>ÖDESHÖG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43858-2021</t>
        </is>
      </c>
      <c r="B2365" s="1" t="n">
        <v>44434</v>
      </c>
      <c r="C2365" s="1" t="n">
        <v>46093</v>
      </c>
      <c r="D2365" t="inlineStr">
        <is>
          <t>ÖSTERGÖTLANDS LÄN</t>
        </is>
      </c>
      <c r="E2365" t="inlineStr">
        <is>
          <t>FINSPÅNG</t>
        </is>
      </c>
      <c r="F2365" t="inlineStr">
        <is>
          <t>Övriga Aktiebolag</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35759-2025</t>
        </is>
      </c>
      <c r="B2366" s="1" t="n">
        <v>45860</v>
      </c>
      <c r="C2366" s="1" t="n">
        <v>46093</v>
      </c>
      <c r="D2366" t="inlineStr">
        <is>
          <t>ÖSTERGÖTLANDS LÄN</t>
        </is>
      </c>
      <c r="E2366" t="inlineStr">
        <is>
          <t>LINKÖPING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10031-2025</t>
        </is>
      </c>
      <c r="B2367" s="1" t="n">
        <v>45719.49388888889</v>
      </c>
      <c r="C2367" s="1" t="n">
        <v>46093</v>
      </c>
      <c r="D2367" t="inlineStr">
        <is>
          <t>ÖSTERGÖTLANDS LÄN</t>
        </is>
      </c>
      <c r="E2367" t="inlineStr">
        <is>
          <t>FINSPÅNG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10717-2023</t>
        </is>
      </c>
      <c r="B2368" s="1" t="n">
        <v>44988.64733796296</v>
      </c>
      <c r="C2368" s="1" t="n">
        <v>46093</v>
      </c>
      <c r="D2368" t="inlineStr">
        <is>
          <t>ÖSTERGÖTLANDS LÄN</t>
        </is>
      </c>
      <c r="E2368" t="inlineStr">
        <is>
          <t>ÅTVIDABERG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40849-2025</t>
        </is>
      </c>
      <c r="B2369" s="1" t="n">
        <v>45897.54880787037</v>
      </c>
      <c r="C2369" s="1" t="n">
        <v>46093</v>
      </c>
      <c r="D2369" t="inlineStr">
        <is>
          <t>ÖSTERGÖTLANDS LÄN</t>
        </is>
      </c>
      <c r="E2369" t="inlineStr">
        <is>
          <t>KINDA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40853-2025</t>
        </is>
      </c>
      <c r="B2370" s="1" t="n">
        <v>45897.55340277778</v>
      </c>
      <c r="C2370" s="1" t="n">
        <v>46093</v>
      </c>
      <c r="D2370" t="inlineStr">
        <is>
          <t>ÖSTERGÖTLANDS LÄN</t>
        </is>
      </c>
      <c r="E2370" t="inlineStr">
        <is>
          <t>KINDA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13865-2025</t>
        </is>
      </c>
      <c r="B2371" s="1" t="n">
        <v>45737.57474537037</v>
      </c>
      <c r="C2371" s="1" t="n">
        <v>46093</v>
      </c>
      <c r="D2371" t="inlineStr">
        <is>
          <t>ÖSTERGÖTLANDS LÄN</t>
        </is>
      </c>
      <c r="E2371" t="inlineStr">
        <is>
          <t>SÖDERKÖPING</t>
        </is>
      </c>
      <c r="F2371" t="inlineStr">
        <is>
          <t>Holmen skog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48325-2022</t>
        </is>
      </c>
      <c r="B2372" s="1" t="n">
        <v>44858</v>
      </c>
      <c r="C2372" s="1" t="n">
        <v>46093</v>
      </c>
      <c r="D2372" t="inlineStr">
        <is>
          <t>ÖSTERGÖTLANDS LÄN</t>
        </is>
      </c>
      <c r="E2372" t="inlineStr">
        <is>
          <t>ÖDESHÖG</t>
        </is>
      </c>
      <c r="F2372" t="inlineStr">
        <is>
          <t>Allmännings- och besparingsskogar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13889-2025</t>
        </is>
      </c>
      <c r="B2373" s="1" t="n">
        <v>45737.61777777778</v>
      </c>
      <c r="C2373" s="1" t="n">
        <v>46093</v>
      </c>
      <c r="D2373" t="inlineStr">
        <is>
          <t>ÖSTERGÖTLANDS LÄN</t>
        </is>
      </c>
      <c r="E2373" t="inlineStr">
        <is>
          <t>SÖDERKÖPING</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13920-2025</t>
        </is>
      </c>
      <c r="B2374" s="1" t="n">
        <v>45737.65708333333</v>
      </c>
      <c r="C2374" s="1" t="n">
        <v>46093</v>
      </c>
      <c r="D2374" t="inlineStr">
        <is>
          <t>ÖSTERGÖTLANDS LÄN</t>
        </is>
      </c>
      <c r="E2374" t="inlineStr">
        <is>
          <t>SÖDERKÖPING</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41105-2025</t>
        </is>
      </c>
      <c r="B2375" s="1" t="n">
        <v>45898.45606481482</v>
      </c>
      <c r="C2375" s="1" t="n">
        <v>46093</v>
      </c>
      <c r="D2375" t="inlineStr">
        <is>
          <t>ÖSTERGÖTLANDS LÄN</t>
        </is>
      </c>
      <c r="E2375" t="inlineStr">
        <is>
          <t>MJÖLBY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48373-2022</t>
        </is>
      </c>
      <c r="B2376" s="1" t="n">
        <v>44858</v>
      </c>
      <c r="C2376" s="1" t="n">
        <v>46093</v>
      </c>
      <c r="D2376" t="inlineStr">
        <is>
          <t>ÖSTERGÖTLANDS LÄN</t>
        </is>
      </c>
      <c r="E2376" t="inlineStr">
        <is>
          <t>BOXHOLM</t>
        </is>
      </c>
      <c r="F2376" t="inlineStr">
        <is>
          <t>Övriga Aktiebolag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40679-2025</t>
        </is>
      </c>
      <c r="B2377" s="1" t="n">
        <v>45896.81087962963</v>
      </c>
      <c r="C2377" s="1" t="n">
        <v>46093</v>
      </c>
      <c r="D2377" t="inlineStr">
        <is>
          <t>ÖSTERGÖTLANDS LÄN</t>
        </is>
      </c>
      <c r="E2377" t="inlineStr">
        <is>
          <t>NORRKÖPING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47993-2024</t>
        </is>
      </c>
      <c r="B2378" s="1" t="n">
        <v>45589.43387731481</v>
      </c>
      <c r="C2378" s="1" t="n">
        <v>46093</v>
      </c>
      <c r="D2378" t="inlineStr">
        <is>
          <t>ÖSTERGÖTLANDS LÄN</t>
        </is>
      </c>
      <c r="E2378" t="inlineStr">
        <is>
          <t>ÖDESHÖG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13011-2022</t>
        </is>
      </c>
      <c r="B2379" s="1" t="n">
        <v>44643</v>
      </c>
      <c r="C2379" s="1" t="n">
        <v>46093</v>
      </c>
      <c r="D2379" t="inlineStr">
        <is>
          <t>ÖSTERGÖTLANDS LÄN</t>
        </is>
      </c>
      <c r="E2379" t="inlineStr">
        <is>
          <t>LINKÖPING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252-2023</t>
        </is>
      </c>
      <c r="B2380" s="1" t="n">
        <v>44922</v>
      </c>
      <c r="C2380" s="1" t="n">
        <v>46093</v>
      </c>
      <c r="D2380" t="inlineStr">
        <is>
          <t>ÖSTERGÖTLANDS LÄN</t>
        </is>
      </c>
      <c r="E2380" t="inlineStr">
        <is>
          <t>VALDEMARSVIK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50588-2024</t>
        </is>
      </c>
      <c r="B2381" s="1" t="n">
        <v>45601.6178125</v>
      </c>
      <c r="C2381" s="1" t="n">
        <v>46093</v>
      </c>
      <c r="D2381" t="inlineStr">
        <is>
          <t>ÖSTERGÖTLANDS LÄN</t>
        </is>
      </c>
      <c r="E2381" t="inlineStr">
        <is>
          <t>SÖDERKÖPING</t>
        </is>
      </c>
      <c r="F2381" t="inlineStr">
        <is>
          <t>Allmännings- och besparingsskogar</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41069-2025</t>
        </is>
      </c>
      <c r="B2382" s="1" t="n">
        <v>45898.41444444445</v>
      </c>
      <c r="C2382" s="1" t="n">
        <v>46093</v>
      </c>
      <c r="D2382" t="inlineStr">
        <is>
          <t>ÖSTERGÖTLANDS LÄN</t>
        </is>
      </c>
      <c r="E2382" t="inlineStr">
        <is>
          <t>YDRE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44896-2023</t>
        </is>
      </c>
      <c r="B2383" s="1" t="n">
        <v>45190</v>
      </c>
      <c r="C2383" s="1" t="n">
        <v>46093</v>
      </c>
      <c r="D2383" t="inlineStr">
        <is>
          <t>ÖSTERGÖTLANDS LÄN</t>
        </is>
      </c>
      <c r="E2383" t="inlineStr">
        <is>
          <t>BOXHOLM</t>
        </is>
      </c>
      <c r="F2383" t="inlineStr">
        <is>
          <t>Allmännings- och besparingsskogar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28994-2024</t>
        </is>
      </c>
      <c r="B2384" s="1" t="n">
        <v>45481.49856481481</v>
      </c>
      <c r="C2384" s="1" t="n">
        <v>46093</v>
      </c>
      <c r="D2384" t="inlineStr">
        <is>
          <t>ÖSTERGÖTLANDS LÄN</t>
        </is>
      </c>
      <c r="E2384" t="inlineStr">
        <is>
          <t>MOTALA</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28756-2024</t>
        </is>
      </c>
      <c r="B2385" s="1" t="n">
        <v>45478</v>
      </c>
      <c r="C2385" s="1" t="n">
        <v>46093</v>
      </c>
      <c r="D2385" t="inlineStr">
        <is>
          <t>ÖSTERGÖTLANDS LÄN</t>
        </is>
      </c>
      <c r="E2385" t="inlineStr">
        <is>
          <t>ÅTVIDABERG</t>
        </is>
      </c>
      <c r="G2385" t="n">
        <v>12.6</v>
      </c>
      <c r="H2385" t="n">
        <v>0</v>
      </c>
      <c r="I2385" t="n">
        <v>0</v>
      </c>
      <c r="J2385" t="n">
        <v>0</v>
      </c>
      <c r="K2385" t="n">
        <v>0</v>
      </c>
      <c r="L2385" t="n">
        <v>0</v>
      </c>
      <c r="M2385" t="n">
        <v>0</v>
      </c>
      <c r="N2385" t="n">
        <v>0</v>
      </c>
      <c r="O2385" t="n">
        <v>0</v>
      </c>
      <c r="P2385" t="n">
        <v>0</v>
      </c>
      <c r="Q2385" t="n">
        <v>0</v>
      </c>
      <c r="R2385" s="2" t="inlineStr"/>
    </row>
    <row r="2386" ht="15" customHeight="1">
      <c r="A2386" t="inlineStr">
        <is>
          <t>A 41133-2025</t>
        </is>
      </c>
      <c r="B2386" s="1" t="n">
        <v>45898</v>
      </c>
      <c r="C2386" s="1" t="n">
        <v>46093</v>
      </c>
      <c r="D2386" t="inlineStr">
        <is>
          <t>ÖSTERGÖTLANDS LÄN</t>
        </is>
      </c>
      <c r="E2386" t="inlineStr">
        <is>
          <t>ÅTVIDABERG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9030-2022</t>
        </is>
      </c>
      <c r="B2387" s="1" t="n">
        <v>44615</v>
      </c>
      <c r="C2387" s="1" t="n">
        <v>46093</v>
      </c>
      <c r="D2387" t="inlineStr">
        <is>
          <t>ÖSTERGÖTLANDS LÄN</t>
        </is>
      </c>
      <c r="E2387" t="inlineStr">
        <is>
          <t>MJÖLBY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11595-2025</t>
        </is>
      </c>
      <c r="B2388" s="1" t="n">
        <v>45727.41893518518</v>
      </c>
      <c r="C2388" s="1" t="n">
        <v>46093</v>
      </c>
      <c r="D2388" t="inlineStr">
        <is>
          <t>ÖSTERGÖTLANDS LÄN</t>
        </is>
      </c>
      <c r="E2388" t="inlineStr">
        <is>
          <t>LINKÖPING</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11767-2025</t>
        </is>
      </c>
      <c r="B2389" s="1" t="n">
        <v>45727.6683449074</v>
      </c>
      <c r="C2389" s="1" t="n">
        <v>46093</v>
      </c>
      <c r="D2389" t="inlineStr">
        <is>
          <t>ÖSTERGÖTLANDS LÄN</t>
        </is>
      </c>
      <c r="E2389" t="inlineStr">
        <is>
          <t>NORRKÖPING</t>
        </is>
      </c>
      <c r="F2389" t="inlineStr">
        <is>
          <t>Allmännings- och besparingsskogar</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50442-2024</t>
        </is>
      </c>
      <c r="B2390" s="1" t="n">
        <v>45601.42112268518</v>
      </c>
      <c r="C2390" s="1" t="n">
        <v>46093</v>
      </c>
      <c r="D2390" t="inlineStr">
        <is>
          <t>ÖSTERGÖTLANDS LÄN</t>
        </is>
      </c>
      <c r="E2390" t="inlineStr">
        <is>
          <t>VALDEMARSVIK</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41215-2025</t>
        </is>
      </c>
      <c r="B2391" s="1" t="n">
        <v>45898.58202546297</v>
      </c>
      <c r="C2391" s="1" t="n">
        <v>46093</v>
      </c>
      <c r="D2391" t="inlineStr">
        <is>
          <t>ÖSTERGÖTLANDS LÄN</t>
        </is>
      </c>
      <c r="E2391" t="inlineStr">
        <is>
          <t>NORRKÖPING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40475-2024</t>
        </is>
      </c>
      <c r="B2392" s="1" t="n">
        <v>45555.54030092592</v>
      </c>
      <c r="C2392" s="1" t="n">
        <v>46093</v>
      </c>
      <c r="D2392" t="inlineStr">
        <is>
          <t>ÖSTERGÖTLANDS LÄN</t>
        </is>
      </c>
      <c r="E2392" t="inlineStr">
        <is>
          <t>ÅTVIDABERG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64802-2021</t>
        </is>
      </c>
      <c r="B2393" s="1" t="n">
        <v>44512</v>
      </c>
      <c r="C2393" s="1" t="n">
        <v>46093</v>
      </c>
      <c r="D2393" t="inlineStr">
        <is>
          <t>ÖSTERGÖTLANDS LÄN</t>
        </is>
      </c>
      <c r="E2393" t="inlineStr">
        <is>
          <t>ÖDESHÖG</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23724-2023</t>
        </is>
      </c>
      <c r="B2394" s="1" t="n">
        <v>45077</v>
      </c>
      <c r="C2394" s="1" t="n">
        <v>46093</v>
      </c>
      <c r="D2394" t="inlineStr">
        <is>
          <t>ÖSTERGÖTLANDS LÄN</t>
        </is>
      </c>
      <c r="E2394" t="inlineStr">
        <is>
          <t>FINSPÅNG</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37631-2023</t>
        </is>
      </c>
      <c r="B2395" s="1" t="n">
        <v>45159</v>
      </c>
      <c r="C2395" s="1" t="n">
        <v>46093</v>
      </c>
      <c r="D2395" t="inlineStr">
        <is>
          <t>ÖSTERGÖTLANDS LÄN</t>
        </is>
      </c>
      <c r="E2395" t="inlineStr">
        <is>
          <t>MJÖLBY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37692-2023</t>
        </is>
      </c>
      <c r="B2396" s="1" t="n">
        <v>45159.56984953704</v>
      </c>
      <c r="C2396" s="1" t="n">
        <v>46093</v>
      </c>
      <c r="D2396" t="inlineStr">
        <is>
          <t>ÖSTERGÖTLANDS LÄN</t>
        </is>
      </c>
      <c r="E2396" t="inlineStr">
        <is>
          <t>SÖDERKÖPING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56917-2022</t>
        </is>
      </c>
      <c r="B2397" s="1" t="n">
        <v>44894</v>
      </c>
      <c r="C2397" s="1" t="n">
        <v>46093</v>
      </c>
      <c r="D2397" t="inlineStr">
        <is>
          <t>ÖSTERGÖTLANDS LÄN</t>
        </is>
      </c>
      <c r="E2397" t="inlineStr">
        <is>
          <t>LINKÖPING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50538-2024</t>
        </is>
      </c>
      <c r="B2398" s="1" t="n">
        <v>45601.57153935185</v>
      </c>
      <c r="C2398" s="1" t="n">
        <v>46093</v>
      </c>
      <c r="D2398" t="inlineStr">
        <is>
          <t>ÖSTERGÖTLANDS LÄN</t>
        </is>
      </c>
      <c r="E2398" t="inlineStr">
        <is>
          <t>VADSTENA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40798-2025</t>
        </is>
      </c>
      <c r="B2399" s="1" t="n">
        <v>45897.44991898148</v>
      </c>
      <c r="C2399" s="1" t="n">
        <v>46093</v>
      </c>
      <c r="D2399" t="inlineStr">
        <is>
          <t>ÖSTERGÖTLANDS LÄN</t>
        </is>
      </c>
      <c r="E2399" t="inlineStr">
        <is>
          <t>VALDEMARSVIK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37700-2023</t>
        </is>
      </c>
      <c r="B2400" s="1" t="n">
        <v>45159</v>
      </c>
      <c r="C2400" s="1" t="n">
        <v>46093</v>
      </c>
      <c r="D2400" t="inlineStr">
        <is>
          <t>ÖSTERGÖTLANDS LÄN</t>
        </is>
      </c>
      <c r="E2400" t="inlineStr">
        <is>
          <t>NORRKÖPING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8999-2023</t>
        </is>
      </c>
      <c r="B2401" s="1" t="n">
        <v>44979.56503472223</v>
      </c>
      <c r="C2401" s="1" t="n">
        <v>46093</v>
      </c>
      <c r="D2401" t="inlineStr">
        <is>
          <t>ÖSTERGÖTLANDS LÄN</t>
        </is>
      </c>
      <c r="E2401" t="inlineStr">
        <is>
          <t>SÖDERKÖPING</t>
        </is>
      </c>
      <c r="F2401" t="inlineStr">
        <is>
          <t>Allmännings- och besparingsskogar</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26907-2022</t>
        </is>
      </c>
      <c r="B2402" s="1" t="n">
        <v>44740.59423611111</v>
      </c>
      <c r="C2402" s="1" t="n">
        <v>46093</v>
      </c>
      <c r="D2402" t="inlineStr">
        <is>
          <t>ÖSTERGÖTLANDS LÄN</t>
        </is>
      </c>
      <c r="E2402" t="inlineStr">
        <is>
          <t>BOXHOLM</t>
        </is>
      </c>
      <c r="F2402" t="inlineStr">
        <is>
          <t>Övriga Aktiebolag</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309-2024</t>
        </is>
      </c>
      <c r="B2403" s="1" t="n">
        <v>45295.5071875</v>
      </c>
      <c r="C2403" s="1" t="n">
        <v>46093</v>
      </c>
      <c r="D2403" t="inlineStr">
        <is>
          <t>ÖSTERGÖTLANDS LÄN</t>
        </is>
      </c>
      <c r="E2403" t="inlineStr">
        <is>
          <t>SÖDERKÖPING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6105-2024</t>
        </is>
      </c>
      <c r="B2404" s="1" t="n">
        <v>45337</v>
      </c>
      <c r="C2404" s="1" t="n">
        <v>46093</v>
      </c>
      <c r="D2404" t="inlineStr">
        <is>
          <t>ÖSTERGÖTLANDS LÄN</t>
        </is>
      </c>
      <c r="E2404" t="inlineStr">
        <is>
          <t>FINSPÅNG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6164-2024</t>
        </is>
      </c>
      <c r="B2405" s="1" t="n">
        <v>45337.50011574074</v>
      </c>
      <c r="C2405" s="1" t="n">
        <v>46093</v>
      </c>
      <c r="D2405" t="inlineStr">
        <is>
          <t>ÖSTERGÖTLANDS LÄN</t>
        </is>
      </c>
      <c r="E2405" t="inlineStr">
        <is>
          <t>ÖDESHÖG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50434-2024</t>
        </is>
      </c>
      <c r="B2406" s="1" t="n">
        <v>45601.40877314815</v>
      </c>
      <c r="C2406" s="1" t="n">
        <v>46093</v>
      </c>
      <c r="D2406" t="inlineStr">
        <is>
          <t>ÖSTERGÖTLANDS LÄN</t>
        </is>
      </c>
      <c r="E2406" t="inlineStr">
        <is>
          <t>ÅTVIDABERG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35796-2025</t>
        </is>
      </c>
      <c r="B2407" s="1" t="n">
        <v>45861</v>
      </c>
      <c r="C2407" s="1" t="n">
        <v>46093</v>
      </c>
      <c r="D2407" t="inlineStr">
        <is>
          <t>ÖSTERGÖTLANDS LÄN</t>
        </is>
      </c>
      <c r="E2407" t="inlineStr">
        <is>
          <t>MOTALA</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19702-2024</t>
        </is>
      </c>
      <c r="B2408" s="1" t="n">
        <v>45432.54622685185</v>
      </c>
      <c r="C2408" s="1" t="n">
        <v>46093</v>
      </c>
      <c r="D2408" t="inlineStr">
        <is>
          <t>ÖSTERGÖTLANDS LÄN</t>
        </is>
      </c>
      <c r="E2408" t="inlineStr">
        <is>
          <t>NORRKÖPING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42753-2023</t>
        </is>
      </c>
      <c r="B2409" s="1" t="n">
        <v>45181</v>
      </c>
      <c r="C2409" s="1" t="n">
        <v>46093</v>
      </c>
      <c r="D2409" t="inlineStr">
        <is>
          <t>ÖSTERGÖTLANDS LÄN</t>
        </is>
      </c>
      <c r="E2409" t="inlineStr">
        <is>
          <t>SÖDERKÖPING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6705-2024</t>
        </is>
      </c>
      <c r="B2410" s="1" t="n">
        <v>45342.31283564815</v>
      </c>
      <c r="C2410" s="1" t="n">
        <v>46093</v>
      </c>
      <c r="D2410" t="inlineStr">
        <is>
          <t>ÖSTERGÖTLANDS LÄN</t>
        </is>
      </c>
      <c r="E2410" t="inlineStr">
        <is>
          <t>ÖDESHÖG</t>
        </is>
      </c>
      <c r="F2410" t="inlineStr">
        <is>
          <t>Allmännings- och besparingsskogar</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35661-2024</t>
        </is>
      </c>
      <c r="B2411" s="1" t="n">
        <v>45532.37288194444</v>
      </c>
      <c r="C2411" s="1" t="n">
        <v>46093</v>
      </c>
      <c r="D2411" t="inlineStr">
        <is>
          <t>ÖSTERGÖTLANDS LÄN</t>
        </is>
      </c>
      <c r="E2411" t="inlineStr">
        <is>
          <t>ÖDESHÖG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50508-2024</t>
        </is>
      </c>
      <c r="B2412" s="1" t="n">
        <v>45601.53907407408</v>
      </c>
      <c r="C2412" s="1" t="n">
        <v>46093</v>
      </c>
      <c r="D2412" t="inlineStr">
        <is>
          <t>ÖSTERGÖTLANDS LÄN</t>
        </is>
      </c>
      <c r="E2412" t="inlineStr">
        <is>
          <t>LINKÖPING</t>
        </is>
      </c>
      <c r="F2412" t="inlineStr">
        <is>
          <t>Övriga Aktiebolag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49337-2024</t>
        </is>
      </c>
      <c r="B2413" s="1" t="n">
        <v>45595.59052083334</v>
      </c>
      <c r="C2413" s="1" t="n">
        <v>46093</v>
      </c>
      <c r="D2413" t="inlineStr">
        <is>
          <t>ÖSTERGÖTLANDS LÄN</t>
        </is>
      </c>
      <c r="E2413" t="inlineStr">
        <is>
          <t>KINDA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41190-2025</t>
        </is>
      </c>
      <c r="B2414" s="1" t="n">
        <v>45898.56826388889</v>
      </c>
      <c r="C2414" s="1" t="n">
        <v>46093</v>
      </c>
      <c r="D2414" t="inlineStr">
        <is>
          <t>ÖSTERGÖTLANDS LÄN</t>
        </is>
      </c>
      <c r="E2414" t="inlineStr">
        <is>
          <t>FINSPÅNG</t>
        </is>
      </c>
      <c r="F2414" t="inlineStr">
        <is>
          <t>Holmen skog AB</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56841-2022</t>
        </is>
      </c>
      <c r="B2415" s="1" t="n">
        <v>44894.47734953704</v>
      </c>
      <c r="C2415" s="1" t="n">
        <v>46093</v>
      </c>
      <c r="D2415" t="inlineStr">
        <is>
          <t>ÖSTERGÖTLANDS LÄN</t>
        </is>
      </c>
      <c r="E2415" t="inlineStr">
        <is>
          <t>ÖDESHÖG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40978-2025</t>
        </is>
      </c>
      <c r="B2416" s="1" t="n">
        <v>45898.28616898148</v>
      </c>
      <c r="C2416" s="1" t="n">
        <v>46093</v>
      </c>
      <c r="D2416" t="inlineStr">
        <is>
          <t>ÖSTERGÖTLANDS LÄN</t>
        </is>
      </c>
      <c r="E2416" t="inlineStr">
        <is>
          <t>ÅTVIDABERG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40980-2025</t>
        </is>
      </c>
      <c r="B2417" s="1" t="n">
        <v>45898.29173611111</v>
      </c>
      <c r="C2417" s="1" t="n">
        <v>46093</v>
      </c>
      <c r="D2417" t="inlineStr">
        <is>
          <t>ÖSTERGÖTLANDS LÄN</t>
        </is>
      </c>
      <c r="E2417" t="inlineStr">
        <is>
          <t>ÅTVIDABERG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62286-2022</t>
        </is>
      </c>
      <c r="B2418" s="1" t="n">
        <v>44923.40631944445</v>
      </c>
      <c r="C2418" s="1" t="n">
        <v>46093</v>
      </c>
      <c r="D2418" t="inlineStr">
        <is>
          <t>ÖSTERGÖTLANDS LÄN</t>
        </is>
      </c>
      <c r="E2418" t="inlineStr">
        <is>
          <t>KINDA</t>
        </is>
      </c>
      <c r="F2418" t="inlineStr">
        <is>
          <t>Allmännings- och besparingsskogar</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4027-2022</t>
        </is>
      </c>
      <c r="B2419" s="1" t="n">
        <v>44587</v>
      </c>
      <c r="C2419" s="1" t="n">
        <v>46093</v>
      </c>
      <c r="D2419" t="inlineStr">
        <is>
          <t>ÖSTERGÖTLANDS LÄN</t>
        </is>
      </c>
      <c r="E2419" t="inlineStr">
        <is>
          <t>VALDEMARSVIK</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27841-2024</t>
        </is>
      </c>
      <c r="B2420" s="1" t="n">
        <v>45475.62894675926</v>
      </c>
      <c r="C2420" s="1" t="n">
        <v>46093</v>
      </c>
      <c r="D2420" t="inlineStr">
        <is>
          <t>ÖSTERGÖTLANDS LÄN</t>
        </is>
      </c>
      <c r="E2420" t="inlineStr">
        <is>
          <t>KINDA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56331-2022</t>
        </is>
      </c>
      <c r="B2421" s="1" t="n">
        <v>44890</v>
      </c>
      <c r="C2421" s="1" t="n">
        <v>46093</v>
      </c>
      <c r="D2421" t="inlineStr">
        <is>
          <t>ÖSTERGÖTLANDS LÄN</t>
        </is>
      </c>
      <c r="E2421" t="inlineStr">
        <is>
          <t>NORRKÖPING</t>
        </is>
      </c>
      <c r="F2421" t="inlineStr">
        <is>
          <t>Holmen skog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41011-2025</t>
        </is>
      </c>
      <c r="B2422" s="1" t="n">
        <v>45897</v>
      </c>
      <c r="C2422" s="1" t="n">
        <v>46093</v>
      </c>
      <c r="D2422" t="inlineStr">
        <is>
          <t>ÖSTERGÖTLANDS LÄN</t>
        </is>
      </c>
      <c r="E2422" t="inlineStr">
        <is>
          <t>FINSPÅNG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1265-2023</t>
        </is>
      </c>
      <c r="B2423" s="1" t="n">
        <v>44936</v>
      </c>
      <c r="C2423" s="1" t="n">
        <v>46093</v>
      </c>
      <c r="D2423" t="inlineStr">
        <is>
          <t>ÖSTERGÖTLANDS LÄN</t>
        </is>
      </c>
      <c r="E2423" t="inlineStr">
        <is>
          <t>LINKÖPING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1323-2023</t>
        </is>
      </c>
      <c r="B2424" s="1" t="n">
        <v>44936.55375</v>
      </c>
      <c r="C2424" s="1" t="n">
        <v>46093</v>
      </c>
      <c r="D2424" t="inlineStr">
        <is>
          <t>ÖSTERGÖTLANDS LÄN</t>
        </is>
      </c>
      <c r="E2424" t="inlineStr">
        <is>
          <t>ÖDESHÖG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51180-2024</t>
        </is>
      </c>
      <c r="B2425" s="1" t="n">
        <v>45603.60148148148</v>
      </c>
      <c r="C2425" s="1" t="n">
        <v>46093</v>
      </c>
      <c r="D2425" t="inlineStr">
        <is>
          <t>ÖSTERGÖTLANDS LÄN</t>
        </is>
      </c>
      <c r="E2425" t="inlineStr">
        <is>
          <t>ÖDESHÖG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1362-2023</t>
        </is>
      </c>
      <c r="B2426" s="1" t="n">
        <v>44931</v>
      </c>
      <c r="C2426" s="1" t="n">
        <v>46093</v>
      </c>
      <c r="D2426" t="inlineStr">
        <is>
          <t>ÖSTERGÖTLANDS LÄN</t>
        </is>
      </c>
      <c r="E2426" t="inlineStr">
        <is>
          <t>LINKÖPING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48466-2023</t>
        </is>
      </c>
      <c r="B2427" s="1" t="n">
        <v>45206</v>
      </c>
      <c r="C2427" s="1" t="n">
        <v>46093</v>
      </c>
      <c r="D2427" t="inlineStr">
        <is>
          <t>ÖSTERGÖTLANDS LÄN</t>
        </is>
      </c>
      <c r="E2427" t="inlineStr">
        <is>
          <t>FINSPÅNG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41741-2025</t>
        </is>
      </c>
      <c r="B2428" s="1" t="n">
        <v>45902.47564814815</v>
      </c>
      <c r="C2428" s="1" t="n">
        <v>46093</v>
      </c>
      <c r="D2428" t="inlineStr">
        <is>
          <t>ÖSTERGÖTLANDS LÄN</t>
        </is>
      </c>
      <c r="E2428" t="inlineStr">
        <is>
          <t>BOXHOLM</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40219-2021</t>
        </is>
      </c>
      <c r="B2429" s="1" t="n">
        <v>44419</v>
      </c>
      <c r="C2429" s="1" t="n">
        <v>46093</v>
      </c>
      <c r="D2429" t="inlineStr">
        <is>
          <t>ÖSTERGÖTLANDS LÄN</t>
        </is>
      </c>
      <c r="E2429" t="inlineStr">
        <is>
          <t>ÅTVIDABERG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41398-2025</t>
        </is>
      </c>
      <c r="B2430" s="1" t="n">
        <v>45901.32498842593</v>
      </c>
      <c r="C2430" s="1" t="n">
        <v>46093</v>
      </c>
      <c r="D2430" t="inlineStr">
        <is>
          <t>ÖSTERGÖTLANDS LÄN</t>
        </is>
      </c>
      <c r="E2430" t="inlineStr">
        <is>
          <t>YDRE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32335-2024</t>
        </is>
      </c>
      <c r="B2431" s="1" t="n">
        <v>45512.48333333333</v>
      </c>
      <c r="C2431" s="1" t="n">
        <v>46093</v>
      </c>
      <c r="D2431" t="inlineStr">
        <is>
          <t>ÖSTERGÖTLANDS LÄN</t>
        </is>
      </c>
      <c r="E2431" t="inlineStr">
        <is>
          <t>ÖDESHÖG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19160-2024</t>
        </is>
      </c>
      <c r="B2432" s="1" t="n">
        <v>45428.45214120371</v>
      </c>
      <c r="C2432" s="1" t="n">
        <v>46093</v>
      </c>
      <c r="D2432" t="inlineStr">
        <is>
          <t>ÖSTERGÖTLANDS LÄN</t>
        </is>
      </c>
      <c r="E2432" t="inlineStr">
        <is>
          <t>FINSPÅNG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19170-2024</t>
        </is>
      </c>
      <c r="B2433" s="1" t="n">
        <v>45428.4608912037</v>
      </c>
      <c r="C2433" s="1" t="n">
        <v>46093</v>
      </c>
      <c r="D2433" t="inlineStr">
        <is>
          <t>ÖSTERGÖTLANDS LÄN</t>
        </is>
      </c>
      <c r="E2433" t="inlineStr">
        <is>
          <t>FINSPÅNG</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41706-2025</t>
        </is>
      </c>
      <c r="B2434" s="1" t="n">
        <v>45902.42209490741</v>
      </c>
      <c r="C2434" s="1" t="n">
        <v>46093</v>
      </c>
      <c r="D2434" t="inlineStr">
        <is>
          <t>ÖSTERGÖTLANDS LÄN</t>
        </is>
      </c>
      <c r="E2434" t="inlineStr">
        <is>
          <t>LINKÖPING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52232-2023</t>
        </is>
      </c>
      <c r="B2435" s="1" t="n">
        <v>45224.48658564815</v>
      </c>
      <c r="C2435" s="1" t="n">
        <v>46093</v>
      </c>
      <c r="D2435" t="inlineStr">
        <is>
          <t>ÖSTERGÖTLANDS LÄN</t>
        </is>
      </c>
      <c r="E2435" t="inlineStr">
        <is>
          <t>ÅTVIDABERG</t>
        </is>
      </c>
      <c r="F2435" t="inlineStr">
        <is>
          <t>Sveaskog</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64408-2023</t>
        </is>
      </c>
      <c r="B2436" s="1" t="n">
        <v>45280</v>
      </c>
      <c r="C2436" s="1" t="n">
        <v>46093</v>
      </c>
      <c r="D2436" t="inlineStr">
        <is>
          <t>ÖSTERGÖTLANDS LÄN</t>
        </is>
      </c>
      <c r="E2436" t="inlineStr">
        <is>
          <t>FINSPÅNG</t>
        </is>
      </c>
      <c r="F2436" t="inlineStr">
        <is>
          <t>Övriga Aktiebolag</t>
        </is>
      </c>
      <c r="G2436" t="n">
        <v>13.6</v>
      </c>
      <c r="H2436" t="n">
        <v>0</v>
      </c>
      <c r="I2436" t="n">
        <v>0</v>
      </c>
      <c r="J2436" t="n">
        <v>0</v>
      </c>
      <c r="K2436" t="n">
        <v>0</v>
      </c>
      <c r="L2436" t="n">
        <v>0</v>
      </c>
      <c r="M2436" t="n">
        <v>0</v>
      </c>
      <c r="N2436" t="n">
        <v>0</v>
      </c>
      <c r="O2436" t="n">
        <v>0</v>
      </c>
      <c r="P2436" t="n">
        <v>0</v>
      </c>
      <c r="Q2436" t="n">
        <v>0</v>
      </c>
      <c r="R2436" s="2" t="inlineStr"/>
    </row>
    <row r="2437" ht="15" customHeight="1">
      <c r="A2437" t="inlineStr">
        <is>
          <t>A 54034-2022</t>
        </is>
      </c>
      <c r="B2437" s="1" t="n">
        <v>44881</v>
      </c>
      <c r="C2437" s="1" t="n">
        <v>46093</v>
      </c>
      <c r="D2437" t="inlineStr">
        <is>
          <t>ÖSTERGÖTLANDS LÄN</t>
        </is>
      </c>
      <c r="E2437" t="inlineStr">
        <is>
          <t>LINKÖPING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24806-2023</t>
        </is>
      </c>
      <c r="B2438" s="1" t="n">
        <v>45084</v>
      </c>
      <c r="C2438" s="1" t="n">
        <v>46093</v>
      </c>
      <c r="D2438" t="inlineStr">
        <is>
          <t>ÖSTERGÖTLANDS LÄN</t>
        </is>
      </c>
      <c r="E2438" t="inlineStr">
        <is>
          <t>FINSPÅNG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29703-2024</t>
        </is>
      </c>
      <c r="B2439" s="1" t="n">
        <v>45485.32336805556</v>
      </c>
      <c r="C2439" s="1" t="n">
        <v>46093</v>
      </c>
      <c r="D2439" t="inlineStr">
        <is>
          <t>ÖSTERGÖTLANDS LÄN</t>
        </is>
      </c>
      <c r="E2439" t="inlineStr">
        <is>
          <t>MOTALA</t>
        </is>
      </c>
      <c r="F2439" t="inlineStr">
        <is>
          <t>Holmen skog AB</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27464-2023</t>
        </is>
      </c>
      <c r="B2440" s="1" t="n">
        <v>45097</v>
      </c>
      <c r="C2440" s="1" t="n">
        <v>46093</v>
      </c>
      <c r="D2440" t="inlineStr">
        <is>
          <t>ÖSTERGÖTLANDS LÄN</t>
        </is>
      </c>
      <c r="E2440" t="inlineStr">
        <is>
          <t>SÖDERKÖPING</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11270-2022</t>
        </is>
      </c>
      <c r="B2441" s="1" t="n">
        <v>44629.74461805556</v>
      </c>
      <c r="C2441" s="1" t="n">
        <v>46093</v>
      </c>
      <c r="D2441" t="inlineStr">
        <is>
          <t>ÖSTERGÖTLANDS LÄN</t>
        </is>
      </c>
      <c r="E2441" t="inlineStr">
        <is>
          <t>MJÖLBY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18705-2023</t>
        </is>
      </c>
      <c r="B2442" s="1" t="n">
        <v>45043</v>
      </c>
      <c r="C2442" s="1" t="n">
        <v>46093</v>
      </c>
      <c r="D2442" t="inlineStr">
        <is>
          <t>ÖSTERGÖTLANDS LÄN</t>
        </is>
      </c>
      <c r="E2442" t="inlineStr">
        <is>
          <t>NORRKÖPING</t>
        </is>
      </c>
      <c r="F2442" t="inlineStr">
        <is>
          <t>Holmen skog AB</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36331-2022</t>
        </is>
      </c>
      <c r="B2443" s="1" t="n">
        <v>44803.73353009259</v>
      </c>
      <c r="C2443" s="1" t="n">
        <v>46093</v>
      </c>
      <c r="D2443" t="inlineStr">
        <is>
          <t>ÖSTERGÖTLANDS LÄN</t>
        </is>
      </c>
      <c r="E2443" t="inlineStr">
        <is>
          <t>BOXHOLM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36336-2022</t>
        </is>
      </c>
      <c r="B2444" s="1" t="n">
        <v>44803</v>
      </c>
      <c r="C2444" s="1" t="n">
        <v>46093</v>
      </c>
      <c r="D2444" t="inlineStr">
        <is>
          <t>ÖSTERGÖTLANDS LÄN</t>
        </is>
      </c>
      <c r="E2444" t="inlineStr">
        <is>
          <t>LINKÖPING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45395-2022</t>
        </is>
      </c>
      <c r="B2445" s="1" t="n">
        <v>44844.69121527778</v>
      </c>
      <c r="C2445" s="1" t="n">
        <v>46093</v>
      </c>
      <c r="D2445" t="inlineStr">
        <is>
          <t>ÖSTERGÖTLANDS LÄN</t>
        </is>
      </c>
      <c r="E2445" t="inlineStr">
        <is>
          <t>YDRE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24012-2024</t>
        </is>
      </c>
      <c r="B2446" s="1" t="n">
        <v>45456</v>
      </c>
      <c r="C2446" s="1" t="n">
        <v>46093</v>
      </c>
      <c r="D2446" t="inlineStr">
        <is>
          <t>ÖSTERGÖTLANDS LÄN</t>
        </is>
      </c>
      <c r="E2446" t="inlineStr">
        <is>
          <t>FINSPÅNG</t>
        </is>
      </c>
      <c r="F2446" t="inlineStr">
        <is>
          <t>Holmen skog AB</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45407-2022</t>
        </is>
      </c>
      <c r="B2447" s="1" t="n">
        <v>44844</v>
      </c>
      <c r="C2447" s="1" t="n">
        <v>46093</v>
      </c>
      <c r="D2447" t="inlineStr">
        <is>
          <t>ÖSTERGÖTLANDS LÄN</t>
        </is>
      </c>
      <c r="E2447" t="inlineStr">
        <is>
          <t>FINSPÅNG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45411-2022</t>
        </is>
      </c>
      <c r="B2448" s="1" t="n">
        <v>44844</v>
      </c>
      <c r="C2448" s="1" t="n">
        <v>46093</v>
      </c>
      <c r="D2448" t="inlineStr">
        <is>
          <t>ÖSTERGÖTLANDS LÄN</t>
        </is>
      </c>
      <c r="E2448" t="inlineStr">
        <is>
          <t>FINSPÅNG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50542-2022</t>
        </is>
      </c>
      <c r="B2449" s="1" t="n">
        <v>44866</v>
      </c>
      <c r="C2449" s="1" t="n">
        <v>46093</v>
      </c>
      <c r="D2449" t="inlineStr">
        <is>
          <t>ÖSTERGÖTLANDS LÄN</t>
        </is>
      </c>
      <c r="E2449" t="inlineStr">
        <is>
          <t>FINSPÅNG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55493-2021</t>
        </is>
      </c>
      <c r="B2450" s="1" t="n">
        <v>44475.61988425926</v>
      </c>
      <c r="C2450" s="1" t="n">
        <v>46093</v>
      </c>
      <c r="D2450" t="inlineStr">
        <is>
          <t>ÖSTERGÖTLANDS LÄN</t>
        </is>
      </c>
      <c r="E2450" t="inlineStr">
        <is>
          <t>LINKÖPING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61011-2024</t>
        </is>
      </c>
      <c r="B2451" s="1" t="n">
        <v>45645.4471875</v>
      </c>
      <c r="C2451" s="1" t="n">
        <v>46093</v>
      </c>
      <c r="D2451" t="inlineStr">
        <is>
          <t>ÖSTERGÖTLANDS LÄN</t>
        </is>
      </c>
      <c r="E2451" t="inlineStr">
        <is>
          <t>ÖDESHÖG</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44571-2022</t>
        </is>
      </c>
      <c r="B2452" s="1" t="n">
        <v>44840</v>
      </c>
      <c r="C2452" s="1" t="n">
        <v>46093</v>
      </c>
      <c r="D2452" t="inlineStr">
        <is>
          <t>ÖSTERGÖTLANDS LÄN</t>
        </is>
      </c>
      <c r="E2452" t="inlineStr">
        <is>
          <t>FINSPÅNG</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41843-2025</t>
        </is>
      </c>
      <c r="B2453" s="1" t="n">
        <v>45902.72295138889</v>
      </c>
      <c r="C2453" s="1" t="n">
        <v>46093</v>
      </c>
      <c r="D2453" t="inlineStr">
        <is>
          <t>ÖSTERGÖTLANDS LÄN</t>
        </is>
      </c>
      <c r="E2453" t="inlineStr">
        <is>
          <t>VALDEMARSVIK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41314-2023</t>
        </is>
      </c>
      <c r="B2454" s="1" t="n">
        <v>45173</v>
      </c>
      <c r="C2454" s="1" t="n">
        <v>46093</v>
      </c>
      <c r="D2454" t="inlineStr">
        <is>
          <t>ÖSTERGÖTLANDS LÄN</t>
        </is>
      </c>
      <c r="E2454" t="inlineStr">
        <is>
          <t>VALDEMARSVIK</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18324-2024</t>
        </is>
      </c>
      <c r="B2455" s="1" t="n">
        <v>45422</v>
      </c>
      <c r="C2455" s="1" t="n">
        <v>46093</v>
      </c>
      <c r="D2455" t="inlineStr">
        <is>
          <t>ÖSTERGÖTLANDS LÄN</t>
        </is>
      </c>
      <c r="E2455" t="inlineStr">
        <is>
          <t>YDRE</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41328-2023</t>
        </is>
      </c>
      <c r="B2456" s="1" t="n">
        <v>45174</v>
      </c>
      <c r="C2456" s="1" t="n">
        <v>46093</v>
      </c>
      <c r="D2456" t="inlineStr">
        <is>
          <t>ÖSTERGÖTLANDS LÄN</t>
        </is>
      </c>
      <c r="E2456" t="inlineStr">
        <is>
          <t>FINSPÅNG</t>
        </is>
      </c>
      <c r="F2456" t="inlineStr">
        <is>
          <t>Kyrkan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41337-2023</t>
        </is>
      </c>
      <c r="B2457" s="1" t="n">
        <v>45174.69423611111</v>
      </c>
      <c r="C2457" s="1" t="n">
        <v>46093</v>
      </c>
      <c r="D2457" t="inlineStr">
        <is>
          <t>ÖSTERGÖTLANDS LÄN</t>
        </is>
      </c>
      <c r="E2457" t="inlineStr">
        <is>
          <t>MJÖLBY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41469-2025</t>
        </is>
      </c>
      <c r="B2458" s="1" t="n">
        <v>45901</v>
      </c>
      <c r="C2458" s="1" t="n">
        <v>46093</v>
      </c>
      <c r="D2458" t="inlineStr">
        <is>
          <t>ÖSTERGÖTLANDS LÄN</t>
        </is>
      </c>
      <c r="E2458" t="inlineStr">
        <is>
          <t>VALDEMARSVIK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1399-2025</t>
        </is>
      </c>
      <c r="B2459" s="1" t="n">
        <v>45667</v>
      </c>
      <c r="C2459" s="1" t="n">
        <v>46093</v>
      </c>
      <c r="D2459" t="inlineStr">
        <is>
          <t>ÖSTERGÖTLANDS LÄN</t>
        </is>
      </c>
      <c r="E2459" t="inlineStr">
        <is>
          <t>SÖDERKÖPING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35794-2025</t>
        </is>
      </c>
      <c r="B2460" s="1" t="n">
        <v>45861</v>
      </c>
      <c r="C2460" s="1" t="n">
        <v>46093</v>
      </c>
      <c r="D2460" t="inlineStr">
        <is>
          <t>ÖSTERGÖTLANDS LÄN</t>
        </is>
      </c>
      <c r="E2460" t="inlineStr">
        <is>
          <t>MOTALA</t>
        </is>
      </c>
      <c r="F2460" t="inlineStr">
        <is>
          <t>Sveaskog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1974-2022</t>
        </is>
      </c>
      <c r="B2461" s="1" t="n">
        <v>44575</v>
      </c>
      <c r="C2461" s="1" t="n">
        <v>46093</v>
      </c>
      <c r="D2461" t="inlineStr">
        <is>
          <t>ÖSTERGÖTLANDS LÄN</t>
        </is>
      </c>
      <c r="E2461" t="inlineStr">
        <is>
          <t>VALDEMARSVIK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18921-2024</t>
        </is>
      </c>
      <c r="B2462" s="1" t="n">
        <v>45427.4122337963</v>
      </c>
      <c r="C2462" s="1" t="n">
        <v>46093</v>
      </c>
      <c r="D2462" t="inlineStr">
        <is>
          <t>ÖSTERGÖTLANDS LÄN</t>
        </is>
      </c>
      <c r="E2462" t="inlineStr">
        <is>
          <t>MOTALA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48839-2022</t>
        </is>
      </c>
      <c r="B2463" s="1" t="n">
        <v>44859</v>
      </c>
      <c r="C2463" s="1" t="n">
        <v>46093</v>
      </c>
      <c r="D2463" t="inlineStr">
        <is>
          <t>ÖSTERGÖTLANDS LÄN</t>
        </is>
      </c>
      <c r="E2463" t="inlineStr">
        <is>
          <t>LINKÖPING</t>
        </is>
      </c>
      <c r="F2463" t="inlineStr">
        <is>
          <t>Övriga Aktiebolag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41321-2025</t>
        </is>
      </c>
      <c r="B2464" s="1" t="n">
        <v>45898.86685185185</v>
      </c>
      <c r="C2464" s="1" t="n">
        <v>46093</v>
      </c>
      <c r="D2464" t="inlineStr">
        <is>
          <t>ÖSTERGÖTLANDS LÄN</t>
        </is>
      </c>
      <c r="E2464" t="inlineStr">
        <is>
          <t>NORRKÖPING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2800-2025</t>
        </is>
      </c>
      <c r="B2465" s="1" t="n">
        <v>45677.58048611111</v>
      </c>
      <c r="C2465" s="1" t="n">
        <v>46093</v>
      </c>
      <c r="D2465" t="inlineStr">
        <is>
          <t>ÖSTERGÖTLANDS LÄN</t>
        </is>
      </c>
      <c r="E2465" t="inlineStr">
        <is>
          <t>MJÖLBY</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34312-2025</t>
        </is>
      </c>
      <c r="B2466" s="1" t="n">
        <v>45846.3959375</v>
      </c>
      <c r="C2466" s="1" t="n">
        <v>46093</v>
      </c>
      <c r="D2466" t="inlineStr">
        <is>
          <t>ÖSTERGÖTLANDS LÄN</t>
        </is>
      </c>
      <c r="E2466" t="inlineStr">
        <is>
          <t>VALDEMARSVIK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25301-2025</t>
        </is>
      </c>
      <c r="B2467" s="1" t="n">
        <v>45800</v>
      </c>
      <c r="C2467" s="1" t="n">
        <v>46093</v>
      </c>
      <c r="D2467" t="inlineStr">
        <is>
          <t>ÖSTERGÖTLANDS LÄN</t>
        </is>
      </c>
      <c r="E2467" t="inlineStr">
        <is>
          <t>FINSPÅNG</t>
        </is>
      </c>
      <c r="F2467" t="inlineStr">
        <is>
          <t>Holmen skog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41727-2025</t>
        </is>
      </c>
      <c r="B2468" s="1" t="n">
        <v>45902.4568287037</v>
      </c>
      <c r="C2468" s="1" t="n">
        <v>46093</v>
      </c>
      <c r="D2468" t="inlineStr">
        <is>
          <t>ÖSTERGÖTLANDS LÄN</t>
        </is>
      </c>
      <c r="E2468" t="inlineStr">
        <is>
          <t>BOXHOLM</t>
        </is>
      </c>
      <c r="F2468" t="inlineStr">
        <is>
          <t>Övriga Aktiebolag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19397-2025</t>
        </is>
      </c>
      <c r="B2469" s="1" t="n">
        <v>45769.67452546296</v>
      </c>
      <c r="C2469" s="1" t="n">
        <v>46093</v>
      </c>
      <c r="D2469" t="inlineStr">
        <is>
          <t>ÖSTERGÖTLANDS LÄN</t>
        </is>
      </c>
      <c r="E2469" t="inlineStr">
        <is>
          <t>YDRE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8526-2025</t>
        </is>
      </c>
      <c r="B2470" s="1" t="n">
        <v>45709.57898148148</v>
      </c>
      <c r="C2470" s="1" t="n">
        <v>46093</v>
      </c>
      <c r="D2470" t="inlineStr">
        <is>
          <t>ÖSTERGÖTLANDS LÄN</t>
        </is>
      </c>
      <c r="E2470" t="inlineStr">
        <is>
          <t>FINSPÅNG</t>
        </is>
      </c>
      <c r="F2470" t="inlineStr">
        <is>
          <t>Holmen skog AB</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61114-2024</t>
        </is>
      </c>
      <c r="B2471" s="1" t="n">
        <v>45645.56427083333</v>
      </c>
      <c r="C2471" s="1" t="n">
        <v>46093</v>
      </c>
      <c r="D2471" t="inlineStr">
        <is>
          <t>ÖSTERGÖTLANDS LÄN</t>
        </is>
      </c>
      <c r="E2471" t="inlineStr">
        <is>
          <t>FINSPÅNG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11295-2025</t>
        </is>
      </c>
      <c r="B2472" s="1" t="n">
        <v>45726.43296296296</v>
      </c>
      <c r="C2472" s="1" t="n">
        <v>46093</v>
      </c>
      <c r="D2472" t="inlineStr">
        <is>
          <t>ÖSTERGÖTLANDS LÄN</t>
        </is>
      </c>
      <c r="E2472" t="inlineStr">
        <is>
          <t>MOTALA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24629-2025</t>
        </is>
      </c>
      <c r="B2473" s="1" t="n">
        <v>45798.59671296296</v>
      </c>
      <c r="C2473" s="1" t="n">
        <v>46093</v>
      </c>
      <c r="D2473" t="inlineStr">
        <is>
          <t>ÖSTERGÖTLANDS LÄN</t>
        </is>
      </c>
      <c r="E2473" t="inlineStr">
        <is>
          <t>NORRKÖPING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6054-2022</t>
        </is>
      </c>
      <c r="B2474" s="1" t="n">
        <v>44599.53623842593</v>
      </c>
      <c r="C2474" s="1" t="n">
        <v>46093</v>
      </c>
      <c r="D2474" t="inlineStr">
        <is>
          <t>ÖSTERGÖTLANDS LÄN</t>
        </is>
      </c>
      <c r="E2474" t="inlineStr">
        <is>
          <t>LINKÖPING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8108-2024</t>
        </is>
      </c>
      <c r="B2475" s="1" t="n">
        <v>45351.48571759259</v>
      </c>
      <c r="C2475" s="1" t="n">
        <v>46093</v>
      </c>
      <c r="D2475" t="inlineStr">
        <is>
          <t>ÖSTERGÖTLANDS LÄN</t>
        </is>
      </c>
      <c r="E2475" t="inlineStr">
        <is>
          <t>MOTALA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3894-2022</t>
        </is>
      </c>
      <c r="B2476" s="1" t="n">
        <v>44587</v>
      </c>
      <c r="C2476" s="1" t="n">
        <v>46093</v>
      </c>
      <c r="D2476" t="inlineStr">
        <is>
          <t>ÖSTERGÖTLANDS LÄN</t>
        </is>
      </c>
      <c r="E2476" t="inlineStr">
        <is>
          <t>VALDEMARSVIK</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23887-2023</t>
        </is>
      </c>
      <c r="B2477" s="1" t="n">
        <v>45078.52990740741</v>
      </c>
      <c r="C2477" s="1" t="n">
        <v>46093</v>
      </c>
      <c r="D2477" t="inlineStr">
        <is>
          <t>ÖSTERGÖTLANDS LÄN</t>
        </is>
      </c>
      <c r="E2477" t="inlineStr">
        <is>
          <t>KINDA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23897-2023</t>
        </is>
      </c>
      <c r="B2478" s="1" t="n">
        <v>45078</v>
      </c>
      <c r="C2478" s="1" t="n">
        <v>46093</v>
      </c>
      <c r="D2478" t="inlineStr">
        <is>
          <t>ÖSTERGÖTLANDS LÄN</t>
        </is>
      </c>
      <c r="E2478" t="inlineStr">
        <is>
          <t>KINDA</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31043-2025</t>
        </is>
      </c>
      <c r="B2479" s="1" t="n">
        <v>45831</v>
      </c>
      <c r="C2479" s="1" t="n">
        <v>46093</v>
      </c>
      <c r="D2479" t="inlineStr">
        <is>
          <t>ÖSTERGÖTLANDS LÄN</t>
        </is>
      </c>
      <c r="E2479" t="inlineStr">
        <is>
          <t>FINSPÅNG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41730-2025</t>
        </is>
      </c>
      <c r="B2480" s="1" t="n">
        <v>45902.46303240741</v>
      </c>
      <c r="C2480" s="1" t="n">
        <v>46093</v>
      </c>
      <c r="D2480" t="inlineStr">
        <is>
          <t>ÖSTERGÖTLANDS LÄN</t>
        </is>
      </c>
      <c r="E2480" t="inlineStr">
        <is>
          <t>ÖDESHÖG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41396-2025</t>
        </is>
      </c>
      <c r="B2481" s="1" t="n">
        <v>45901.32078703704</v>
      </c>
      <c r="C2481" s="1" t="n">
        <v>46093</v>
      </c>
      <c r="D2481" t="inlineStr">
        <is>
          <t>ÖSTERGÖTLANDS LÄN</t>
        </is>
      </c>
      <c r="E2481" t="inlineStr">
        <is>
          <t>KINDA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39190-2023</t>
        </is>
      </c>
      <c r="B2482" s="1" t="n">
        <v>45166</v>
      </c>
      <c r="C2482" s="1" t="n">
        <v>46093</v>
      </c>
      <c r="D2482" t="inlineStr">
        <is>
          <t>ÖSTERGÖTLANDS LÄN</t>
        </is>
      </c>
      <c r="E2482" t="inlineStr">
        <is>
          <t>ÖDESHÖG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25119-2023</t>
        </is>
      </c>
      <c r="B2483" s="1" t="n">
        <v>45086.42326388889</v>
      </c>
      <c r="C2483" s="1" t="n">
        <v>46093</v>
      </c>
      <c r="D2483" t="inlineStr">
        <is>
          <t>ÖSTERGÖTLANDS LÄN</t>
        </is>
      </c>
      <c r="E2483" t="inlineStr">
        <is>
          <t>LINKÖPING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5333-2025</t>
        </is>
      </c>
      <c r="B2484" s="1" t="n">
        <v>45692.54231481482</v>
      </c>
      <c r="C2484" s="1" t="n">
        <v>46093</v>
      </c>
      <c r="D2484" t="inlineStr">
        <is>
          <t>ÖSTERGÖTLANDS LÄN</t>
        </is>
      </c>
      <c r="E2484" t="inlineStr">
        <is>
          <t>FINSPÅNG</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5350-2025</t>
        </is>
      </c>
      <c r="B2485" s="1" t="n">
        <v>45692.5587962963</v>
      </c>
      <c r="C2485" s="1" t="n">
        <v>46093</v>
      </c>
      <c r="D2485" t="inlineStr">
        <is>
          <t>ÖSTERGÖTLANDS LÄN</t>
        </is>
      </c>
      <c r="E2485" t="inlineStr">
        <is>
          <t>ÖDESHÖG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4772-2022</t>
        </is>
      </c>
      <c r="B2486" s="1" t="n">
        <v>44592</v>
      </c>
      <c r="C2486" s="1" t="n">
        <v>46093</v>
      </c>
      <c r="D2486" t="inlineStr">
        <is>
          <t>ÖSTERGÖTLANDS LÄN</t>
        </is>
      </c>
      <c r="E2486" t="inlineStr">
        <is>
          <t>ÖDESHÖG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41844-2025</t>
        </is>
      </c>
      <c r="B2487" s="1" t="n">
        <v>45902.72454861111</v>
      </c>
      <c r="C2487" s="1" t="n">
        <v>46093</v>
      </c>
      <c r="D2487" t="inlineStr">
        <is>
          <t>ÖSTERGÖTLANDS LÄN</t>
        </is>
      </c>
      <c r="E2487" t="inlineStr">
        <is>
          <t>VALDEMARSVIK</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43899-2024</t>
        </is>
      </c>
      <c r="B2488" s="1" t="n">
        <v>45572.41862268518</v>
      </c>
      <c r="C2488" s="1" t="n">
        <v>46093</v>
      </c>
      <c r="D2488" t="inlineStr">
        <is>
          <t>ÖSTERGÖTLANDS LÄN</t>
        </is>
      </c>
      <c r="E2488" t="inlineStr">
        <is>
          <t>ÅTVIDABERG</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37830-2023</t>
        </is>
      </c>
      <c r="B2489" s="1" t="n">
        <v>45160.34069444444</v>
      </c>
      <c r="C2489" s="1" t="n">
        <v>46093</v>
      </c>
      <c r="D2489" t="inlineStr">
        <is>
          <t>ÖSTERGÖTLANDS LÄN</t>
        </is>
      </c>
      <c r="E2489" t="inlineStr">
        <is>
          <t>KINDA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52004-2024</t>
        </is>
      </c>
      <c r="B2490" s="1" t="n">
        <v>45607.76170138889</v>
      </c>
      <c r="C2490" s="1" t="n">
        <v>46093</v>
      </c>
      <c r="D2490" t="inlineStr">
        <is>
          <t>ÖSTERGÖTLANDS LÄN</t>
        </is>
      </c>
      <c r="E2490" t="inlineStr">
        <is>
          <t>FINSPÅNG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49867-2024</t>
        </is>
      </c>
      <c r="B2491" s="1" t="n">
        <v>45597.48641203704</v>
      </c>
      <c r="C2491" s="1" t="n">
        <v>46093</v>
      </c>
      <c r="D2491" t="inlineStr">
        <is>
          <t>ÖSTERGÖTLANDS LÄN</t>
        </is>
      </c>
      <c r="E2491" t="inlineStr">
        <is>
          <t>MOTALA</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56325-2024</t>
        </is>
      </c>
      <c r="B2492" s="1" t="n">
        <v>45624.7716087963</v>
      </c>
      <c r="C2492" s="1" t="n">
        <v>46093</v>
      </c>
      <c r="D2492" t="inlineStr">
        <is>
          <t>ÖSTERGÖTLANDS LÄN</t>
        </is>
      </c>
      <c r="E2492" t="inlineStr">
        <is>
          <t>MOTALA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17327-2024</t>
        </is>
      </c>
      <c r="B2493" s="1" t="n">
        <v>45414.5519212963</v>
      </c>
      <c r="C2493" s="1" t="n">
        <v>46093</v>
      </c>
      <c r="D2493" t="inlineStr">
        <is>
          <t>ÖSTERGÖTLANDS LÄN</t>
        </is>
      </c>
      <c r="E2493" t="inlineStr">
        <is>
          <t>NORRKÖPING</t>
        </is>
      </c>
      <c r="F2493" t="inlineStr">
        <is>
          <t>Holmen skog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3953-2025</t>
        </is>
      </c>
      <c r="B2494" s="1" t="n">
        <v>45684.49472222223</v>
      </c>
      <c r="C2494" s="1" t="n">
        <v>46093</v>
      </c>
      <c r="D2494" t="inlineStr">
        <is>
          <t>ÖSTERGÖTLANDS LÄN</t>
        </is>
      </c>
      <c r="E2494" t="inlineStr">
        <is>
          <t>KINDA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6387-2022</t>
        </is>
      </c>
      <c r="B2495" s="1" t="n">
        <v>44600</v>
      </c>
      <c r="C2495" s="1" t="n">
        <v>46093</v>
      </c>
      <c r="D2495" t="inlineStr">
        <is>
          <t>ÖSTERGÖTLANDS LÄN</t>
        </is>
      </c>
      <c r="E2495" t="inlineStr">
        <is>
          <t>LINKÖPING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41511-2025</t>
        </is>
      </c>
      <c r="B2496" s="1" t="n">
        <v>45901.53839120371</v>
      </c>
      <c r="C2496" s="1" t="n">
        <v>46093</v>
      </c>
      <c r="D2496" t="inlineStr">
        <is>
          <t>ÖSTERGÖTLANDS LÄN</t>
        </is>
      </c>
      <c r="E2496" t="inlineStr">
        <is>
          <t>LINKÖPING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58730-2024</t>
        </is>
      </c>
      <c r="B2497" s="1" t="n">
        <v>45635.67076388889</v>
      </c>
      <c r="C2497" s="1" t="n">
        <v>46093</v>
      </c>
      <c r="D2497" t="inlineStr">
        <is>
          <t>ÖSTERGÖTLANDS LÄN</t>
        </is>
      </c>
      <c r="E2497" t="inlineStr">
        <is>
          <t>SÖDERKÖPING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41536-2025</t>
        </is>
      </c>
      <c r="B2498" s="1" t="n">
        <v>45901.56068287037</v>
      </c>
      <c r="C2498" s="1" t="n">
        <v>46093</v>
      </c>
      <c r="D2498" t="inlineStr">
        <is>
          <t>ÖSTERGÖTLANDS LÄN</t>
        </is>
      </c>
      <c r="E2498" t="inlineStr">
        <is>
          <t>VALDEMARSVIK</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28923-2025</t>
        </is>
      </c>
      <c r="B2499" s="1" t="n">
        <v>45820.6679050926</v>
      </c>
      <c r="C2499" s="1" t="n">
        <v>46093</v>
      </c>
      <c r="D2499" t="inlineStr">
        <is>
          <t>ÖSTERGÖTLANDS LÄN</t>
        </is>
      </c>
      <c r="E2499" t="inlineStr">
        <is>
          <t>ÖDESHÖG</t>
        </is>
      </c>
      <c r="G2499" t="n">
        <v>13.9</v>
      </c>
      <c r="H2499" t="n">
        <v>0</v>
      </c>
      <c r="I2499" t="n">
        <v>0</v>
      </c>
      <c r="J2499" t="n">
        <v>0</v>
      </c>
      <c r="K2499" t="n">
        <v>0</v>
      </c>
      <c r="L2499" t="n">
        <v>0</v>
      </c>
      <c r="M2499" t="n">
        <v>0</v>
      </c>
      <c r="N2499" t="n">
        <v>0</v>
      </c>
      <c r="O2499" t="n">
        <v>0</v>
      </c>
      <c r="P2499" t="n">
        <v>0</v>
      </c>
      <c r="Q2499" t="n">
        <v>0</v>
      </c>
      <c r="R2499" s="2" t="inlineStr"/>
    </row>
    <row r="2500" ht="15" customHeight="1">
      <c r="A2500" t="inlineStr">
        <is>
          <t>A 45693-2023</t>
        </is>
      </c>
      <c r="B2500" s="1" t="n">
        <v>45195</v>
      </c>
      <c r="C2500" s="1" t="n">
        <v>46093</v>
      </c>
      <c r="D2500" t="inlineStr">
        <is>
          <t>ÖSTERGÖTLANDS LÄN</t>
        </is>
      </c>
      <c r="E2500" t="inlineStr">
        <is>
          <t>KINDA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37528-2025</t>
        </is>
      </c>
      <c r="B2501" s="1" t="n">
        <v>45877</v>
      </c>
      <c r="C2501" s="1" t="n">
        <v>46093</v>
      </c>
      <c r="D2501" t="inlineStr">
        <is>
          <t>ÖSTERGÖTLANDS LÄN</t>
        </is>
      </c>
      <c r="E2501" t="inlineStr">
        <is>
          <t>NORRKÖPING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66977-2021</t>
        </is>
      </c>
      <c r="B2502" s="1" t="n">
        <v>44522</v>
      </c>
      <c r="C2502" s="1" t="n">
        <v>46093</v>
      </c>
      <c r="D2502" t="inlineStr">
        <is>
          <t>ÖSTERGÖTLANDS LÄN</t>
        </is>
      </c>
      <c r="E2502" t="inlineStr">
        <is>
          <t>MJÖLBY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14866-2022</t>
        </is>
      </c>
      <c r="B2503" s="1" t="n">
        <v>44656</v>
      </c>
      <c r="C2503" s="1" t="n">
        <v>46093</v>
      </c>
      <c r="D2503" t="inlineStr">
        <is>
          <t>ÖSTERGÖTLANDS LÄN</t>
        </is>
      </c>
      <c r="E2503" t="inlineStr">
        <is>
          <t>FINSPÅNG</t>
        </is>
      </c>
      <c r="F2503" t="inlineStr">
        <is>
          <t>Holmen skog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41834-2025</t>
        </is>
      </c>
      <c r="B2504" s="1" t="n">
        <v>45902.70725694444</v>
      </c>
      <c r="C2504" s="1" t="n">
        <v>46093</v>
      </c>
      <c r="D2504" t="inlineStr">
        <is>
          <t>ÖSTERGÖTLANDS LÄN</t>
        </is>
      </c>
      <c r="E2504" t="inlineStr">
        <is>
          <t>VALDEMARSVIK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41836-2025</t>
        </is>
      </c>
      <c r="B2505" s="1" t="n">
        <v>45902.7112037037</v>
      </c>
      <c r="C2505" s="1" t="n">
        <v>46093</v>
      </c>
      <c r="D2505" t="inlineStr">
        <is>
          <t>ÖSTERGÖTLANDS LÄN</t>
        </is>
      </c>
      <c r="E2505" t="inlineStr">
        <is>
          <t>VALDEMARSVIK</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41840-2025</t>
        </is>
      </c>
      <c r="B2506" s="1" t="n">
        <v>45902.71890046296</v>
      </c>
      <c r="C2506" s="1" t="n">
        <v>46093</v>
      </c>
      <c r="D2506" t="inlineStr">
        <is>
          <t>ÖSTERGÖTLANDS LÄN</t>
        </is>
      </c>
      <c r="E2506" t="inlineStr">
        <is>
          <t>VALDEMARSVIK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41842-2025</t>
        </is>
      </c>
      <c r="B2507" s="1" t="n">
        <v>45902.72226851852</v>
      </c>
      <c r="C2507" s="1" t="n">
        <v>46093</v>
      </c>
      <c r="D2507" t="inlineStr">
        <is>
          <t>ÖSTERGÖTLANDS LÄN</t>
        </is>
      </c>
      <c r="E2507" t="inlineStr">
        <is>
          <t>VALDEMARSVIK</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41845-2025</t>
        </is>
      </c>
      <c r="B2508" s="1" t="n">
        <v>45902.72586805555</v>
      </c>
      <c r="C2508" s="1" t="n">
        <v>46093</v>
      </c>
      <c r="D2508" t="inlineStr">
        <is>
          <t>ÖSTERGÖTLANDS LÄN</t>
        </is>
      </c>
      <c r="E2508" t="inlineStr">
        <is>
          <t>VALDEMARSVIK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16168-2023</t>
        </is>
      </c>
      <c r="B2509" s="1" t="n">
        <v>45027.68865740741</v>
      </c>
      <c r="C2509" s="1" t="n">
        <v>46093</v>
      </c>
      <c r="D2509" t="inlineStr">
        <is>
          <t>ÖSTERGÖTLANDS LÄN</t>
        </is>
      </c>
      <c r="E2509" t="inlineStr">
        <is>
          <t>ÖDESHÖG</t>
        </is>
      </c>
      <c r="F2509" t="inlineStr">
        <is>
          <t>Allmännings- och besparingsskogar</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34641-2022</t>
        </is>
      </c>
      <c r="B2510" s="1" t="n">
        <v>44795</v>
      </c>
      <c r="C2510" s="1" t="n">
        <v>46093</v>
      </c>
      <c r="D2510" t="inlineStr">
        <is>
          <t>ÖSTERGÖTLANDS LÄN</t>
        </is>
      </c>
      <c r="E2510" t="inlineStr">
        <is>
          <t>LINKÖPING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12727-2022</t>
        </is>
      </c>
      <c r="B2511" s="1" t="n">
        <v>44641.78332175926</v>
      </c>
      <c r="C2511" s="1" t="n">
        <v>46093</v>
      </c>
      <c r="D2511" t="inlineStr">
        <is>
          <t>ÖSTERGÖTLANDS LÄN</t>
        </is>
      </c>
      <c r="E2511" t="inlineStr">
        <is>
          <t>NORRKÖPING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34730-2022</t>
        </is>
      </c>
      <c r="B2512" s="1" t="n">
        <v>44795</v>
      </c>
      <c r="C2512" s="1" t="n">
        <v>46093</v>
      </c>
      <c r="D2512" t="inlineStr">
        <is>
          <t>ÖSTERGÖTLANDS LÄN</t>
        </is>
      </c>
      <c r="E2512" t="inlineStr">
        <is>
          <t>KINDA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4433-2024</t>
        </is>
      </c>
      <c r="B2513" s="1" t="n">
        <v>45327.4684375</v>
      </c>
      <c r="C2513" s="1" t="n">
        <v>46093</v>
      </c>
      <c r="D2513" t="inlineStr">
        <is>
          <t>ÖSTERGÖTLANDS LÄN</t>
        </is>
      </c>
      <c r="E2513" t="inlineStr">
        <is>
          <t>KINDA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4456-2024</t>
        </is>
      </c>
      <c r="B2514" s="1" t="n">
        <v>45327.52847222222</v>
      </c>
      <c r="C2514" s="1" t="n">
        <v>46093</v>
      </c>
      <c r="D2514" t="inlineStr">
        <is>
          <t>ÖSTERGÖTLANDS LÄN</t>
        </is>
      </c>
      <c r="E2514" t="inlineStr">
        <is>
          <t>LINKÖPING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29127-2023</t>
        </is>
      </c>
      <c r="B2515" s="1" t="n">
        <v>45105.43216435185</v>
      </c>
      <c r="C2515" s="1" t="n">
        <v>46093</v>
      </c>
      <c r="D2515" t="inlineStr">
        <is>
          <t>ÖSTERGÖTLANDS LÄN</t>
        </is>
      </c>
      <c r="E2515" t="inlineStr">
        <is>
          <t>YDRE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23794-2025</t>
        </is>
      </c>
      <c r="B2516" s="1" t="n">
        <v>45793.54444444444</v>
      </c>
      <c r="C2516" s="1" t="n">
        <v>46093</v>
      </c>
      <c r="D2516" t="inlineStr">
        <is>
          <t>ÖSTERGÖTLANDS LÄN</t>
        </is>
      </c>
      <c r="E2516" t="inlineStr">
        <is>
          <t>MOTALA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26030-2023</t>
        </is>
      </c>
      <c r="B2517" s="1" t="n">
        <v>45091.31003472222</v>
      </c>
      <c r="C2517" s="1" t="n">
        <v>46093</v>
      </c>
      <c r="D2517" t="inlineStr">
        <is>
          <t>ÖSTERGÖTLANDS LÄN</t>
        </is>
      </c>
      <c r="E2517" t="inlineStr">
        <is>
          <t>YDRE</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62048-2022</t>
        </is>
      </c>
      <c r="B2518" s="1" t="n">
        <v>44918.57138888889</v>
      </c>
      <c r="C2518" s="1" t="n">
        <v>46093</v>
      </c>
      <c r="D2518" t="inlineStr">
        <is>
          <t>ÖSTERGÖTLANDS LÄN</t>
        </is>
      </c>
      <c r="E2518" t="inlineStr">
        <is>
          <t>VALDEMARSVIK</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34758-2022</t>
        </is>
      </c>
      <c r="B2519" s="1" t="n">
        <v>44795</v>
      </c>
      <c r="C2519" s="1" t="n">
        <v>46093</v>
      </c>
      <c r="D2519" t="inlineStr">
        <is>
          <t>ÖSTERGÖTLANDS LÄN</t>
        </is>
      </c>
      <c r="E2519" t="inlineStr">
        <is>
          <t>FINSPÅNG</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38718-2023</t>
        </is>
      </c>
      <c r="B2520" s="1" t="n">
        <v>45163.35730324074</v>
      </c>
      <c r="C2520" s="1" t="n">
        <v>46093</v>
      </c>
      <c r="D2520" t="inlineStr">
        <is>
          <t>ÖSTERGÖTLANDS LÄN</t>
        </is>
      </c>
      <c r="E2520" t="inlineStr">
        <is>
          <t>ÖDESHÖG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109-2022</t>
        </is>
      </c>
      <c r="B2521" s="1" t="n">
        <v>44564</v>
      </c>
      <c r="C2521" s="1" t="n">
        <v>46093</v>
      </c>
      <c r="D2521" t="inlineStr">
        <is>
          <t>ÖSTERGÖTLANDS LÄN</t>
        </is>
      </c>
      <c r="E2521" t="inlineStr">
        <is>
          <t>ÅTVIDABERG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14950-2025</t>
        </is>
      </c>
      <c r="B2522" s="1" t="n">
        <v>45743.5756712963</v>
      </c>
      <c r="C2522" s="1" t="n">
        <v>46093</v>
      </c>
      <c r="D2522" t="inlineStr">
        <is>
          <t>ÖSTERGÖTLANDS LÄN</t>
        </is>
      </c>
      <c r="E2522" t="inlineStr">
        <is>
          <t>VALDEMARSVIK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13687-2025</t>
        </is>
      </c>
      <c r="B2523" s="1" t="n">
        <v>45737.31425925926</v>
      </c>
      <c r="C2523" s="1" t="n">
        <v>46093</v>
      </c>
      <c r="D2523" t="inlineStr">
        <is>
          <t>ÖSTERGÖTLANDS LÄN</t>
        </is>
      </c>
      <c r="E2523" t="inlineStr">
        <is>
          <t>LINKÖPING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13695-2025</t>
        </is>
      </c>
      <c r="B2524" s="1" t="n">
        <v>45737.32219907407</v>
      </c>
      <c r="C2524" s="1" t="n">
        <v>46093</v>
      </c>
      <c r="D2524" t="inlineStr">
        <is>
          <t>ÖSTERGÖTLANDS LÄN</t>
        </is>
      </c>
      <c r="E2524" t="inlineStr">
        <is>
          <t>LINKÖPING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41805-2025</t>
        </is>
      </c>
      <c r="B2525" s="1" t="n">
        <v>45902.63649305556</v>
      </c>
      <c r="C2525" s="1" t="n">
        <v>46093</v>
      </c>
      <c r="D2525" t="inlineStr">
        <is>
          <t>ÖSTERGÖTLANDS LÄN</t>
        </is>
      </c>
      <c r="E2525" t="inlineStr">
        <is>
          <t>FINSPÅNG</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41839-2025</t>
        </is>
      </c>
      <c r="B2526" s="1" t="n">
        <v>45902.71751157408</v>
      </c>
      <c r="C2526" s="1" t="n">
        <v>46093</v>
      </c>
      <c r="D2526" t="inlineStr">
        <is>
          <t>ÖSTERGÖTLANDS LÄN</t>
        </is>
      </c>
      <c r="E2526" t="inlineStr">
        <is>
          <t>VALDEMARSVIK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43344-2023</t>
        </is>
      </c>
      <c r="B2527" s="1" t="n">
        <v>45183.65135416666</v>
      </c>
      <c r="C2527" s="1" t="n">
        <v>46093</v>
      </c>
      <c r="D2527" t="inlineStr">
        <is>
          <t>ÖSTERGÖTLANDS LÄN</t>
        </is>
      </c>
      <c r="E2527" t="inlineStr">
        <is>
          <t>NORRKÖPING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43346-2023</t>
        </is>
      </c>
      <c r="B2528" s="1" t="n">
        <v>45183.65233796297</v>
      </c>
      <c r="C2528" s="1" t="n">
        <v>46093</v>
      </c>
      <c r="D2528" t="inlineStr">
        <is>
          <t>ÖSTERGÖTLANDS LÄN</t>
        </is>
      </c>
      <c r="E2528" t="inlineStr">
        <is>
          <t>NORRKÖPING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43368-2023</t>
        </is>
      </c>
      <c r="B2529" s="1" t="n">
        <v>45183.73592592592</v>
      </c>
      <c r="C2529" s="1" t="n">
        <v>46093</v>
      </c>
      <c r="D2529" t="inlineStr">
        <is>
          <t>ÖSTERGÖTLANDS LÄN</t>
        </is>
      </c>
      <c r="E2529" t="inlineStr">
        <is>
          <t>MOTALA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51633-2022</t>
        </is>
      </c>
      <c r="B2530" s="1" t="n">
        <v>44872</v>
      </c>
      <c r="C2530" s="1" t="n">
        <v>46093</v>
      </c>
      <c r="D2530" t="inlineStr">
        <is>
          <t>ÖSTERGÖTLANDS LÄN</t>
        </is>
      </c>
      <c r="E2530" t="inlineStr">
        <is>
          <t>ÅTVIDABERG</t>
        </is>
      </c>
      <c r="F2530" t="inlineStr">
        <is>
          <t>Holmen skog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21779-2024</t>
        </is>
      </c>
      <c r="B2531" s="1" t="n">
        <v>45442.63207175926</v>
      </c>
      <c r="C2531" s="1" t="n">
        <v>46093</v>
      </c>
      <c r="D2531" t="inlineStr">
        <is>
          <t>ÖSTERGÖTLANDS LÄN</t>
        </is>
      </c>
      <c r="E2531" t="inlineStr">
        <is>
          <t>ÅTVIDABERG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6220-2023</t>
        </is>
      </c>
      <c r="B2532" s="1" t="n">
        <v>44964</v>
      </c>
      <c r="C2532" s="1" t="n">
        <v>46093</v>
      </c>
      <c r="D2532" t="inlineStr">
        <is>
          <t>ÖSTERGÖTLANDS LÄN</t>
        </is>
      </c>
      <c r="E2532" t="inlineStr">
        <is>
          <t>ÅTVIDABERG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2287-2025</t>
        </is>
      </c>
      <c r="B2533" s="1" t="n">
        <v>45673</v>
      </c>
      <c r="C2533" s="1" t="n">
        <v>46093</v>
      </c>
      <c r="D2533" t="inlineStr">
        <is>
          <t>ÖSTERGÖTLANDS LÄN</t>
        </is>
      </c>
      <c r="E2533" t="inlineStr">
        <is>
          <t>NORRKÖPING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58026-2024</t>
        </is>
      </c>
      <c r="B2534" s="1" t="n">
        <v>45631.69237268518</v>
      </c>
      <c r="C2534" s="1" t="n">
        <v>46093</v>
      </c>
      <c r="D2534" t="inlineStr">
        <is>
          <t>ÖSTERGÖTLANDS LÄN</t>
        </is>
      </c>
      <c r="E2534" t="inlineStr">
        <is>
          <t>FINSPÅNG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45449-2023</t>
        </is>
      </c>
      <c r="B2535" s="1" t="n">
        <v>45194</v>
      </c>
      <c r="C2535" s="1" t="n">
        <v>46093</v>
      </c>
      <c r="D2535" t="inlineStr">
        <is>
          <t>ÖSTERGÖTLANDS LÄN</t>
        </is>
      </c>
      <c r="E2535" t="inlineStr">
        <is>
          <t>YDRE</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26912-2023</t>
        </is>
      </c>
      <c r="B2536" s="1" t="n">
        <v>45093</v>
      </c>
      <c r="C2536" s="1" t="n">
        <v>46093</v>
      </c>
      <c r="D2536" t="inlineStr">
        <is>
          <t>ÖSTERGÖTLANDS LÄN</t>
        </is>
      </c>
      <c r="E2536" t="inlineStr">
        <is>
          <t>SÖDERKÖPING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43164-2021</t>
        </is>
      </c>
      <c r="B2537" s="1" t="n">
        <v>44431</v>
      </c>
      <c r="C2537" s="1" t="n">
        <v>46093</v>
      </c>
      <c r="D2537" t="inlineStr">
        <is>
          <t>ÖSTERGÖTLANDS LÄN</t>
        </is>
      </c>
      <c r="E2537" t="inlineStr">
        <is>
          <t>FINSPÅNG</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19844-2023</t>
        </is>
      </c>
      <c r="B2538" s="1" t="n">
        <v>45053.36554398148</v>
      </c>
      <c r="C2538" s="1" t="n">
        <v>46093</v>
      </c>
      <c r="D2538" t="inlineStr">
        <is>
          <t>ÖSTERGÖTLANDS LÄN</t>
        </is>
      </c>
      <c r="E2538" t="inlineStr">
        <is>
          <t>NORRKÖPING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59407-2021</t>
        </is>
      </c>
      <c r="B2539" s="1" t="n">
        <v>44491.42230324074</v>
      </c>
      <c r="C2539" s="1" t="n">
        <v>46093</v>
      </c>
      <c r="D2539" t="inlineStr">
        <is>
          <t>ÖSTERGÖTLANDS LÄN</t>
        </is>
      </c>
      <c r="E2539" t="inlineStr">
        <is>
          <t>YDRE</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58114-2021</t>
        </is>
      </c>
      <c r="B2540" s="1" t="n">
        <v>44487</v>
      </c>
      <c r="C2540" s="1" t="n">
        <v>46093</v>
      </c>
      <c r="D2540" t="inlineStr">
        <is>
          <t>ÖSTERGÖTLANDS LÄN</t>
        </is>
      </c>
      <c r="E2540" t="inlineStr">
        <is>
          <t>LINKÖPING</t>
        </is>
      </c>
      <c r="F2540" t="inlineStr">
        <is>
          <t>Övriga Aktiebolag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50678-2023</t>
        </is>
      </c>
      <c r="B2541" s="1" t="n">
        <v>45217.51479166667</v>
      </c>
      <c r="C2541" s="1" t="n">
        <v>46093</v>
      </c>
      <c r="D2541" t="inlineStr">
        <is>
          <t>ÖSTERGÖTLANDS LÄN</t>
        </is>
      </c>
      <c r="E2541" t="inlineStr">
        <is>
          <t>NORRKÖPING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14946-2022</t>
        </is>
      </c>
      <c r="B2542" s="1" t="n">
        <v>44657.42840277778</v>
      </c>
      <c r="C2542" s="1" t="n">
        <v>46093</v>
      </c>
      <c r="D2542" t="inlineStr">
        <is>
          <t>ÖSTERGÖTLANDS LÄN</t>
        </is>
      </c>
      <c r="E2542" t="inlineStr">
        <is>
          <t>BOXHOLM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48392-2024</t>
        </is>
      </c>
      <c r="B2543" s="1" t="n">
        <v>45590.60849537037</v>
      </c>
      <c r="C2543" s="1" t="n">
        <v>46093</v>
      </c>
      <c r="D2543" t="inlineStr">
        <is>
          <t>ÖSTERGÖTLANDS LÄN</t>
        </is>
      </c>
      <c r="E2543" t="inlineStr">
        <is>
          <t>MOTALA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58901-2024</t>
        </is>
      </c>
      <c r="B2544" s="1" t="n">
        <v>45636.4737962963</v>
      </c>
      <c r="C2544" s="1" t="n">
        <v>46093</v>
      </c>
      <c r="D2544" t="inlineStr">
        <is>
          <t>ÖSTERGÖTLANDS LÄN</t>
        </is>
      </c>
      <c r="E2544" t="inlineStr">
        <is>
          <t>NORRKÖPING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41837-2025</t>
        </is>
      </c>
      <c r="B2545" s="1" t="n">
        <v>45902.71278935186</v>
      </c>
      <c r="C2545" s="1" t="n">
        <v>46093</v>
      </c>
      <c r="D2545" t="inlineStr">
        <is>
          <t>ÖSTERGÖTLANDS LÄN</t>
        </is>
      </c>
      <c r="E2545" t="inlineStr">
        <is>
          <t>VALDEMARSVIK</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41838-2025</t>
        </is>
      </c>
      <c r="B2546" s="1" t="n">
        <v>45902.71516203704</v>
      </c>
      <c r="C2546" s="1" t="n">
        <v>46093</v>
      </c>
      <c r="D2546" t="inlineStr">
        <is>
          <t>ÖSTERGÖTLANDS LÄN</t>
        </is>
      </c>
      <c r="E2546" t="inlineStr">
        <is>
          <t>VALDEMARSVIK</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41009-2025</t>
        </is>
      </c>
      <c r="B2547" s="1" t="n">
        <v>45898.35184027778</v>
      </c>
      <c r="C2547" s="1" t="n">
        <v>46093</v>
      </c>
      <c r="D2547" t="inlineStr">
        <is>
          <t>ÖSTERGÖTLANDS LÄN</t>
        </is>
      </c>
      <c r="E2547" t="inlineStr">
        <is>
          <t>MOTALA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46316-2023</t>
        </is>
      </c>
      <c r="B2548" s="1" t="n">
        <v>45197</v>
      </c>
      <c r="C2548" s="1" t="n">
        <v>46093</v>
      </c>
      <c r="D2548" t="inlineStr">
        <is>
          <t>ÖSTERGÖTLANDS LÄN</t>
        </is>
      </c>
      <c r="E2548" t="inlineStr">
        <is>
          <t>BOXHOLM</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3042-2024</t>
        </is>
      </c>
      <c r="B2549" s="1" t="n">
        <v>45316.35028935185</v>
      </c>
      <c r="C2549" s="1" t="n">
        <v>46093</v>
      </c>
      <c r="D2549" t="inlineStr">
        <is>
          <t>ÖSTERGÖTLANDS LÄN</t>
        </is>
      </c>
      <c r="E2549" t="inlineStr">
        <is>
          <t>LINKÖPING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27857-2025</t>
        </is>
      </c>
      <c r="B2550" s="1" t="n">
        <v>45817.41037037037</v>
      </c>
      <c r="C2550" s="1" t="n">
        <v>46093</v>
      </c>
      <c r="D2550" t="inlineStr">
        <is>
          <t>ÖSTERGÖTLANDS LÄN</t>
        </is>
      </c>
      <c r="E2550" t="inlineStr">
        <is>
          <t>NORRKÖPING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12997-2024</t>
        </is>
      </c>
      <c r="B2551" s="1" t="n">
        <v>45385.56655092593</v>
      </c>
      <c r="C2551" s="1" t="n">
        <v>46093</v>
      </c>
      <c r="D2551" t="inlineStr">
        <is>
          <t>ÖSTERGÖTLANDS LÄN</t>
        </is>
      </c>
      <c r="E2551" t="inlineStr">
        <is>
          <t>KINDA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42766-2024</t>
        </is>
      </c>
      <c r="B2552" s="1" t="n">
        <v>45566.50620370371</v>
      </c>
      <c r="C2552" s="1" t="n">
        <v>46093</v>
      </c>
      <c r="D2552" t="inlineStr">
        <is>
          <t>ÖSTERGÖTLANDS LÄN</t>
        </is>
      </c>
      <c r="E2552" t="inlineStr">
        <is>
          <t>ÅTVIDABERG</t>
        </is>
      </c>
      <c r="F2552" t="inlineStr">
        <is>
          <t>Sveaskog</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11063-2024</t>
        </is>
      </c>
      <c r="B2553" s="1" t="n">
        <v>45370</v>
      </c>
      <c r="C2553" s="1" t="n">
        <v>46093</v>
      </c>
      <c r="D2553" t="inlineStr">
        <is>
          <t>ÖSTERGÖTLANDS LÄN</t>
        </is>
      </c>
      <c r="E2553" t="inlineStr">
        <is>
          <t>FINSPÅNG</t>
        </is>
      </c>
      <c r="F2553" t="inlineStr">
        <is>
          <t>Naturvårdsverket</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15302-2025</t>
        </is>
      </c>
      <c r="B2554" s="1" t="n">
        <v>45746.48921296297</v>
      </c>
      <c r="C2554" s="1" t="n">
        <v>46093</v>
      </c>
      <c r="D2554" t="inlineStr">
        <is>
          <t>ÖSTERGÖTLANDS LÄN</t>
        </is>
      </c>
      <c r="E2554" t="inlineStr">
        <is>
          <t>KINDA</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50341-2022</t>
        </is>
      </c>
      <c r="B2555" s="1" t="n">
        <v>44865</v>
      </c>
      <c r="C2555" s="1" t="n">
        <v>46093</v>
      </c>
      <c r="D2555" t="inlineStr">
        <is>
          <t>ÖSTERGÖTLANDS LÄN</t>
        </is>
      </c>
      <c r="E2555" t="inlineStr">
        <is>
          <t>FINSPÅNG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41732-2025</t>
        </is>
      </c>
      <c r="B2556" s="1" t="n">
        <v>45902.46462962963</v>
      </c>
      <c r="C2556" s="1" t="n">
        <v>46093</v>
      </c>
      <c r="D2556" t="inlineStr">
        <is>
          <t>ÖSTERGÖTLANDS LÄN</t>
        </is>
      </c>
      <c r="E2556" t="inlineStr">
        <is>
          <t>YDRE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8658-2022</t>
        </is>
      </c>
      <c r="B2557" s="1" t="n">
        <v>44613.66163194444</v>
      </c>
      <c r="C2557" s="1" t="n">
        <v>46093</v>
      </c>
      <c r="D2557" t="inlineStr">
        <is>
          <t>ÖSTERGÖTLANDS LÄN</t>
        </is>
      </c>
      <c r="E2557" t="inlineStr">
        <is>
          <t>MJÖLBY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41802-2025</t>
        </is>
      </c>
      <c r="B2558" s="1" t="n">
        <v>45902.62799768519</v>
      </c>
      <c r="C2558" s="1" t="n">
        <v>46093</v>
      </c>
      <c r="D2558" t="inlineStr">
        <is>
          <t>ÖSTERGÖTLANDS LÄN</t>
        </is>
      </c>
      <c r="E2558" t="inlineStr">
        <is>
          <t>FINSPÅNG</t>
        </is>
      </c>
      <c r="F2558" t="inlineStr">
        <is>
          <t>Holmen skog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57888-2022</t>
        </is>
      </c>
      <c r="B2559" s="1" t="n">
        <v>44900</v>
      </c>
      <c r="C2559" s="1" t="n">
        <v>46093</v>
      </c>
      <c r="D2559" t="inlineStr">
        <is>
          <t>ÖSTERGÖTLANDS LÄN</t>
        </is>
      </c>
      <c r="E2559" t="inlineStr">
        <is>
          <t>SÖDERKÖPING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35970-2025</t>
        </is>
      </c>
      <c r="B2560" s="1" t="n">
        <v>45863</v>
      </c>
      <c r="C2560" s="1" t="n">
        <v>46093</v>
      </c>
      <c r="D2560" t="inlineStr">
        <is>
          <t>ÖSTERGÖTLANDS LÄN</t>
        </is>
      </c>
      <c r="E2560" t="inlineStr">
        <is>
          <t>FINSPÅNG</t>
        </is>
      </c>
      <c r="G2560" t="n">
        <v>22.6</v>
      </c>
      <c r="H2560" t="n">
        <v>0</v>
      </c>
      <c r="I2560" t="n">
        <v>0</v>
      </c>
      <c r="J2560" t="n">
        <v>0</v>
      </c>
      <c r="K2560" t="n">
        <v>0</v>
      </c>
      <c r="L2560" t="n">
        <v>0</v>
      </c>
      <c r="M2560" t="n">
        <v>0</v>
      </c>
      <c r="N2560" t="n">
        <v>0</v>
      </c>
      <c r="O2560" t="n">
        <v>0</v>
      </c>
      <c r="P2560" t="n">
        <v>0</v>
      </c>
      <c r="Q2560" t="n">
        <v>0</v>
      </c>
      <c r="R2560" s="2" t="inlineStr"/>
    </row>
    <row r="2561" ht="15" customHeight="1">
      <c r="A2561" t="inlineStr">
        <is>
          <t>A 35982-2025</t>
        </is>
      </c>
      <c r="B2561" s="1" t="n">
        <v>45863.44907407407</v>
      </c>
      <c r="C2561" s="1" t="n">
        <v>46093</v>
      </c>
      <c r="D2561" t="inlineStr">
        <is>
          <t>ÖSTERGÖTLANDS LÄN</t>
        </is>
      </c>
      <c r="E2561" t="inlineStr">
        <is>
          <t>KINDA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57864-2022</t>
        </is>
      </c>
      <c r="B2562" s="1" t="n">
        <v>44899.50475694444</v>
      </c>
      <c r="C2562" s="1" t="n">
        <v>46093</v>
      </c>
      <c r="D2562" t="inlineStr">
        <is>
          <t>ÖSTERGÖTLANDS LÄN</t>
        </is>
      </c>
      <c r="E2562" t="inlineStr">
        <is>
          <t>VALDEMARSVIK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42045-2025</t>
        </is>
      </c>
      <c r="B2563" s="1" t="n">
        <v>45903.62509259259</v>
      </c>
      <c r="C2563" s="1" t="n">
        <v>46093</v>
      </c>
      <c r="D2563" t="inlineStr">
        <is>
          <t>ÖSTERGÖTLANDS LÄN</t>
        </is>
      </c>
      <c r="E2563" t="inlineStr">
        <is>
          <t>FINSPÅNG</t>
        </is>
      </c>
      <c r="F2563" t="inlineStr">
        <is>
          <t>Holmen skog AB</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29293-2025</t>
        </is>
      </c>
      <c r="B2564" s="1" t="n">
        <v>45824</v>
      </c>
      <c r="C2564" s="1" t="n">
        <v>46093</v>
      </c>
      <c r="D2564" t="inlineStr">
        <is>
          <t>ÖSTERGÖTLANDS LÄN</t>
        </is>
      </c>
      <c r="E2564" t="inlineStr">
        <is>
          <t>LINKÖPING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35986-2025</t>
        </is>
      </c>
      <c r="B2565" s="1" t="n">
        <v>45863</v>
      </c>
      <c r="C2565" s="1" t="n">
        <v>46093</v>
      </c>
      <c r="D2565" t="inlineStr">
        <is>
          <t>ÖSTERGÖTLANDS LÄN</t>
        </is>
      </c>
      <c r="E2565" t="inlineStr">
        <is>
          <t>KINDA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42233-2025</t>
        </is>
      </c>
      <c r="B2566" s="1" t="n">
        <v>45904.55924768518</v>
      </c>
      <c r="C2566" s="1" t="n">
        <v>46093</v>
      </c>
      <c r="D2566" t="inlineStr">
        <is>
          <t>ÖSTERGÖTLANDS LÄN</t>
        </is>
      </c>
      <c r="E2566" t="inlineStr">
        <is>
          <t>NORRKÖPING</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39517-2023</t>
        </is>
      </c>
      <c r="B2567" s="1" t="n">
        <v>45167</v>
      </c>
      <c r="C2567" s="1" t="n">
        <v>46093</v>
      </c>
      <c r="D2567" t="inlineStr">
        <is>
          <t>ÖSTERGÖTLANDS LÄN</t>
        </is>
      </c>
      <c r="E2567" t="inlineStr">
        <is>
          <t>VALDEMARSVIK</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36173-2025</t>
        </is>
      </c>
      <c r="B2568" s="1" t="n">
        <v>45866</v>
      </c>
      <c r="C2568" s="1" t="n">
        <v>46093</v>
      </c>
      <c r="D2568" t="inlineStr">
        <is>
          <t>ÖSTERGÖTLANDS LÄN</t>
        </is>
      </c>
      <c r="E2568" t="inlineStr">
        <is>
          <t>KINDA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55025-2024</t>
        </is>
      </c>
      <c r="B2569" s="1" t="n">
        <v>45621</v>
      </c>
      <c r="C2569" s="1" t="n">
        <v>46093</v>
      </c>
      <c r="D2569" t="inlineStr">
        <is>
          <t>ÖSTERGÖTLANDS LÄN</t>
        </is>
      </c>
      <c r="E2569" t="inlineStr">
        <is>
          <t>MOTALA</t>
        </is>
      </c>
      <c r="F2569" t="inlineStr">
        <is>
          <t>Sveaskog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41952-2025</t>
        </is>
      </c>
      <c r="B2570" s="1" t="n">
        <v>45903.45952546296</v>
      </c>
      <c r="C2570" s="1" t="n">
        <v>46093</v>
      </c>
      <c r="D2570" t="inlineStr">
        <is>
          <t>ÖSTERGÖTLANDS LÄN</t>
        </is>
      </c>
      <c r="E2570" t="inlineStr">
        <is>
          <t>NORRKÖPING</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36885-2024</t>
        </is>
      </c>
      <c r="B2571" s="1" t="n">
        <v>45538</v>
      </c>
      <c r="C2571" s="1" t="n">
        <v>46093</v>
      </c>
      <c r="D2571" t="inlineStr">
        <is>
          <t>ÖSTERGÖTLANDS LÄN</t>
        </is>
      </c>
      <c r="E2571" t="inlineStr">
        <is>
          <t>ÅTVIDABERG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6580-2025</t>
        </is>
      </c>
      <c r="B2572" s="1" t="n">
        <v>45699.88890046296</v>
      </c>
      <c r="C2572" s="1" t="n">
        <v>46093</v>
      </c>
      <c r="D2572" t="inlineStr">
        <is>
          <t>ÖSTERGÖTLANDS LÄN</t>
        </is>
      </c>
      <c r="E2572" t="inlineStr">
        <is>
          <t>VALDEMARSVIK</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41732-2024</t>
        </is>
      </c>
      <c r="B2573" s="1" t="n">
        <v>45560.94553240741</v>
      </c>
      <c r="C2573" s="1" t="n">
        <v>46093</v>
      </c>
      <c r="D2573" t="inlineStr">
        <is>
          <t>ÖSTERGÖTLANDS LÄN</t>
        </is>
      </c>
      <c r="E2573" t="inlineStr">
        <is>
          <t>MOTALA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19129-2025</t>
        </is>
      </c>
      <c r="B2574" s="1" t="n">
        <v>45769.23976851852</v>
      </c>
      <c r="C2574" s="1" t="n">
        <v>46093</v>
      </c>
      <c r="D2574" t="inlineStr">
        <is>
          <t>ÖSTERGÖTLANDS LÄN</t>
        </is>
      </c>
      <c r="E2574" t="inlineStr">
        <is>
          <t>BOXHOLM</t>
        </is>
      </c>
      <c r="F2574" t="inlineStr">
        <is>
          <t>Övriga Aktiebolag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52413-2023</t>
        </is>
      </c>
      <c r="B2575" s="1" t="n">
        <v>45225.27950231481</v>
      </c>
      <c r="C2575" s="1" t="n">
        <v>46093</v>
      </c>
      <c r="D2575" t="inlineStr">
        <is>
          <t>ÖSTERGÖTLANDS LÄN</t>
        </is>
      </c>
      <c r="E2575" t="inlineStr">
        <is>
          <t>LINKÖPING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1423-2022</t>
        </is>
      </c>
      <c r="B2576" s="1" t="n">
        <v>44573</v>
      </c>
      <c r="C2576" s="1" t="n">
        <v>46093</v>
      </c>
      <c r="D2576" t="inlineStr">
        <is>
          <t>ÖSTERGÖTLANDS LÄN</t>
        </is>
      </c>
      <c r="E2576" t="inlineStr">
        <is>
          <t>VALDEMARSVIK</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7582-2023</t>
        </is>
      </c>
      <c r="B2577" s="1" t="n">
        <v>44972</v>
      </c>
      <c r="C2577" s="1" t="n">
        <v>46093</v>
      </c>
      <c r="D2577" t="inlineStr">
        <is>
          <t>ÖSTERGÖTLANDS LÄN</t>
        </is>
      </c>
      <c r="E2577" t="inlineStr">
        <is>
          <t>VALDEMARSVIK</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2512-2024</t>
        </is>
      </c>
      <c r="B2578" s="1" t="n">
        <v>45313</v>
      </c>
      <c r="C2578" s="1" t="n">
        <v>46093</v>
      </c>
      <c r="D2578" t="inlineStr">
        <is>
          <t>ÖSTERGÖTLANDS LÄN</t>
        </is>
      </c>
      <c r="E2578" t="inlineStr">
        <is>
          <t>ÖDESHÖG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2540-2024</t>
        </is>
      </c>
      <c r="B2579" s="1" t="n">
        <v>45313</v>
      </c>
      <c r="C2579" s="1" t="n">
        <v>46093</v>
      </c>
      <c r="D2579" t="inlineStr">
        <is>
          <t>ÖSTERGÖTLANDS LÄN</t>
        </is>
      </c>
      <c r="E2579" t="inlineStr">
        <is>
          <t>NORRKÖPING</t>
        </is>
      </c>
      <c r="F2579" t="inlineStr">
        <is>
          <t>Holmen skog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52892-2024</t>
        </is>
      </c>
      <c r="B2580" s="1" t="n">
        <v>45610</v>
      </c>
      <c r="C2580" s="1" t="n">
        <v>46093</v>
      </c>
      <c r="D2580" t="inlineStr">
        <is>
          <t>ÖSTERGÖTLANDS LÄN</t>
        </is>
      </c>
      <c r="E2580" t="inlineStr">
        <is>
          <t>LINKÖPING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56246-2022</t>
        </is>
      </c>
      <c r="B2581" s="1" t="n">
        <v>44887</v>
      </c>
      <c r="C2581" s="1" t="n">
        <v>46093</v>
      </c>
      <c r="D2581" t="inlineStr">
        <is>
          <t>ÖSTERGÖTLANDS LÄN</t>
        </is>
      </c>
      <c r="E2581" t="inlineStr">
        <is>
          <t>FINSPÅNG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56288-2022</t>
        </is>
      </c>
      <c r="B2582" s="1" t="n">
        <v>44887</v>
      </c>
      <c r="C2582" s="1" t="n">
        <v>46093</v>
      </c>
      <c r="D2582" t="inlineStr">
        <is>
          <t>ÖSTERGÖTLANDS LÄN</t>
        </is>
      </c>
      <c r="E2582" t="inlineStr">
        <is>
          <t>FINSPÅNG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7792-2022</t>
        </is>
      </c>
      <c r="B2583" s="1" t="n">
        <v>44608.48450231482</v>
      </c>
      <c r="C2583" s="1" t="n">
        <v>46093</v>
      </c>
      <c r="D2583" t="inlineStr">
        <is>
          <t>ÖSTERGÖTLANDS LÄN</t>
        </is>
      </c>
      <c r="E2583" t="inlineStr">
        <is>
          <t>KINDA</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36000-2025</t>
        </is>
      </c>
      <c r="B2584" s="1" t="n">
        <v>45863.51805555556</v>
      </c>
      <c r="C2584" s="1" t="n">
        <v>46093</v>
      </c>
      <c r="D2584" t="inlineStr">
        <is>
          <t>ÖSTERGÖTLANDS LÄN</t>
        </is>
      </c>
      <c r="E2584" t="inlineStr">
        <is>
          <t>KINDA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42512-2025</t>
        </is>
      </c>
      <c r="B2585" s="1" t="n">
        <v>45904</v>
      </c>
      <c r="C2585" s="1" t="n">
        <v>46093</v>
      </c>
      <c r="D2585" t="inlineStr">
        <is>
          <t>ÖSTERGÖTLANDS LÄN</t>
        </is>
      </c>
      <c r="E2585" t="inlineStr">
        <is>
          <t>KINDA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42025-2025</t>
        </is>
      </c>
      <c r="B2586" s="1" t="n">
        <v>45903.59527777778</v>
      </c>
      <c r="C2586" s="1" t="n">
        <v>46093</v>
      </c>
      <c r="D2586" t="inlineStr">
        <is>
          <t>ÖSTERGÖTLANDS LÄN</t>
        </is>
      </c>
      <c r="E2586" t="inlineStr">
        <is>
          <t>FINSPÅNG</t>
        </is>
      </c>
      <c r="F2586" t="inlineStr">
        <is>
          <t>Holmen skog AB</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25196-2023</t>
        </is>
      </c>
      <c r="B2587" s="1" t="n">
        <v>45086</v>
      </c>
      <c r="C2587" s="1" t="n">
        <v>46093</v>
      </c>
      <c r="D2587" t="inlineStr">
        <is>
          <t>ÖSTERGÖTLANDS LÄN</t>
        </is>
      </c>
      <c r="E2587" t="inlineStr">
        <is>
          <t>FINSPÅNG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9635-2025</t>
        </is>
      </c>
      <c r="B2588" s="1" t="n">
        <v>45715.74398148148</v>
      </c>
      <c r="C2588" s="1" t="n">
        <v>46093</v>
      </c>
      <c r="D2588" t="inlineStr">
        <is>
          <t>ÖSTERGÖTLANDS LÄN</t>
        </is>
      </c>
      <c r="E2588" t="inlineStr">
        <is>
          <t>FINSPÅNG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4236-2024</t>
        </is>
      </c>
      <c r="B2589" s="1" t="n">
        <v>45324.44579861111</v>
      </c>
      <c r="C2589" s="1" t="n">
        <v>46093</v>
      </c>
      <c r="D2589" t="inlineStr">
        <is>
          <t>ÖSTERGÖTLANDS LÄN</t>
        </is>
      </c>
      <c r="E2589" t="inlineStr">
        <is>
          <t>KINDA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42289-2025</t>
        </is>
      </c>
      <c r="B2590" s="1" t="n">
        <v>45904.62306712963</v>
      </c>
      <c r="C2590" s="1" t="n">
        <v>46093</v>
      </c>
      <c r="D2590" t="inlineStr">
        <is>
          <t>ÖSTERGÖTLANDS LÄN</t>
        </is>
      </c>
      <c r="E2590" t="inlineStr">
        <is>
          <t>FINSPÅNG</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9722-2025</t>
        </is>
      </c>
      <c r="B2591" s="1" t="n">
        <v>45716.40918981482</v>
      </c>
      <c r="C2591" s="1" t="n">
        <v>46093</v>
      </c>
      <c r="D2591" t="inlineStr">
        <is>
          <t>ÖSTERGÖTLANDS LÄN</t>
        </is>
      </c>
      <c r="E2591" t="inlineStr">
        <is>
          <t>NORRKÖPING</t>
        </is>
      </c>
      <c r="F2591" t="inlineStr">
        <is>
          <t>Holmen skog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32648-2023</t>
        </is>
      </c>
      <c r="B2592" s="1" t="n">
        <v>45121</v>
      </c>
      <c r="C2592" s="1" t="n">
        <v>46093</v>
      </c>
      <c r="D2592" t="inlineStr">
        <is>
          <t>ÖSTERGÖTLANDS LÄN</t>
        </is>
      </c>
      <c r="E2592" t="inlineStr">
        <is>
          <t>NORRKÖPING</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4742-2022</t>
        </is>
      </c>
      <c r="B2593" s="1" t="n">
        <v>44592.57141203704</v>
      </c>
      <c r="C2593" s="1" t="n">
        <v>46093</v>
      </c>
      <c r="D2593" t="inlineStr">
        <is>
          <t>ÖSTERGÖTLANDS LÄN</t>
        </is>
      </c>
      <c r="E2593" t="inlineStr">
        <is>
          <t>VALDEMARSVIK</t>
        </is>
      </c>
      <c r="G2593" t="n">
        <v>11.6</v>
      </c>
      <c r="H2593" t="n">
        <v>0</v>
      </c>
      <c r="I2593" t="n">
        <v>0</v>
      </c>
      <c r="J2593" t="n">
        <v>0</v>
      </c>
      <c r="K2593" t="n">
        <v>0</v>
      </c>
      <c r="L2593" t="n">
        <v>0</v>
      </c>
      <c r="M2593" t="n">
        <v>0</v>
      </c>
      <c r="N2593" t="n">
        <v>0</v>
      </c>
      <c r="O2593" t="n">
        <v>0</v>
      </c>
      <c r="P2593" t="n">
        <v>0</v>
      </c>
      <c r="Q2593" t="n">
        <v>0</v>
      </c>
      <c r="R2593" s="2" t="inlineStr"/>
    </row>
    <row r="2594" ht="15" customHeight="1">
      <c r="A2594" t="inlineStr">
        <is>
          <t>A 37179-2022</t>
        </is>
      </c>
      <c r="B2594" s="1" t="n">
        <v>44806</v>
      </c>
      <c r="C2594" s="1" t="n">
        <v>46093</v>
      </c>
      <c r="D2594" t="inlineStr">
        <is>
          <t>ÖSTERGÖTLANDS LÄN</t>
        </is>
      </c>
      <c r="E2594" t="inlineStr">
        <is>
          <t>ÅTVIDABERG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61690-2024</t>
        </is>
      </c>
      <c r="B2595" s="1" t="n">
        <v>45647.63283564815</v>
      </c>
      <c r="C2595" s="1" t="n">
        <v>46093</v>
      </c>
      <c r="D2595" t="inlineStr">
        <is>
          <t>ÖSTERGÖTLANDS LÄN</t>
        </is>
      </c>
      <c r="E2595" t="inlineStr">
        <is>
          <t>YDRE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61752-2024</t>
        </is>
      </c>
      <c r="B2596" s="1" t="n">
        <v>45649.39497685185</v>
      </c>
      <c r="C2596" s="1" t="n">
        <v>46093</v>
      </c>
      <c r="D2596" t="inlineStr">
        <is>
          <t>ÖSTERGÖTLANDS LÄN</t>
        </is>
      </c>
      <c r="E2596" t="inlineStr">
        <is>
          <t>YDRE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14028-2025</t>
        </is>
      </c>
      <c r="B2597" s="1" t="n">
        <v>45740.3552199074</v>
      </c>
      <c r="C2597" s="1" t="n">
        <v>46093</v>
      </c>
      <c r="D2597" t="inlineStr">
        <is>
          <t>ÖSTERGÖTLANDS LÄN</t>
        </is>
      </c>
      <c r="E2597" t="inlineStr">
        <is>
          <t>FINSPÅNG</t>
        </is>
      </c>
      <c r="F2597" t="inlineStr">
        <is>
          <t>Holmen skog AB</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42027-2025</t>
        </is>
      </c>
      <c r="B2598" s="1" t="n">
        <v>45903.59841435185</v>
      </c>
      <c r="C2598" s="1" t="n">
        <v>46093</v>
      </c>
      <c r="D2598" t="inlineStr">
        <is>
          <t>ÖSTERGÖTLANDS LÄN</t>
        </is>
      </c>
      <c r="E2598" t="inlineStr">
        <is>
          <t>FINSPÅNG</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42509-2025</t>
        </is>
      </c>
      <c r="B2599" s="1" t="n">
        <v>45904</v>
      </c>
      <c r="C2599" s="1" t="n">
        <v>46093</v>
      </c>
      <c r="D2599" t="inlineStr">
        <is>
          <t>ÖSTERGÖTLANDS LÄN</t>
        </is>
      </c>
      <c r="E2599" t="inlineStr">
        <is>
          <t>KINDA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11730-2022</t>
        </is>
      </c>
      <c r="B2600" s="1" t="n">
        <v>44634</v>
      </c>
      <c r="C2600" s="1" t="n">
        <v>46093</v>
      </c>
      <c r="D2600" t="inlineStr">
        <is>
          <t>ÖSTERGÖTLANDS LÄN</t>
        </is>
      </c>
      <c r="E2600" t="inlineStr">
        <is>
          <t>FINSPÅNG</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21244-2023</t>
        </is>
      </c>
      <c r="B2601" s="1" t="n">
        <v>45062.57160879629</v>
      </c>
      <c r="C2601" s="1" t="n">
        <v>46093</v>
      </c>
      <c r="D2601" t="inlineStr">
        <is>
          <t>ÖSTERGÖTLANDS LÄN</t>
        </is>
      </c>
      <c r="E2601" t="inlineStr">
        <is>
          <t>KINDA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42511-2025</t>
        </is>
      </c>
      <c r="B2602" s="1" t="n">
        <v>45904</v>
      </c>
      <c r="C2602" s="1" t="n">
        <v>46093</v>
      </c>
      <c r="D2602" t="inlineStr">
        <is>
          <t>ÖSTERGÖTLANDS LÄN</t>
        </is>
      </c>
      <c r="E2602" t="inlineStr">
        <is>
          <t>KINDA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42054-2022</t>
        </is>
      </c>
      <c r="B2603" s="1" t="n">
        <v>44830</v>
      </c>
      <c r="C2603" s="1" t="n">
        <v>46093</v>
      </c>
      <c r="D2603" t="inlineStr">
        <is>
          <t>ÖSTERGÖTLANDS LÄN</t>
        </is>
      </c>
      <c r="E2603" t="inlineStr">
        <is>
          <t>LINKÖPING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27798-2024</t>
        </is>
      </c>
      <c r="B2604" s="1" t="n">
        <v>45475.56472222223</v>
      </c>
      <c r="C2604" s="1" t="n">
        <v>46093</v>
      </c>
      <c r="D2604" t="inlineStr">
        <is>
          <t>ÖSTERGÖTLANDS LÄN</t>
        </is>
      </c>
      <c r="E2604" t="inlineStr">
        <is>
          <t>YDRE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42030-2025</t>
        </is>
      </c>
      <c r="B2605" s="1" t="n">
        <v>45903.60240740741</v>
      </c>
      <c r="C2605" s="1" t="n">
        <v>46093</v>
      </c>
      <c r="D2605" t="inlineStr">
        <is>
          <t>ÖSTERGÖTLANDS LÄN</t>
        </is>
      </c>
      <c r="E2605" t="inlineStr">
        <is>
          <t>FINSPÅNG</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53797-2023</t>
        </is>
      </c>
      <c r="B2606" s="1" t="n">
        <v>45230</v>
      </c>
      <c r="C2606" s="1" t="n">
        <v>46093</v>
      </c>
      <c r="D2606" t="inlineStr">
        <is>
          <t>ÖSTERGÖTLANDS LÄN</t>
        </is>
      </c>
      <c r="E2606" t="inlineStr">
        <is>
          <t>LINKÖPING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12216-2022</t>
        </is>
      </c>
      <c r="B2607" s="1" t="n">
        <v>44637</v>
      </c>
      <c r="C2607" s="1" t="n">
        <v>46093</v>
      </c>
      <c r="D2607" t="inlineStr">
        <is>
          <t>ÖSTERGÖTLANDS LÄN</t>
        </is>
      </c>
      <c r="E2607" t="inlineStr">
        <is>
          <t>FINSPÅNG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42211-2025</t>
        </is>
      </c>
      <c r="B2608" s="1" t="n">
        <v>45904.50119212963</v>
      </c>
      <c r="C2608" s="1" t="n">
        <v>46093</v>
      </c>
      <c r="D2608" t="inlineStr">
        <is>
          <t>ÖSTERGÖTLANDS LÄN</t>
        </is>
      </c>
      <c r="E2608" t="inlineStr">
        <is>
          <t>SÖDERKÖPING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42214-2025</t>
        </is>
      </c>
      <c r="B2609" s="1" t="n">
        <v>45904</v>
      </c>
      <c r="C2609" s="1" t="n">
        <v>46093</v>
      </c>
      <c r="D2609" t="inlineStr">
        <is>
          <t>ÖSTERGÖTLANDS LÄN</t>
        </is>
      </c>
      <c r="E2609" t="inlineStr">
        <is>
          <t>SÖDERKÖPING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42219-2025</t>
        </is>
      </c>
      <c r="B2610" s="1" t="n">
        <v>45904.52766203704</v>
      </c>
      <c r="C2610" s="1" t="n">
        <v>46093</v>
      </c>
      <c r="D2610" t="inlineStr">
        <is>
          <t>ÖSTERGÖTLANDS LÄN</t>
        </is>
      </c>
      <c r="E2610" t="inlineStr">
        <is>
          <t>SÖDERKÖPING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21178-2024</t>
        </is>
      </c>
      <c r="B2611" s="1" t="n">
        <v>45440.46841435185</v>
      </c>
      <c r="C2611" s="1" t="n">
        <v>46093</v>
      </c>
      <c r="D2611" t="inlineStr">
        <is>
          <t>ÖSTERGÖTLANDS LÄN</t>
        </is>
      </c>
      <c r="E2611" t="inlineStr">
        <is>
          <t>SÖDERKÖPING</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42255-2025</t>
        </is>
      </c>
      <c r="B2612" s="1" t="n">
        <v>45904.58920138889</v>
      </c>
      <c r="C2612" s="1" t="n">
        <v>46093</v>
      </c>
      <c r="D2612" t="inlineStr">
        <is>
          <t>ÖSTERGÖTLANDS LÄN</t>
        </is>
      </c>
      <c r="E2612" t="inlineStr">
        <is>
          <t>FINSPÅNG</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25490-2023</t>
        </is>
      </c>
      <c r="B2613" s="1" t="n">
        <v>45082</v>
      </c>
      <c r="C2613" s="1" t="n">
        <v>46093</v>
      </c>
      <c r="D2613" t="inlineStr">
        <is>
          <t>ÖSTERGÖTLANDS LÄN</t>
        </is>
      </c>
      <c r="E2613" t="inlineStr">
        <is>
          <t>KINDA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2418-2025</t>
        </is>
      </c>
      <c r="B2614" s="1" t="n">
        <v>45674.3837037037</v>
      </c>
      <c r="C2614" s="1" t="n">
        <v>46093</v>
      </c>
      <c r="D2614" t="inlineStr">
        <is>
          <t>ÖSTERGÖTLANDS LÄN</t>
        </is>
      </c>
      <c r="E2614" t="inlineStr">
        <is>
          <t>MJÖLBY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1284-2025</t>
        </is>
      </c>
      <c r="B2615" s="1" t="n">
        <v>45667.50155092592</v>
      </c>
      <c r="C2615" s="1" t="n">
        <v>46093</v>
      </c>
      <c r="D2615" t="inlineStr">
        <is>
          <t>ÖSTERGÖTLANDS LÄN</t>
        </is>
      </c>
      <c r="E2615" t="inlineStr">
        <is>
          <t>VALDEMARSVIK</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1320-2025</t>
        </is>
      </c>
      <c r="B2616" s="1" t="n">
        <v>45667.56914351852</v>
      </c>
      <c r="C2616" s="1" t="n">
        <v>46093</v>
      </c>
      <c r="D2616" t="inlineStr">
        <is>
          <t>ÖSTERGÖTLANDS LÄN</t>
        </is>
      </c>
      <c r="E2616" t="inlineStr">
        <is>
          <t>VALDEMARSVIK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27744-2024</t>
        </is>
      </c>
      <c r="B2617" s="1" t="n">
        <v>45475</v>
      </c>
      <c r="C2617" s="1" t="n">
        <v>46093</v>
      </c>
      <c r="D2617" t="inlineStr">
        <is>
          <t>ÖSTERGÖTLANDS LÄN</t>
        </is>
      </c>
      <c r="E2617" t="inlineStr">
        <is>
          <t>ÅTVIDABERG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27745-2024</t>
        </is>
      </c>
      <c r="B2618" s="1" t="n">
        <v>45475</v>
      </c>
      <c r="C2618" s="1" t="n">
        <v>46093</v>
      </c>
      <c r="D2618" t="inlineStr">
        <is>
          <t>ÖSTERGÖTLANDS LÄN</t>
        </is>
      </c>
      <c r="E2618" t="inlineStr">
        <is>
          <t>ÅTVIDABERG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22002-2025</t>
        </is>
      </c>
      <c r="B2619" s="1" t="n">
        <v>45784.70443287037</v>
      </c>
      <c r="C2619" s="1" t="n">
        <v>46093</v>
      </c>
      <c r="D2619" t="inlineStr">
        <is>
          <t>ÖSTERGÖTLANDS LÄN</t>
        </is>
      </c>
      <c r="E2619" t="inlineStr">
        <is>
          <t>KINDA</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41933-2025</t>
        </is>
      </c>
      <c r="B2620" s="1" t="n">
        <v>45903.43489583334</v>
      </c>
      <c r="C2620" s="1" t="n">
        <v>46093</v>
      </c>
      <c r="D2620" t="inlineStr">
        <is>
          <t>ÖSTERGÖTLANDS LÄN</t>
        </is>
      </c>
      <c r="E2620" t="inlineStr">
        <is>
          <t>NORRKÖPING</t>
        </is>
      </c>
      <c r="F2620" t="inlineStr">
        <is>
          <t>Holmen skog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3008-2023</t>
        </is>
      </c>
      <c r="B2621" s="1" t="n">
        <v>44945.79784722222</v>
      </c>
      <c r="C2621" s="1" t="n">
        <v>46093</v>
      </c>
      <c r="D2621" t="inlineStr">
        <is>
          <t>ÖSTERGÖTLANDS LÄN</t>
        </is>
      </c>
      <c r="E2621" t="inlineStr">
        <is>
          <t>LINKÖPING</t>
        </is>
      </c>
      <c r="G2621" t="n">
        <v>19.3</v>
      </c>
      <c r="H2621" t="n">
        <v>0</v>
      </c>
      <c r="I2621" t="n">
        <v>0</v>
      </c>
      <c r="J2621" t="n">
        <v>0</v>
      </c>
      <c r="K2621" t="n">
        <v>0</v>
      </c>
      <c r="L2621" t="n">
        <v>0</v>
      </c>
      <c r="M2621" t="n">
        <v>0</v>
      </c>
      <c r="N2621" t="n">
        <v>0</v>
      </c>
      <c r="O2621" t="n">
        <v>0</v>
      </c>
      <c r="P2621" t="n">
        <v>0</v>
      </c>
      <c r="Q2621" t="n">
        <v>0</v>
      </c>
      <c r="R2621" s="2" t="inlineStr"/>
    </row>
    <row r="2622" ht="15" customHeight="1">
      <c r="A2622" t="inlineStr">
        <is>
          <t>A 56859-2024</t>
        </is>
      </c>
      <c r="B2622" s="1" t="n">
        <v>45628.54787037037</v>
      </c>
      <c r="C2622" s="1" t="n">
        <v>46093</v>
      </c>
      <c r="D2622" t="inlineStr">
        <is>
          <t>ÖSTERGÖTLANDS LÄN</t>
        </is>
      </c>
      <c r="E2622" t="inlineStr">
        <is>
          <t>VALDEMARSVIK</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42033-2025</t>
        </is>
      </c>
      <c r="B2623" s="1" t="n">
        <v>45903.60679398148</v>
      </c>
      <c r="C2623" s="1" t="n">
        <v>46093</v>
      </c>
      <c r="D2623" t="inlineStr">
        <is>
          <t>ÖSTERGÖTLANDS LÄN</t>
        </is>
      </c>
      <c r="E2623" t="inlineStr">
        <is>
          <t>FINSPÅNG</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17071-2025</t>
        </is>
      </c>
      <c r="B2624" s="1" t="n">
        <v>45755.61784722222</v>
      </c>
      <c r="C2624" s="1" t="n">
        <v>46093</v>
      </c>
      <c r="D2624" t="inlineStr">
        <is>
          <t>ÖSTERGÖTLANDS LÄN</t>
        </is>
      </c>
      <c r="E2624" t="inlineStr">
        <is>
          <t>KINDA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3116-2022</t>
        </is>
      </c>
      <c r="B2625" s="1" t="n">
        <v>44582</v>
      </c>
      <c r="C2625" s="1" t="n">
        <v>46093</v>
      </c>
      <c r="D2625" t="inlineStr">
        <is>
          <t>ÖSTERGÖTLANDS LÄN</t>
        </is>
      </c>
      <c r="E2625" t="inlineStr">
        <is>
          <t>NORRKÖPING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52238-2023</t>
        </is>
      </c>
      <c r="B2626" s="1" t="n">
        <v>45224</v>
      </c>
      <c r="C2626" s="1" t="n">
        <v>46093</v>
      </c>
      <c r="D2626" t="inlineStr">
        <is>
          <t>ÖSTERGÖTLANDS LÄN</t>
        </is>
      </c>
      <c r="E2626" t="inlineStr">
        <is>
          <t>ÅTVIDABERG</t>
        </is>
      </c>
      <c r="F2626" t="inlineStr">
        <is>
          <t>Sveaskog</t>
        </is>
      </c>
      <c r="G2626" t="n">
        <v>9.199999999999999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52302-2023</t>
        </is>
      </c>
      <c r="B2627" s="1" t="n">
        <v>45224</v>
      </c>
      <c r="C2627" s="1" t="n">
        <v>46093</v>
      </c>
      <c r="D2627" t="inlineStr">
        <is>
          <t>ÖSTERGÖTLANDS LÄN</t>
        </is>
      </c>
      <c r="E2627" t="inlineStr">
        <is>
          <t>MOTALA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59971-2024</t>
        </is>
      </c>
      <c r="B2628" s="1" t="n">
        <v>45642.36315972222</v>
      </c>
      <c r="C2628" s="1" t="n">
        <v>46093</v>
      </c>
      <c r="D2628" t="inlineStr">
        <is>
          <t>ÖSTERGÖTLANDS LÄN</t>
        </is>
      </c>
      <c r="E2628" t="inlineStr">
        <is>
          <t>FINSPÅNG</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48243-2024</t>
        </is>
      </c>
      <c r="B2629" s="1" t="n">
        <v>45590.39403935185</v>
      </c>
      <c r="C2629" s="1" t="n">
        <v>46093</v>
      </c>
      <c r="D2629" t="inlineStr">
        <is>
          <t>ÖSTERGÖTLANDS LÄN</t>
        </is>
      </c>
      <c r="E2629" t="inlineStr">
        <is>
          <t>VALDEMARSVIK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48520-2024</t>
        </is>
      </c>
      <c r="B2630" s="1" t="n">
        <v>45593.32488425926</v>
      </c>
      <c r="C2630" s="1" t="n">
        <v>46093</v>
      </c>
      <c r="D2630" t="inlineStr">
        <is>
          <t>ÖSTERGÖTLANDS LÄN</t>
        </is>
      </c>
      <c r="E2630" t="inlineStr">
        <is>
          <t>KINDA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22813-2024</t>
        </is>
      </c>
      <c r="B2631" s="1" t="n">
        <v>45448.52539351852</v>
      </c>
      <c r="C2631" s="1" t="n">
        <v>46093</v>
      </c>
      <c r="D2631" t="inlineStr">
        <is>
          <t>ÖSTERGÖTLANDS LÄN</t>
        </is>
      </c>
      <c r="E2631" t="inlineStr">
        <is>
          <t>KINDA</t>
        </is>
      </c>
      <c r="F2631" t="inlineStr">
        <is>
          <t>Allmännings- och besparingsskogar</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42903-2025</t>
        </is>
      </c>
      <c r="B2632" s="1" t="n">
        <v>45908.68037037037</v>
      </c>
      <c r="C2632" s="1" t="n">
        <v>46093</v>
      </c>
      <c r="D2632" t="inlineStr">
        <is>
          <t>ÖSTERGÖTLANDS LÄN</t>
        </is>
      </c>
      <c r="E2632" t="inlineStr">
        <is>
          <t>BOXHOLM</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59779-2022</t>
        </is>
      </c>
      <c r="B2633" s="1" t="n">
        <v>44908.53690972222</v>
      </c>
      <c r="C2633" s="1" t="n">
        <v>46093</v>
      </c>
      <c r="D2633" t="inlineStr">
        <is>
          <t>ÖSTERGÖTLANDS LÄN</t>
        </is>
      </c>
      <c r="E2633" t="inlineStr">
        <is>
          <t>BOXHOLM</t>
        </is>
      </c>
      <c r="F2633" t="inlineStr">
        <is>
          <t>Övriga Aktiebolag</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16974-2025</t>
        </is>
      </c>
      <c r="B2634" s="1" t="n">
        <v>45755.47313657407</v>
      </c>
      <c r="C2634" s="1" t="n">
        <v>46093</v>
      </c>
      <c r="D2634" t="inlineStr">
        <is>
          <t>ÖSTERGÖTLANDS LÄN</t>
        </is>
      </c>
      <c r="E2634" t="inlineStr">
        <is>
          <t>ÅTVIDABERG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42623-2025</t>
        </is>
      </c>
      <c r="B2635" s="1" t="n">
        <v>45905</v>
      </c>
      <c r="C2635" s="1" t="n">
        <v>46093</v>
      </c>
      <c r="D2635" t="inlineStr">
        <is>
          <t>ÖSTERGÖTLANDS LÄN</t>
        </is>
      </c>
      <c r="E2635" t="inlineStr">
        <is>
          <t>LINKÖPING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45651-2023</t>
        </is>
      </c>
      <c r="B2636" s="1" t="n">
        <v>45194.71233796296</v>
      </c>
      <c r="C2636" s="1" t="n">
        <v>46093</v>
      </c>
      <c r="D2636" t="inlineStr">
        <is>
          <t>ÖSTERGÖTLANDS LÄN</t>
        </is>
      </c>
      <c r="E2636" t="inlineStr">
        <is>
          <t>ÖDESHÖG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42817-2025</t>
        </is>
      </c>
      <c r="B2637" s="1" t="n">
        <v>45908.56493055556</v>
      </c>
      <c r="C2637" s="1" t="n">
        <v>46093</v>
      </c>
      <c r="D2637" t="inlineStr">
        <is>
          <t>ÖSTERGÖTLANDS LÄN</t>
        </is>
      </c>
      <c r="E2637" t="inlineStr">
        <is>
          <t>FINSPÅNG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56192-2024</t>
        </is>
      </c>
      <c r="B2638" s="1" t="n">
        <v>45624.58550925926</v>
      </c>
      <c r="C2638" s="1" t="n">
        <v>46093</v>
      </c>
      <c r="D2638" t="inlineStr">
        <is>
          <t>ÖSTERGÖTLANDS LÄN</t>
        </is>
      </c>
      <c r="E2638" t="inlineStr">
        <is>
          <t>FINSPÅNG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7925-2022</t>
        </is>
      </c>
      <c r="B2639" s="1" t="n">
        <v>44608.74425925926</v>
      </c>
      <c r="C2639" s="1" t="n">
        <v>46093</v>
      </c>
      <c r="D2639" t="inlineStr">
        <is>
          <t>ÖSTERGÖTLANDS LÄN</t>
        </is>
      </c>
      <c r="E2639" t="inlineStr">
        <is>
          <t>MOTALA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7927-2022</t>
        </is>
      </c>
      <c r="B2640" s="1" t="n">
        <v>44608.74908564815</v>
      </c>
      <c r="C2640" s="1" t="n">
        <v>46093</v>
      </c>
      <c r="D2640" t="inlineStr">
        <is>
          <t>ÖSTERGÖTLANDS LÄN</t>
        </is>
      </c>
      <c r="E2640" t="inlineStr">
        <is>
          <t>MOTALA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42479-2025</t>
        </is>
      </c>
      <c r="B2641" s="1" t="n">
        <v>45905.47065972222</v>
      </c>
      <c r="C2641" s="1" t="n">
        <v>46093</v>
      </c>
      <c r="D2641" t="inlineStr">
        <is>
          <t>ÖSTERGÖTLANDS LÄN</t>
        </is>
      </c>
      <c r="E2641" t="inlineStr">
        <is>
          <t>FINSPÅNG</t>
        </is>
      </c>
      <c r="F2641" t="inlineStr">
        <is>
          <t>Holmen skog AB</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14645-2022</t>
        </is>
      </c>
      <c r="B2642" s="1" t="n">
        <v>44655</v>
      </c>
      <c r="C2642" s="1" t="n">
        <v>46093</v>
      </c>
      <c r="D2642" t="inlineStr">
        <is>
          <t>ÖSTERGÖTLANDS LÄN</t>
        </is>
      </c>
      <c r="E2642" t="inlineStr">
        <is>
          <t>YDRE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6411-2025</t>
        </is>
      </c>
      <c r="B2643" s="1" t="n">
        <v>45699.45978009259</v>
      </c>
      <c r="C2643" s="1" t="n">
        <v>46093</v>
      </c>
      <c r="D2643" t="inlineStr">
        <is>
          <t>ÖSTERGÖTLANDS LÄN</t>
        </is>
      </c>
      <c r="E2643" t="inlineStr">
        <is>
          <t>KINDA</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18432-2025</t>
        </is>
      </c>
      <c r="B2644" s="1" t="n">
        <v>45762</v>
      </c>
      <c r="C2644" s="1" t="n">
        <v>46093</v>
      </c>
      <c r="D2644" t="inlineStr">
        <is>
          <t>ÖSTERGÖTLANDS LÄN</t>
        </is>
      </c>
      <c r="E2644" t="inlineStr">
        <is>
          <t>YDRE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24023-2024</t>
        </is>
      </c>
      <c r="B2645" s="1" t="n">
        <v>45456.44684027778</v>
      </c>
      <c r="C2645" s="1" t="n">
        <v>46093</v>
      </c>
      <c r="D2645" t="inlineStr">
        <is>
          <t>ÖSTERGÖTLANDS LÄN</t>
        </is>
      </c>
      <c r="E2645" t="inlineStr">
        <is>
          <t>KINDA</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30388-2024</t>
        </is>
      </c>
      <c r="B2646" s="1" t="n">
        <v>45491</v>
      </c>
      <c r="C2646" s="1" t="n">
        <v>46093</v>
      </c>
      <c r="D2646" t="inlineStr">
        <is>
          <t>ÖSTERGÖTLANDS LÄN</t>
        </is>
      </c>
      <c r="E2646" t="inlineStr">
        <is>
          <t>ÖDESHÖG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45237-2024</t>
        </is>
      </c>
      <c r="B2647" s="1" t="n">
        <v>45575.87788194444</v>
      </c>
      <c r="C2647" s="1" t="n">
        <v>46093</v>
      </c>
      <c r="D2647" t="inlineStr">
        <is>
          <t>ÖSTERGÖTLANDS LÄN</t>
        </is>
      </c>
      <c r="E2647" t="inlineStr">
        <is>
          <t>MOTALA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50277-2024</t>
        </is>
      </c>
      <c r="B2648" s="1" t="n">
        <v>45600.60440972223</v>
      </c>
      <c r="C2648" s="1" t="n">
        <v>46093</v>
      </c>
      <c r="D2648" t="inlineStr">
        <is>
          <t>ÖSTERGÖTLANDS LÄN</t>
        </is>
      </c>
      <c r="E2648" t="inlineStr">
        <is>
          <t>VADSTENA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7762-2025</t>
        </is>
      </c>
      <c r="B2649" s="1" t="n">
        <v>45706.54385416667</v>
      </c>
      <c r="C2649" s="1" t="n">
        <v>46093</v>
      </c>
      <c r="D2649" t="inlineStr">
        <is>
          <t>ÖSTERGÖTLANDS LÄN</t>
        </is>
      </c>
      <c r="E2649" t="inlineStr">
        <is>
          <t>NORRKÖPING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450-2023</t>
        </is>
      </c>
      <c r="B2650" s="1" t="n">
        <v>44929.83774305556</v>
      </c>
      <c r="C2650" s="1" t="n">
        <v>46093</v>
      </c>
      <c r="D2650" t="inlineStr">
        <is>
          <t>ÖSTERGÖTLANDS LÄN</t>
        </is>
      </c>
      <c r="E2650" t="inlineStr">
        <is>
          <t>ÅTVIDABERG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2231-2025</t>
        </is>
      </c>
      <c r="B2651" s="1" t="n">
        <v>45673.47716435185</v>
      </c>
      <c r="C2651" s="1" t="n">
        <v>46093</v>
      </c>
      <c r="D2651" t="inlineStr">
        <is>
          <t>ÖSTERGÖTLANDS LÄN</t>
        </is>
      </c>
      <c r="E2651" t="inlineStr">
        <is>
          <t>MJÖLBY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61946-2022</t>
        </is>
      </c>
      <c r="B2652" s="1" t="n">
        <v>44918.32740740741</v>
      </c>
      <c r="C2652" s="1" t="n">
        <v>46093</v>
      </c>
      <c r="D2652" t="inlineStr">
        <is>
          <t>ÖSTERGÖTLANDS LÄN</t>
        </is>
      </c>
      <c r="E2652" t="inlineStr">
        <is>
          <t>KINDA</t>
        </is>
      </c>
      <c r="G2652" t="n">
        <v>11.6</v>
      </c>
      <c r="H2652" t="n">
        <v>0</v>
      </c>
      <c r="I2652" t="n">
        <v>0</v>
      </c>
      <c r="J2652" t="n">
        <v>0</v>
      </c>
      <c r="K2652" t="n">
        <v>0</v>
      </c>
      <c r="L2652" t="n">
        <v>0</v>
      </c>
      <c r="M2652" t="n">
        <v>0</v>
      </c>
      <c r="N2652" t="n">
        <v>0</v>
      </c>
      <c r="O2652" t="n">
        <v>0</v>
      </c>
      <c r="P2652" t="n">
        <v>0</v>
      </c>
      <c r="Q2652" t="n">
        <v>0</v>
      </c>
      <c r="R2652" s="2" t="inlineStr"/>
    </row>
    <row r="2653" ht="15" customHeight="1">
      <c r="A2653" t="inlineStr">
        <is>
          <t>A 61949-2022</t>
        </is>
      </c>
      <c r="B2653" s="1" t="n">
        <v>44918.33414351852</v>
      </c>
      <c r="C2653" s="1" t="n">
        <v>46093</v>
      </c>
      <c r="D2653" t="inlineStr">
        <is>
          <t>ÖSTERGÖTLANDS LÄN</t>
        </is>
      </c>
      <c r="E2653" t="inlineStr">
        <is>
          <t>KINDA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61962-2022</t>
        </is>
      </c>
      <c r="B2654" s="1" t="n">
        <v>44918</v>
      </c>
      <c r="C2654" s="1" t="n">
        <v>46093</v>
      </c>
      <c r="D2654" t="inlineStr">
        <is>
          <t>ÖSTERGÖTLANDS LÄN</t>
        </is>
      </c>
      <c r="E2654" t="inlineStr">
        <is>
          <t>KINDA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22974-2025</t>
        </is>
      </c>
      <c r="B2655" s="1" t="n">
        <v>45790.56094907408</v>
      </c>
      <c r="C2655" s="1" t="n">
        <v>46093</v>
      </c>
      <c r="D2655" t="inlineStr">
        <is>
          <t>ÖSTERGÖTLANDS LÄN</t>
        </is>
      </c>
      <c r="E2655" t="inlineStr">
        <is>
          <t>VALDEMARSVIK</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42459-2025</t>
        </is>
      </c>
      <c r="B2656" s="1" t="n">
        <v>45905.45561342593</v>
      </c>
      <c r="C2656" s="1" t="n">
        <v>46093</v>
      </c>
      <c r="D2656" t="inlineStr">
        <is>
          <t>ÖSTERGÖTLANDS LÄN</t>
        </is>
      </c>
      <c r="E2656" t="inlineStr">
        <is>
          <t>FINSPÅNG</t>
        </is>
      </c>
      <c r="F2656" t="inlineStr">
        <is>
          <t>Holmen skog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42771-2025</t>
        </is>
      </c>
      <c r="B2657" s="1" t="n">
        <v>45908.48112268518</v>
      </c>
      <c r="C2657" s="1" t="n">
        <v>46093</v>
      </c>
      <c r="D2657" t="inlineStr">
        <is>
          <t>ÖSTERGÖTLANDS LÄN</t>
        </is>
      </c>
      <c r="E2657" t="inlineStr">
        <is>
          <t>VALDEMARSVIK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55736-2022</t>
        </is>
      </c>
      <c r="B2658" s="1" t="n">
        <v>44888</v>
      </c>
      <c r="C2658" s="1" t="n">
        <v>46093</v>
      </c>
      <c r="D2658" t="inlineStr">
        <is>
          <t>ÖSTERGÖTLANDS LÄN</t>
        </is>
      </c>
      <c r="E2658" t="inlineStr">
        <is>
          <t>LINKÖPING</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43391-2023</t>
        </is>
      </c>
      <c r="B2659" s="1" t="n">
        <v>45183.87577546296</v>
      </c>
      <c r="C2659" s="1" t="n">
        <v>46093</v>
      </c>
      <c r="D2659" t="inlineStr">
        <is>
          <t>ÖSTERGÖTLANDS LÄN</t>
        </is>
      </c>
      <c r="E2659" t="inlineStr">
        <is>
          <t>ÅTVIDABERG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41533-2024</t>
        </is>
      </c>
      <c r="B2660" s="1" t="n">
        <v>45560</v>
      </c>
      <c r="C2660" s="1" t="n">
        <v>46093</v>
      </c>
      <c r="D2660" t="inlineStr">
        <is>
          <t>ÖSTERGÖTLANDS LÄN</t>
        </is>
      </c>
      <c r="E2660" t="inlineStr">
        <is>
          <t>FINSPÅNG</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3149-2024</t>
        </is>
      </c>
      <c r="B2661" s="1" t="n">
        <v>45316</v>
      </c>
      <c r="C2661" s="1" t="n">
        <v>46093</v>
      </c>
      <c r="D2661" t="inlineStr">
        <is>
          <t>ÖSTERGÖTLANDS LÄN</t>
        </is>
      </c>
      <c r="E2661" t="inlineStr">
        <is>
          <t>ÖDESHÖG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22833-2023</t>
        </is>
      </c>
      <c r="B2662" s="1" t="n">
        <v>45071</v>
      </c>
      <c r="C2662" s="1" t="n">
        <v>46093</v>
      </c>
      <c r="D2662" t="inlineStr">
        <is>
          <t>ÖSTERGÖTLANDS LÄN</t>
        </is>
      </c>
      <c r="E2662" t="inlineStr">
        <is>
          <t>LINKÖPING</t>
        </is>
      </c>
      <c r="F2662" t="inlineStr">
        <is>
          <t>Kommuner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37068-2024</t>
        </is>
      </c>
      <c r="B2663" s="1" t="n">
        <v>45539.46399305556</v>
      </c>
      <c r="C2663" s="1" t="n">
        <v>46093</v>
      </c>
      <c r="D2663" t="inlineStr">
        <is>
          <t>ÖSTERGÖTLANDS LÄN</t>
        </is>
      </c>
      <c r="E2663" t="inlineStr">
        <is>
          <t>KINDA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42432-2025</t>
        </is>
      </c>
      <c r="B2664" s="1" t="n">
        <v>45905.42600694444</v>
      </c>
      <c r="C2664" s="1" t="n">
        <v>46093</v>
      </c>
      <c r="D2664" t="inlineStr">
        <is>
          <t>ÖSTERGÖTLANDS LÄN</t>
        </is>
      </c>
      <c r="E2664" t="inlineStr">
        <is>
          <t>FINSPÅNG</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18349-2025</t>
        </is>
      </c>
      <c r="B2665" s="1" t="n">
        <v>45762.53134259259</v>
      </c>
      <c r="C2665" s="1" t="n">
        <v>46093</v>
      </c>
      <c r="D2665" t="inlineStr">
        <is>
          <t>ÖSTERGÖTLANDS LÄN</t>
        </is>
      </c>
      <c r="E2665" t="inlineStr">
        <is>
          <t>FINSPÅNG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18370-2025</t>
        </is>
      </c>
      <c r="B2666" s="1" t="n">
        <v>45762</v>
      </c>
      <c r="C2666" s="1" t="n">
        <v>46093</v>
      </c>
      <c r="D2666" t="inlineStr">
        <is>
          <t>ÖSTERGÖTLANDS LÄN</t>
        </is>
      </c>
      <c r="E2666" t="inlineStr">
        <is>
          <t>FINSPÅNG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47959-2023</t>
        </is>
      </c>
      <c r="B2667" s="1" t="n">
        <v>45204.59734953703</v>
      </c>
      <c r="C2667" s="1" t="n">
        <v>46093</v>
      </c>
      <c r="D2667" t="inlineStr">
        <is>
          <t>ÖSTERGÖTLANDS LÄN</t>
        </is>
      </c>
      <c r="E2667" t="inlineStr">
        <is>
          <t>VALDEMARSVIK</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20254-2023</t>
        </is>
      </c>
      <c r="B2668" s="1" t="n">
        <v>45055</v>
      </c>
      <c r="C2668" s="1" t="n">
        <v>46093</v>
      </c>
      <c r="D2668" t="inlineStr">
        <is>
          <t>ÖSTERGÖTLANDS LÄN</t>
        </is>
      </c>
      <c r="E2668" t="inlineStr">
        <is>
          <t>SÖDERKÖPING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17898-2022</t>
        </is>
      </c>
      <c r="B2669" s="1" t="n">
        <v>44683</v>
      </c>
      <c r="C2669" s="1" t="n">
        <v>46093</v>
      </c>
      <c r="D2669" t="inlineStr">
        <is>
          <t>ÖSTERGÖTLANDS LÄN</t>
        </is>
      </c>
      <c r="E2669" t="inlineStr">
        <is>
          <t>LINKÖPING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53616-2024</t>
        </is>
      </c>
      <c r="B2670" s="1" t="n">
        <v>45614.73055555556</v>
      </c>
      <c r="C2670" s="1" t="n">
        <v>46093</v>
      </c>
      <c r="D2670" t="inlineStr">
        <is>
          <t>ÖSTERGÖTLANDS LÄN</t>
        </is>
      </c>
      <c r="E2670" t="inlineStr">
        <is>
          <t>BOXHOLM</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42768-2025</t>
        </is>
      </c>
      <c r="B2671" s="1" t="n">
        <v>45908.47822916666</v>
      </c>
      <c r="C2671" s="1" t="n">
        <v>46093</v>
      </c>
      <c r="D2671" t="inlineStr">
        <is>
          <t>ÖSTERGÖTLANDS LÄN</t>
        </is>
      </c>
      <c r="E2671" t="inlineStr">
        <is>
          <t>SÖDERKÖPING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51178-2024</t>
        </is>
      </c>
      <c r="B2672" s="1" t="n">
        <v>45603.59828703704</v>
      </c>
      <c r="C2672" s="1" t="n">
        <v>46093</v>
      </c>
      <c r="D2672" t="inlineStr">
        <is>
          <t>ÖSTERGÖTLANDS LÄN</t>
        </is>
      </c>
      <c r="E2672" t="inlineStr">
        <is>
          <t>ÖDESHÖG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50979-2023</t>
        </is>
      </c>
      <c r="B2673" s="1" t="n">
        <v>45218.52611111111</v>
      </c>
      <c r="C2673" s="1" t="n">
        <v>46093</v>
      </c>
      <c r="D2673" t="inlineStr">
        <is>
          <t>ÖSTERGÖTLANDS LÄN</t>
        </is>
      </c>
      <c r="E2673" t="inlineStr">
        <is>
          <t>YDRE</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42624-2025</t>
        </is>
      </c>
      <c r="B2674" s="1" t="n">
        <v>45905</v>
      </c>
      <c r="C2674" s="1" t="n">
        <v>46093</v>
      </c>
      <c r="D2674" t="inlineStr">
        <is>
          <t>ÖSTERGÖTLANDS LÄN</t>
        </is>
      </c>
      <c r="E2674" t="inlineStr">
        <is>
          <t>LINKÖPING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42626-2025</t>
        </is>
      </c>
      <c r="B2675" s="1" t="n">
        <v>45905</v>
      </c>
      <c r="C2675" s="1" t="n">
        <v>46093</v>
      </c>
      <c r="D2675" t="inlineStr">
        <is>
          <t>ÖSTERGÖTLANDS LÄN</t>
        </is>
      </c>
      <c r="E2675" t="inlineStr">
        <is>
          <t>LINKÖPING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24682-2025</t>
        </is>
      </c>
      <c r="B2676" s="1" t="n">
        <v>45798.65913194444</v>
      </c>
      <c r="C2676" s="1" t="n">
        <v>46093</v>
      </c>
      <c r="D2676" t="inlineStr">
        <is>
          <t>ÖSTERGÖTLANDS LÄN</t>
        </is>
      </c>
      <c r="E2676" t="inlineStr">
        <is>
          <t>BOXHOLM</t>
        </is>
      </c>
      <c r="F2676" t="inlineStr">
        <is>
          <t>Kyrkan</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13976-2022</t>
        </is>
      </c>
      <c r="B2677" s="1" t="n">
        <v>44650.56546296296</v>
      </c>
      <c r="C2677" s="1" t="n">
        <v>46093</v>
      </c>
      <c r="D2677" t="inlineStr">
        <is>
          <t>ÖSTERGÖTLANDS LÄN</t>
        </is>
      </c>
      <c r="E2677" t="inlineStr">
        <is>
          <t>KINDA</t>
        </is>
      </c>
      <c r="F2677" t="inlineStr">
        <is>
          <t>Övriga Aktiebolag</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15872-2021</t>
        </is>
      </c>
      <c r="B2678" s="1" t="n">
        <v>44286.88952546296</v>
      </c>
      <c r="C2678" s="1" t="n">
        <v>46093</v>
      </c>
      <c r="D2678" t="inlineStr">
        <is>
          <t>ÖSTERGÖTLANDS LÄN</t>
        </is>
      </c>
      <c r="E2678" t="inlineStr">
        <is>
          <t>NORRKÖPING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62017-2024</t>
        </is>
      </c>
      <c r="B2679" s="1" t="n">
        <v>45655.81140046296</v>
      </c>
      <c r="C2679" s="1" t="n">
        <v>46093</v>
      </c>
      <c r="D2679" t="inlineStr">
        <is>
          <t>ÖSTERGÖTLANDS LÄN</t>
        </is>
      </c>
      <c r="E2679" t="inlineStr">
        <is>
          <t>LINKÖPING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42373-2025</t>
        </is>
      </c>
      <c r="B2680" s="1" t="n">
        <v>45905.33390046296</v>
      </c>
      <c r="C2680" s="1" t="n">
        <v>46093</v>
      </c>
      <c r="D2680" t="inlineStr">
        <is>
          <t>ÖSTERGÖTLANDS LÄN</t>
        </is>
      </c>
      <c r="E2680" t="inlineStr">
        <is>
          <t>FINSPÅNG</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49302-2021</t>
        </is>
      </c>
      <c r="B2681" s="1" t="n">
        <v>44454.49141203704</v>
      </c>
      <c r="C2681" s="1" t="n">
        <v>46093</v>
      </c>
      <c r="D2681" t="inlineStr">
        <is>
          <t>ÖSTERGÖTLANDS LÄN</t>
        </is>
      </c>
      <c r="E2681" t="inlineStr">
        <is>
          <t>VALDEMARSVIK</t>
        </is>
      </c>
      <c r="G2681" t="n">
        <v>14.6</v>
      </c>
      <c r="H2681" t="n">
        <v>0</v>
      </c>
      <c r="I2681" t="n">
        <v>0</v>
      </c>
      <c r="J2681" t="n">
        <v>0</v>
      </c>
      <c r="K2681" t="n">
        <v>0</v>
      </c>
      <c r="L2681" t="n">
        <v>0</v>
      </c>
      <c r="M2681" t="n">
        <v>0</v>
      </c>
      <c r="N2681" t="n">
        <v>0</v>
      </c>
      <c r="O2681" t="n">
        <v>0</v>
      </c>
      <c r="P2681" t="n">
        <v>0</v>
      </c>
      <c r="Q2681" t="n">
        <v>0</v>
      </c>
      <c r="R2681" s="2" t="inlineStr"/>
    </row>
    <row r="2682" ht="15" customHeight="1">
      <c r="A2682" t="inlineStr">
        <is>
          <t>A 37802-2022</t>
        </is>
      </c>
      <c r="B2682" s="1" t="n">
        <v>44810</v>
      </c>
      <c r="C2682" s="1" t="n">
        <v>46093</v>
      </c>
      <c r="D2682" t="inlineStr">
        <is>
          <t>ÖSTERGÖTLANDS LÄN</t>
        </is>
      </c>
      <c r="E2682" t="inlineStr">
        <is>
          <t>MJÖLBY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42375-2025</t>
        </is>
      </c>
      <c r="B2683" s="1" t="n">
        <v>45905.33846064815</v>
      </c>
      <c r="C2683" s="1" t="n">
        <v>46093</v>
      </c>
      <c r="D2683" t="inlineStr">
        <is>
          <t>ÖSTERGÖTLANDS LÄN</t>
        </is>
      </c>
      <c r="E2683" t="inlineStr">
        <is>
          <t>KINDA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35975-2025</t>
        </is>
      </c>
      <c r="B2684" s="1" t="n">
        <v>45863.43395833333</v>
      </c>
      <c r="C2684" s="1" t="n">
        <v>46093</v>
      </c>
      <c r="D2684" t="inlineStr">
        <is>
          <t>ÖSTERGÖTLANDS LÄN</t>
        </is>
      </c>
      <c r="E2684" t="inlineStr">
        <is>
          <t>KINDA</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26594-2023</t>
        </is>
      </c>
      <c r="B2685" s="1" t="n">
        <v>45092</v>
      </c>
      <c r="C2685" s="1" t="n">
        <v>46093</v>
      </c>
      <c r="D2685" t="inlineStr">
        <is>
          <t>ÖSTERGÖTLANDS LÄN</t>
        </is>
      </c>
      <c r="E2685" t="inlineStr">
        <is>
          <t>SÖDERKÖPING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47597-2023</t>
        </is>
      </c>
      <c r="B2686" s="1" t="n">
        <v>45203</v>
      </c>
      <c r="C2686" s="1" t="n">
        <v>46093</v>
      </c>
      <c r="D2686" t="inlineStr">
        <is>
          <t>ÖSTERGÖTLANDS LÄN</t>
        </is>
      </c>
      <c r="E2686" t="inlineStr">
        <is>
          <t>ÖDESHÖG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33680-2022</t>
        </is>
      </c>
      <c r="B2687" s="1" t="n">
        <v>44789</v>
      </c>
      <c r="C2687" s="1" t="n">
        <v>46093</v>
      </c>
      <c r="D2687" t="inlineStr">
        <is>
          <t>ÖSTERGÖTLANDS LÄN</t>
        </is>
      </c>
      <c r="E2687" t="inlineStr">
        <is>
          <t>YDRE</t>
        </is>
      </c>
      <c r="F2687" t="inlineStr">
        <is>
          <t>Sveaskog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47345-2023</t>
        </is>
      </c>
      <c r="B2688" s="1" t="n">
        <v>45202.56994212963</v>
      </c>
      <c r="C2688" s="1" t="n">
        <v>46093</v>
      </c>
      <c r="D2688" t="inlineStr">
        <is>
          <t>ÖSTERGÖTLANDS LÄN</t>
        </is>
      </c>
      <c r="E2688" t="inlineStr">
        <is>
          <t>NORRKÖPING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65921-2021</t>
        </is>
      </c>
      <c r="B2689" s="1" t="n">
        <v>44517</v>
      </c>
      <c r="C2689" s="1" t="n">
        <v>46093</v>
      </c>
      <c r="D2689" t="inlineStr">
        <is>
          <t>ÖSTERGÖTLANDS LÄN</t>
        </is>
      </c>
      <c r="E2689" t="inlineStr">
        <is>
          <t>MJÖLBY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42758-2025</t>
        </is>
      </c>
      <c r="B2690" s="1" t="n">
        <v>45908.46045138889</v>
      </c>
      <c r="C2690" s="1" t="n">
        <v>46093</v>
      </c>
      <c r="D2690" t="inlineStr">
        <is>
          <t>ÖSTERGÖTLANDS LÄN</t>
        </is>
      </c>
      <c r="E2690" t="inlineStr">
        <is>
          <t>NORRKÖPING</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1539-2025</t>
        </is>
      </c>
      <c r="B2691" s="1" t="n">
        <v>45670.49219907408</v>
      </c>
      <c r="C2691" s="1" t="n">
        <v>46093</v>
      </c>
      <c r="D2691" t="inlineStr">
        <is>
          <t>ÖSTERGÖTLANDS LÄN</t>
        </is>
      </c>
      <c r="E2691" t="inlineStr">
        <is>
          <t>BOXHOLM</t>
        </is>
      </c>
      <c r="F2691" t="inlineStr">
        <is>
          <t>Övriga Aktiebolag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15543-2025</t>
        </is>
      </c>
      <c r="B2692" s="1" t="n">
        <v>45747.65809027778</v>
      </c>
      <c r="C2692" s="1" t="n">
        <v>46093</v>
      </c>
      <c r="D2692" t="inlineStr">
        <is>
          <t>ÖSTERGÖTLANDS LÄN</t>
        </is>
      </c>
      <c r="E2692" t="inlineStr">
        <is>
          <t>MOTALA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22443-2025</t>
        </is>
      </c>
      <c r="B2693" s="1" t="n">
        <v>45786</v>
      </c>
      <c r="C2693" s="1" t="n">
        <v>46093</v>
      </c>
      <c r="D2693" t="inlineStr">
        <is>
          <t>ÖSTERGÖTLANDS LÄN</t>
        </is>
      </c>
      <c r="E2693" t="inlineStr">
        <is>
          <t>KINDA</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8445-2025</t>
        </is>
      </c>
      <c r="B2694" s="1" t="n">
        <v>45709</v>
      </c>
      <c r="C2694" s="1" t="n">
        <v>46093</v>
      </c>
      <c r="D2694" t="inlineStr">
        <is>
          <t>ÖSTERGÖTLANDS LÄN</t>
        </is>
      </c>
      <c r="E2694" t="inlineStr">
        <is>
          <t>YDRE</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42716-2025</t>
        </is>
      </c>
      <c r="B2695" s="1" t="n">
        <v>45908.38768518518</v>
      </c>
      <c r="C2695" s="1" t="n">
        <v>46093</v>
      </c>
      <c r="D2695" t="inlineStr">
        <is>
          <t>ÖSTERGÖTLANDS LÄN</t>
        </is>
      </c>
      <c r="E2695" t="inlineStr">
        <is>
          <t>SÖDERKÖPING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42766-2025</t>
        </is>
      </c>
      <c r="B2696" s="1" t="n">
        <v>45908.47244212963</v>
      </c>
      <c r="C2696" s="1" t="n">
        <v>46093</v>
      </c>
      <c r="D2696" t="inlineStr">
        <is>
          <t>ÖSTERGÖTLANDS LÄN</t>
        </is>
      </c>
      <c r="E2696" t="inlineStr">
        <is>
          <t>NORRKÖPING</t>
        </is>
      </c>
      <c r="F2696" t="inlineStr">
        <is>
          <t>Holmen skog AB</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28068-2024</t>
        </is>
      </c>
      <c r="B2697" s="1" t="n">
        <v>45476.57782407408</v>
      </c>
      <c r="C2697" s="1" t="n">
        <v>46093</v>
      </c>
      <c r="D2697" t="inlineStr">
        <is>
          <t>ÖSTERGÖTLANDS LÄN</t>
        </is>
      </c>
      <c r="E2697" t="inlineStr">
        <is>
          <t>KINDA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48091-2023</t>
        </is>
      </c>
      <c r="B2698" s="1" t="n">
        <v>45205.3119212963</v>
      </c>
      <c r="C2698" s="1" t="n">
        <v>46093</v>
      </c>
      <c r="D2698" t="inlineStr">
        <is>
          <t>ÖSTERGÖTLANDS LÄN</t>
        </is>
      </c>
      <c r="E2698" t="inlineStr">
        <is>
          <t>NORRKÖPING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48122-2023</t>
        </is>
      </c>
      <c r="B2699" s="1" t="n">
        <v>45205.35753472222</v>
      </c>
      <c r="C2699" s="1" t="n">
        <v>46093</v>
      </c>
      <c r="D2699" t="inlineStr">
        <is>
          <t>ÖSTERGÖTLANDS LÄN</t>
        </is>
      </c>
      <c r="E2699" t="inlineStr">
        <is>
          <t>NORRKÖPING</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42767-2025</t>
        </is>
      </c>
      <c r="B2700" s="1" t="n">
        <v>45907</v>
      </c>
      <c r="C2700" s="1" t="n">
        <v>46093</v>
      </c>
      <c r="D2700" t="inlineStr">
        <is>
          <t>ÖSTERGÖTLANDS LÄN</t>
        </is>
      </c>
      <c r="E2700" t="inlineStr">
        <is>
          <t>YDRE</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42772-2025</t>
        </is>
      </c>
      <c r="B2701" s="1" t="n">
        <v>45908.48502314815</v>
      </c>
      <c r="C2701" s="1" t="n">
        <v>46093</v>
      </c>
      <c r="D2701" t="inlineStr">
        <is>
          <t>ÖSTERGÖTLANDS LÄN</t>
        </is>
      </c>
      <c r="E2701" t="inlineStr">
        <is>
          <t>VALDEMARSVIK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4271-2025</t>
        </is>
      </c>
      <c r="B2702" s="1" t="n">
        <v>45685.62975694444</v>
      </c>
      <c r="C2702" s="1" t="n">
        <v>46093</v>
      </c>
      <c r="D2702" t="inlineStr">
        <is>
          <t>ÖSTERGÖTLANDS LÄN</t>
        </is>
      </c>
      <c r="E2702" t="inlineStr">
        <is>
          <t>MOTALA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4255-2023</t>
        </is>
      </c>
      <c r="B2703" s="1" t="n">
        <v>44953</v>
      </c>
      <c r="C2703" s="1" t="n">
        <v>46093</v>
      </c>
      <c r="D2703" t="inlineStr">
        <is>
          <t>ÖSTERGÖTLANDS LÄN</t>
        </is>
      </c>
      <c r="E2703" t="inlineStr">
        <is>
          <t>MOTALA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55457-2024</t>
        </is>
      </c>
      <c r="B2704" s="1" t="n">
        <v>45622.4261574074</v>
      </c>
      <c r="C2704" s="1" t="n">
        <v>46093</v>
      </c>
      <c r="D2704" t="inlineStr">
        <is>
          <t>ÖSTERGÖTLANDS LÄN</t>
        </is>
      </c>
      <c r="E2704" t="inlineStr">
        <is>
          <t>FINSPÅNG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55463-2024</t>
        </is>
      </c>
      <c r="B2705" s="1" t="n">
        <v>45622.42899305555</v>
      </c>
      <c r="C2705" s="1" t="n">
        <v>46093</v>
      </c>
      <c r="D2705" t="inlineStr">
        <is>
          <t>ÖSTERGÖTLANDS LÄN</t>
        </is>
      </c>
      <c r="E2705" t="inlineStr">
        <is>
          <t>FINSPÅNG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30434-2024</t>
        </is>
      </c>
      <c r="B2706" s="1" t="n">
        <v>45491.69811342593</v>
      </c>
      <c r="C2706" s="1" t="n">
        <v>46093</v>
      </c>
      <c r="D2706" t="inlineStr">
        <is>
          <t>ÖSTERGÖTLANDS LÄN</t>
        </is>
      </c>
      <c r="E2706" t="inlineStr">
        <is>
          <t>LINKÖPING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10393-2024</t>
        </is>
      </c>
      <c r="B2707" s="1" t="n">
        <v>45365</v>
      </c>
      <c r="C2707" s="1" t="n">
        <v>46093</v>
      </c>
      <c r="D2707" t="inlineStr">
        <is>
          <t>ÖSTERGÖTLANDS LÄN</t>
        </is>
      </c>
      <c r="E2707" t="inlineStr">
        <is>
          <t>NORRKÖPING</t>
        </is>
      </c>
      <c r="F2707" t="inlineStr">
        <is>
          <t>Kommuner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3910-2025</t>
        </is>
      </c>
      <c r="B2708" s="1" t="n">
        <v>45684.41622685185</v>
      </c>
      <c r="C2708" s="1" t="n">
        <v>46093</v>
      </c>
      <c r="D2708" t="inlineStr">
        <is>
          <t>ÖSTERGÖTLANDS LÄN</t>
        </is>
      </c>
      <c r="E2708" t="inlineStr">
        <is>
          <t>NORRKÖPING</t>
        </is>
      </c>
      <c r="F2708" t="inlineStr">
        <is>
          <t>Allmännings- och besparingsskogar</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3913-2025</t>
        </is>
      </c>
      <c r="B2709" s="1" t="n">
        <v>45684.42604166667</v>
      </c>
      <c r="C2709" s="1" t="n">
        <v>46093</v>
      </c>
      <c r="D2709" t="inlineStr">
        <is>
          <t>ÖSTERGÖTLANDS LÄN</t>
        </is>
      </c>
      <c r="E2709" t="inlineStr">
        <is>
          <t>SÖDERKÖPING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42368-2025</t>
        </is>
      </c>
      <c r="B2710" s="1" t="n">
        <v>45905.32957175926</v>
      </c>
      <c r="C2710" s="1" t="n">
        <v>46093</v>
      </c>
      <c r="D2710" t="inlineStr">
        <is>
          <t>ÖSTERGÖTLANDS LÄN</t>
        </is>
      </c>
      <c r="E2710" t="inlineStr">
        <is>
          <t>FINSPÅNG</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8606-2024</t>
        </is>
      </c>
      <c r="B2711" s="1" t="n">
        <v>45355.6890162037</v>
      </c>
      <c r="C2711" s="1" t="n">
        <v>46093</v>
      </c>
      <c r="D2711" t="inlineStr">
        <is>
          <t>ÖSTERGÖTLANDS LÄN</t>
        </is>
      </c>
      <c r="E2711" t="inlineStr">
        <is>
          <t>YDRE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12411-2022</t>
        </is>
      </c>
      <c r="B2712" s="1" t="n">
        <v>44638.21601851852</v>
      </c>
      <c r="C2712" s="1" t="n">
        <v>46093</v>
      </c>
      <c r="D2712" t="inlineStr">
        <is>
          <t>ÖSTERGÖTLANDS LÄN</t>
        </is>
      </c>
      <c r="E2712" t="inlineStr">
        <is>
          <t>LINKÖPING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668-2023</t>
        </is>
      </c>
      <c r="B2713" s="1" t="n">
        <v>44930</v>
      </c>
      <c r="C2713" s="1" t="n">
        <v>46093</v>
      </c>
      <c r="D2713" t="inlineStr">
        <is>
          <t>ÖSTERGÖTLANDS LÄN</t>
        </is>
      </c>
      <c r="E2713" t="inlineStr">
        <is>
          <t>ÅTVIDABERG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42818-2025</t>
        </is>
      </c>
      <c r="B2714" s="1" t="n">
        <v>45908.56519675926</v>
      </c>
      <c r="C2714" s="1" t="n">
        <v>46093</v>
      </c>
      <c r="D2714" t="inlineStr">
        <is>
          <t>ÖSTERGÖTLANDS LÄN</t>
        </is>
      </c>
      <c r="E2714" t="inlineStr">
        <is>
          <t>ÅTVIDABERG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42977-2025</t>
        </is>
      </c>
      <c r="B2715" s="1" t="n">
        <v>45909.42916666667</v>
      </c>
      <c r="C2715" s="1" t="n">
        <v>46093</v>
      </c>
      <c r="D2715" t="inlineStr">
        <is>
          <t>ÖSTERGÖTLANDS LÄN</t>
        </is>
      </c>
      <c r="E2715" t="inlineStr">
        <is>
          <t>KINDA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42993-2025</t>
        </is>
      </c>
      <c r="B2716" s="1" t="n">
        <v>45909.45248842592</v>
      </c>
      <c r="C2716" s="1" t="n">
        <v>46093</v>
      </c>
      <c r="D2716" t="inlineStr">
        <is>
          <t>ÖSTERGÖTLANDS LÄN</t>
        </is>
      </c>
      <c r="E2716" t="inlineStr">
        <is>
          <t>KINDA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43005-2025</t>
        </is>
      </c>
      <c r="B2717" s="1" t="n">
        <v>45909.47525462963</v>
      </c>
      <c r="C2717" s="1" t="n">
        <v>46093</v>
      </c>
      <c r="D2717" t="inlineStr">
        <is>
          <t>ÖSTERGÖTLANDS LÄN</t>
        </is>
      </c>
      <c r="E2717" t="inlineStr">
        <is>
          <t>KINDA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43007-2025</t>
        </is>
      </c>
      <c r="B2718" s="1" t="n">
        <v>45909.48123842593</v>
      </c>
      <c r="C2718" s="1" t="n">
        <v>46093</v>
      </c>
      <c r="D2718" t="inlineStr">
        <is>
          <t>ÖSTERGÖTLANDS LÄN</t>
        </is>
      </c>
      <c r="E2718" t="inlineStr">
        <is>
          <t>KINDA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43032-2025</t>
        </is>
      </c>
      <c r="B2719" s="1" t="n">
        <v>45909.53945601852</v>
      </c>
      <c r="C2719" s="1" t="n">
        <v>46093</v>
      </c>
      <c r="D2719" t="inlineStr">
        <is>
          <t>ÖSTERGÖTLANDS LÄN</t>
        </is>
      </c>
      <c r="E2719" t="inlineStr">
        <is>
          <t>MJÖLBY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40434-2021</t>
        </is>
      </c>
      <c r="B2720" s="1" t="n">
        <v>44419</v>
      </c>
      <c r="C2720" s="1" t="n">
        <v>46093</v>
      </c>
      <c r="D2720" t="inlineStr">
        <is>
          <t>ÖSTERGÖTLANDS LÄN</t>
        </is>
      </c>
      <c r="E2720" t="inlineStr">
        <is>
          <t>VALDEMARSVIK</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6697-2023</t>
        </is>
      </c>
      <c r="B2721" s="1" t="n">
        <v>44966</v>
      </c>
      <c r="C2721" s="1" t="n">
        <v>46093</v>
      </c>
      <c r="D2721" t="inlineStr">
        <is>
          <t>ÖSTERGÖTLANDS LÄN</t>
        </is>
      </c>
      <c r="E2721" t="inlineStr">
        <is>
          <t>FINSPÅNG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42981-2025</t>
        </is>
      </c>
      <c r="B2722" s="1" t="n">
        <v>45909.43236111111</v>
      </c>
      <c r="C2722" s="1" t="n">
        <v>46093</v>
      </c>
      <c r="D2722" t="inlineStr">
        <is>
          <t>ÖSTERGÖTLANDS LÄN</t>
        </is>
      </c>
      <c r="E2722" t="inlineStr">
        <is>
          <t>KINDA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10477-2022</t>
        </is>
      </c>
      <c r="B2723" s="1" t="n">
        <v>44623.61737268518</v>
      </c>
      <c r="C2723" s="1" t="n">
        <v>46093</v>
      </c>
      <c r="D2723" t="inlineStr">
        <is>
          <t>ÖSTERGÖTLANDS LÄN</t>
        </is>
      </c>
      <c r="E2723" t="inlineStr">
        <is>
          <t>KINDA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10492-2022</t>
        </is>
      </c>
      <c r="B2724" s="1" t="n">
        <v>44623.6377199074</v>
      </c>
      <c r="C2724" s="1" t="n">
        <v>46093</v>
      </c>
      <c r="D2724" t="inlineStr">
        <is>
          <t>ÖSTERGÖTLANDS LÄN</t>
        </is>
      </c>
      <c r="E2724" t="inlineStr">
        <is>
          <t>LINKÖPING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12622-2024</t>
        </is>
      </c>
      <c r="B2725" s="1" t="n">
        <v>45383</v>
      </c>
      <c r="C2725" s="1" t="n">
        <v>46093</v>
      </c>
      <c r="D2725" t="inlineStr">
        <is>
          <t>ÖSTERGÖTLANDS LÄN</t>
        </is>
      </c>
      <c r="E2725" t="inlineStr">
        <is>
          <t>KINDA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8092-2024</t>
        </is>
      </c>
      <c r="B2726" s="1" t="n">
        <v>45351.4491550926</v>
      </c>
      <c r="C2726" s="1" t="n">
        <v>46093</v>
      </c>
      <c r="D2726" t="inlineStr">
        <is>
          <t>ÖSTERGÖTLANDS LÄN</t>
        </is>
      </c>
      <c r="E2726" t="inlineStr">
        <is>
          <t>KINDA</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15159-2022</t>
        </is>
      </c>
      <c r="B2727" s="1" t="n">
        <v>44658.49030092593</v>
      </c>
      <c r="C2727" s="1" t="n">
        <v>46093</v>
      </c>
      <c r="D2727" t="inlineStr">
        <is>
          <t>ÖSTERGÖTLANDS LÄN</t>
        </is>
      </c>
      <c r="E2727" t="inlineStr">
        <is>
          <t>KINDA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8111-2024</t>
        </is>
      </c>
      <c r="B2728" s="1" t="n">
        <v>45351.49194444445</v>
      </c>
      <c r="C2728" s="1" t="n">
        <v>46093</v>
      </c>
      <c r="D2728" t="inlineStr">
        <is>
          <t>ÖSTERGÖTLANDS LÄN</t>
        </is>
      </c>
      <c r="E2728" t="inlineStr">
        <is>
          <t>MOTALA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9182-2024</t>
        </is>
      </c>
      <c r="B2729" s="1" t="n">
        <v>45358.44520833333</v>
      </c>
      <c r="C2729" s="1" t="n">
        <v>46093</v>
      </c>
      <c r="D2729" t="inlineStr">
        <is>
          <t>ÖSTERGÖTLANDS LÄN</t>
        </is>
      </c>
      <c r="E2729" t="inlineStr">
        <is>
          <t>KINDA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43100-2025</t>
        </is>
      </c>
      <c r="B2730" s="1" t="n">
        <v>45909</v>
      </c>
      <c r="C2730" s="1" t="n">
        <v>46093</v>
      </c>
      <c r="D2730" t="inlineStr">
        <is>
          <t>ÖSTERGÖTLANDS LÄN</t>
        </is>
      </c>
      <c r="E2730" t="inlineStr">
        <is>
          <t>YDRE</t>
        </is>
      </c>
      <c r="F2730" t="inlineStr">
        <is>
          <t>Övriga Aktiebolag</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15907-2024</t>
        </is>
      </c>
      <c r="B2731" s="1" t="n">
        <v>45405.4284837963</v>
      </c>
      <c r="C2731" s="1" t="n">
        <v>46093</v>
      </c>
      <c r="D2731" t="inlineStr">
        <is>
          <t>ÖSTERGÖTLANDS LÄN</t>
        </is>
      </c>
      <c r="E2731" t="inlineStr">
        <is>
          <t>ÖDESHÖG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15915-2024</t>
        </is>
      </c>
      <c r="B2732" s="1" t="n">
        <v>45405.44401620371</v>
      </c>
      <c r="C2732" s="1" t="n">
        <v>46093</v>
      </c>
      <c r="D2732" t="inlineStr">
        <is>
          <t>ÖSTERGÖTLANDS LÄN</t>
        </is>
      </c>
      <c r="E2732" t="inlineStr">
        <is>
          <t>ÖDESHÖG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17503-2022</t>
        </is>
      </c>
      <c r="B2733" s="1" t="n">
        <v>44679</v>
      </c>
      <c r="C2733" s="1" t="n">
        <v>46093</v>
      </c>
      <c r="D2733" t="inlineStr">
        <is>
          <t>ÖSTERGÖTLANDS LÄN</t>
        </is>
      </c>
      <c r="E2733" t="inlineStr">
        <is>
          <t>NORRKÖPING</t>
        </is>
      </c>
      <c r="F2733" t="inlineStr">
        <is>
          <t>Allmännings- och besparingsskogar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3908-2023</t>
        </is>
      </c>
      <c r="B2734" s="1" t="n">
        <v>44952</v>
      </c>
      <c r="C2734" s="1" t="n">
        <v>46093</v>
      </c>
      <c r="D2734" t="inlineStr">
        <is>
          <t>ÖSTERGÖTLANDS LÄN</t>
        </is>
      </c>
      <c r="E2734" t="inlineStr">
        <is>
          <t>KINDA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43088-2025</t>
        </is>
      </c>
      <c r="B2735" s="1" t="n">
        <v>45909.62396990741</v>
      </c>
      <c r="C2735" s="1" t="n">
        <v>46093</v>
      </c>
      <c r="D2735" t="inlineStr">
        <is>
          <t>ÖSTERGÖTLANDS LÄN</t>
        </is>
      </c>
      <c r="E2735" t="inlineStr">
        <is>
          <t>YDRE</t>
        </is>
      </c>
      <c r="F2735" t="inlineStr">
        <is>
          <t>Övriga Aktiebolag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50040-2023</t>
        </is>
      </c>
      <c r="B2736" s="1" t="n">
        <v>45215</v>
      </c>
      <c r="C2736" s="1" t="n">
        <v>46093</v>
      </c>
      <c r="D2736" t="inlineStr">
        <is>
          <t>ÖSTERGÖTLANDS LÄN</t>
        </is>
      </c>
      <c r="E2736" t="inlineStr">
        <is>
          <t>SÖDERKÖPING</t>
        </is>
      </c>
      <c r="F2736" t="inlineStr">
        <is>
          <t>Kyrkan</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43109-2025</t>
        </is>
      </c>
      <c r="B2737" s="1" t="n">
        <v>45909</v>
      </c>
      <c r="C2737" s="1" t="n">
        <v>46093</v>
      </c>
      <c r="D2737" t="inlineStr">
        <is>
          <t>ÖSTERGÖTLANDS LÄN</t>
        </is>
      </c>
      <c r="E2737" t="inlineStr">
        <is>
          <t>ÅTVIDABERG</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34860-2024</t>
        </is>
      </c>
      <c r="B2738" s="1" t="n">
        <v>45527.33670138889</v>
      </c>
      <c r="C2738" s="1" t="n">
        <v>46093</v>
      </c>
      <c r="D2738" t="inlineStr">
        <is>
          <t>ÖSTERGÖTLANDS LÄN</t>
        </is>
      </c>
      <c r="E2738" t="inlineStr">
        <is>
          <t>KINDA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34871-2024</t>
        </is>
      </c>
      <c r="B2739" s="1" t="n">
        <v>45527.3469212963</v>
      </c>
      <c r="C2739" s="1" t="n">
        <v>46093</v>
      </c>
      <c r="D2739" t="inlineStr">
        <is>
          <t>ÖSTERGÖTLANDS LÄN</t>
        </is>
      </c>
      <c r="E2739" t="inlineStr">
        <is>
          <t>KINDA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43234-2025</t>
        </is>
      </c>
      <c r="B2740" s="1" t="n">
        <v>45910.50778935185</v>
      </c>
      <c r="C2740" s="1" t="n">
        <v>46093</v>
      </c>
      <c r="D2740" t="inlineStr">
        <is>
          <t>ÖSTERGÖTLANDS LÄN</t>
        </is>
      </c>
      <c r="E2740" t="inlineStr">
        <is>
          <t>YDRE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43231-2025</t>
        </is>
      </c>
      <c r="B2741" s="1" t="n">
        <v>45910</v>
      </c>
      <c r="C2741" s="1" t="n">
        <v>46093</v>
      </c>
      <c r="D2741" t="inlineStr">
        <is>
          <t>ÖSTERGÖTLANDS LÄN</t>
        </is>
      </c>
      <c r="E2741" t="inlineStr">
        <is>
          <t>YDRE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43232-2025</t>
        </is>
      </c>
      <c r="B2742" s="1" t="n">
        <v>45910</v>
      </c>
      <c r="C2742" s="1" t="n">
        <v>46093</v>
      </c>
      <c r="D2742" t="inlineStr">
        <is>
          <t>ÖSTERGÖTLANDS LÄN</t>
        </is>
      </c>
      <c r="E2742" t="inlineStr">
        <is>
          <t>YDRE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39774-2023</t>
        </is>
      </c>
      <c r="B2743" s="1" t="n">
        <v>45167</v>
      </c>
      <c r="C2743" s="1" t="n">
        <v>46093</v>
      </c>
      <c r="D2743" t="inlineStr">
        <is>
          <t>ÖSTERGÖTLANDS LÄN</t>
        </is>
      </c>
      <c r="E2743" t="inlineStr">
        <is>
          <t>KINDA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71205-2021</t>
        </is>
      </c>
      <c r="B2744" s="1" t="n">
        <v>44539</v>
      </c>
      <c r="C2744" s="1" t="n">
        <v>46093</v>
      </c>
      <c r="D2744" t="inlineStr">
        <is>
          <t>ÖSTERGÖTLANDS LÄN</t>
        </is>
      </c>
      <c r="E2744" t="inlineStr">
        <is>
          <t>MOTALA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40988-2024</t>
        </is>
      </c>
      <c r="B2745" s="1" t="n">
        <v>45558.70040509259</v>
      </c>
      <c r="C2745" s="1" t="n">
        <v>46093</v>
      </c>
      <c r="D2745" t="inlineStr">
        <is>
          <t>ÖSTERGÖTLANDS LÄN</t>
        </is>
      </c>
      <c r="E2745" t="inlineStr">
        <is>
          <t>YDRE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36202-2025</t>
        </is>
      </c>
      <c r="B2746" s="1" t="n">
        <v>45867.44660879629</v>
      </c>
      <c r="C2746" s="1" t="n">
        <v>46093</v>
      </c>
      <c r="D2746" t="inlineStr">
        <is>
          <t>ÖSTERGÖTLANDS LÄN</t>
        </is>
      </c>
      <c r="E2746" t="inlineStr">
        <is>
          <t>BOXHOLM</t>
        </is>
      </c>
      <c r="F2746" t="inlineStr">
        <is>
          <t>Övriga Aktiebolag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23613-2022</t>
        </is>
      </c>
      <c r="B2747" s="1" t="n">
        <v>44721.61611111111</v>
      </c>
      <c r="C2747" s="1" t="n">
        <v>46093</v>
      </c>
      <c r="D2747" t="inlineStr">
        <is>
          <t>ÖSTERGÖTLANDS LÄN</t>
        </is>
      </c>
      <c r="E2747" t="inlineStr">
        <is>
          <t>KINDA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49345-2023</t>
        </is>
      </c>
      <c r="B2748" s="1" t="n">
        <v>45211.3163425926</v>
      </c>
      <c r="C2748" s="1" t="n">
        <v>46093</v>
      </c>
      <c r="D2748" t="inlineStr">
        <is>
          <t>ÖSTERGÖTLANDS LÄN</t>
        </is>
      </c>
      <c r="E2748" t="inlineStr">
        <is>
          <t>VALDEMARSVIK</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49348-2023</t>
        </is>
      </c>
      <c r="B2749" s="1" t="n">
        <v>45211</v>
      </c>
      <c r="C2749" s="1" t="n">
        <v>46093</v>
      </c>
      <c r="D2749" t="inlineStr">
        <is>
          <t>ÖSTERGÖTLANDS LÄN</t>
        </is>
      </c>
      <c r="E2749" t="inlineStr">
        <is>
          <t>VALDEMARSVIK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59811-2022</t>
        </is>
      </c>
      <c r="B2750" s="1" t="n">
        <v>44908.58150462963</v>
      </c>
      <c r="C2750" s="1" t="n">
        <v>46093</v>
      </c>
      <c r="D2750" t="inlineStr">
        <is>
          <t>ÖSTERGÖTLANDS LÄN</t>
        </is>
      </c>
      <c r="E2750" t="inlineStr">
        <is>
          <t>YDRE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59816-2022</t>
        </is>
      </c>
      <c r="B2751" s="1" t="n">
        <v>44908.58834490741</v>
      </c>
      <c r="C2751" s="1" t="n">
        <v>46093</v>
      </c>
      <c r="D2751" t="inlineStr">
        <is>
          <t>ÖSTERGÖTLANDS LÄN</t>
        </is>
      </c>
      <c r="E2751" t="inlineStr">
        <is>
          <t>YDRE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37214-2023</t>
        </is>
      </c>
      <c r="B2752" s="1" t="n">
        <v>45155</v>
      </c>
      <c r="C2752" s="1" t="n">
        <v>46093</v>
      </c>
      <c r="D2752" t="inlineStr">
        <is>
          <t>ÖSTERGÖTLANDS LÄN</t>
        </is>
      </c>
      <c r="E2752" t="inlineStr">
        <is>
          <t>ÅTVIDABERG</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21767-2024</t>
        </is>
      </c>
      <c r="B2753" s="1" t="n">
        <v>45442.6052199074</v>
      </c>
      <c r="C2753" s="1" t="n">
        <v>46093</v>
      </c>
      <c r="D2753" t="inlineStr">
        <is>
          <t>ÖSTERGÖTLANDS LÄN</t>
        </is>
      </c>
      <c r="E2753" t="inlineStr">
        <is>
          <t>NORRKÖPING</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21770-2024</t>
        </is>
      </c>
      <c r="B2754" s="1" t="n">
        <v>45442.60829861111</v>
      </c>
      <c r="C2754" s="1" t="n">
        <v>46093</v>
      </c>
      <c r="D2754" t="inlineStr">
        <is>
          <t>ÖSTERGÖTLANDS LÄN</t>
        </is>
      </c>
      <c r="E2754" t="inlineStr">
        <is>
          <t>NORRKÖPING</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15117-2025</t>
        </is>
      </c>
      <c r="B2755" s="1" t="n">
        <v>45744.36665509259</v>
      </c>
      <c r="C2755" s="1" t="n">
        <v>46093</v>
      </c>
      <c r="D2755" t="inlineStr">
        <is>
          <t>ÖSTERGÖTLANDS LÄN</t>
        </is>
      </c>
      <c r="E2755" t="inlineStr">
        <is>
          <t>YDRE</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11084-2022</t>
        </is>
      </c>
      <c r="B2756" s="1" t="n">
        <v>44628</v>
      </c>
      <c r="C2756" s="1" t="n">
        <v>46093</v>
      </c>
      <c r="D2756" t="inlineStr">
        <is>
          <t>ÖSTERGÖTLANDS LÄN</t>
        </is>
      </c>
      <c r="E2756" t="inlineStr">
        <is>
          <t>LINKÖPING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6021-2023</t>
        </is>
      </c>
      <c r="B2757" s="1" t="n">
        <v>44964.43262731482</v>
      </c>
      <c r="C2757" s="1" t="n">
        <v>46093</v>
      </c>
      <c r="D2757" t="inlineStr">
        <is>
          <t>ÖSTERGÖTLANDS LÄN</t>
        </is>
      </c>
      <c r="E2757" t="inlineStr">
        <is>
          <t>FINSPÅNG</t>
        </is>
      </c>
      <c r="F2757" t="inlineStr">
        <is>
          <t>Holmen skog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43335-2025</t>
        </is>
      </c>
      <c r="B2758" s="1" t="n">
        <v>45910.72665509259</v>
      </c>
      <c r="C2758" s="1" t="n">
        <v>46093</v>
      </c>
      <c r="D2758" t="inlineStr">
        <is>
          <t>ÖSTERGÖTLANDS LÄN</t>
        </is>
      </c>
      <c r="E2758" t="inlineStr">
        <is>
          <t>YDRE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12198-2025</t>
        </is>
      </c>
      <c r="B2759" s="1" t="n">
        <v>45729.47584490741</v>
      </c>
      <c r="C2759" s="1" t="n">
        <v>46093</v>
      </c>
      <c r="D2759" t="inlineStr">
        <is>
          <t>ÖSTERGÖTLANDS LÄN</t>
        </is>
      </c>
      <c r="E2759" t="inlineStr">
        <is>
          <t>ÖDESHÖG</t>
        </is>
      </c>
      <c r="F2759" t="inlineStr">
        <is>
          <t>Allmännings- och besparingsskogar</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20356-2025</t>
        </is>
      </c>
      <c r="B2760" s="1" t="n">
        <v>45775.3942824074</v>
      </c>
      <c r="C2760" s="1" t="n">
        <v>46093</v>
      </c>
      <c r="D2760" t="inlineStr">
        <is>
          <t>ÖSTERGÖTLANDS LÄN</t>
        </is>
      </c>
      <c r="E2760" t="inlineStr">
        <is>
          <t>MOTALA</t>
        </is>
      </c>
      <c r="F2760" t="inlineStr">
        <is>
          <t>Sveaskog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34366-2024</t>
        </is>
      </c>
      <c r="B2761" s="1" t="n">
        <v>45525</v>
      </c>
      <c r="C2761" s="1" t="n">
        <v>46093</v>
      </c>
      <c r="D2761" t="inlineStr">
        <is>
          <t>ÖSTERGÖTLANDS LÄN</t>
        </is>
      </c>
      <c r="E2761" t="inlineStr">
        <is>
          <t>ÅTVIDABERG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33043-2024</t>
        </is>
      </c>
      <c r="B2762" s="1" t="n">
        <v>45517.61326388889</v>
      </c>
      <c r="C2762" s="1" t="n">
        <v>46093</v>
      </c>
      <c r="D2762" t="inlineStr">
        <is>
          <t>ÖSTERGÖTLANDS LÄN</t>
        </is>
      </c>
      <c r="E2762" t="inlineStr">
        <is>
          <t>KINDA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13769-2023</t>
        </is>
      </c>
      <c r="B2763" s="1" t="n">
        <v>45007.45686342593</v>
      </c>
      <c r="C2763" s="1" t="n">
        <v>46093</v>
      </c>
      <c r="D2763" t="inlineStr">
        <is>
          <t>ÖSTERGÖTLANDS LÄN</t>
        </is>
      </c>
      <c r="E2763" t="inlineStr">
        <is>
          <t>KINDA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2079-2022</t>
        </is>
      </c>
      <c r="B2764" s="1" t="n">
        <v>44576.40216435185</v>
      </c>
      <c r="C2764" s="1" t="n">
        <v>46093</v>
      </c>
      <c r="D2764" t="inlineStr">
        <is>
          <t>ÖSTERGÖTLANDS LÄN</t>
        </is>
      </c>
      <c r="E2764" t="inlineStr">
        <is>
          <t>YDRE</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17849-2025</t>
        </is>
      </c>
      <c r="B2765" s="1" t="n">
        <v>45758.60146990741</v>
      </c>
      <c r="C2765" s="1" t="n">
        <v>46093</v>
      </c>
      <c r="D2765" t="inlineStr">
        <is>
          <t>ÖSTERGÖTLANDS LÄN</t>
        </is>
      </c>
      <c r="E2765" t="inlineStr">
        <is>
          <t>NORRKÖPING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17861-2025</t>
        </is>
      </c>
      <c r="B2766" s="1" t="n">
        <v>45758.62664351852</v>
      </c>
      <c r="C2766" s="1" t="n">
        <v>46093</v>
      </c>
      <c r="D2766" t="inlineStr">
        <is>
          <t>ÖSTERGÖTLANDS LÄN</t>
        </is>
      </c>
      <c r="E2766" t="inlineStr">
        <is>
          <t>YDRE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1923-2023</t>
        </is>
      </c>
      <c r="B2767" s="1" t="n">
        <v>44936</v>
      </c>
      <c r="C2767" s="1" t="n">
        <v>46093</v>
      </c>
      <c r="D2767" t="inlineStr">
        <is>
          <t>ÖSTERGÖTLANDS LÄN</t>
        </is>
      </c>
      <c r="E2767" t="inlineStr">
        <is>
          <t>NORRKÖPING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19356-2022</t>
        </is>
      </c>
      <c r="B2768" s="1" t="n">
        <v>44692</v>
      </c>
      <c r="C2768" s="1" t="n">
        <v>46093</v>
      </c>
      <c r="D2768" t="inlineStr">
        <is>
          <t>ÖSTERGÖTLANDS LÄN</t>
        </is>
      </c>
      <c r="E2768" t="inlineStr">
        <is>
          <t>BOXHOLM</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7343-2025</t>
        </is>
      </c>
      <c r="B2769" s="1" t="n">
        <v>45703.67853009259</v>
      </c>
      <c r="C2769" s="1" t="n">
        <v>46093</v>
      </c>
      <c r="D2769" t="inlineStr">
        <is>
          <t>ÖSTERGÖTLANDS LÄN</t>
        </is>
      </c>
      <c r="E2769" t="inlineStr">
        <is>
          <t>LINKÖPING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50179-2023</t>
        </is>
      </c>
      <c r="B2770" s="1" t="n">
        <v>45208</v>
      </c>
      <c r="C2770" s="1" t="n">
        <v>46093</v>
      </c>
      <c r="D2770" t="inlineStr">
        <is>
          <t>ÖSTERGÖTLANDS LÄN</t>
        </is>
      </c>
      <c r="E2770" t="inlineStr">
        <is>
          <t>MJÖLBY</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57738-2022</t>
        </is>
      </c>
      <c r="B2771" s="1" t="n">
        <v>44897.571875</v>
      </c>
      <c r="C2771" s="1" t="n">
        <v>46093</v>
      </c>
      <c r="D2771" t="inlineStr">
        <is>
          <t>ÖSTERGÖTLANDS LÄN</t>
        </is>
      </c>
      <c r="E2771" t="inlineStr">
        <is>
          <t>FINSPÅNG</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57745-2022</t>
        </is>
      </c>
      <c r="B2772" s="1" t="n">
        <v>44897.58119212963</v>
      </c>
      <c r="C2772" s="1" t="n">
        <v>46093</v>
      </c>
      <c r="D2772" t="inlineStr">
        <is>
          <t>ÖSTERGÖTLANDS LÄN</t>
        </is>
      </c>
      <c r="E2772" t="inlineStr">
        <is>
          <t>LINKÖPING</t>
        </is>
      </c>
      <c r="F2772" t="inlineStr">
        <is>
          <t>Sveaskog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43026-2025</t>
        </is>
      </c>
      <c r="B2773" s="1" t="n">
        <v>45909.53418981482</v>
      </c>
      <c r="C2773" s="1" t="n">
        <v>46093</v>
      </c>
      <c r="D2773" t="inlineStr">
        <is>
          <t>ÖSTERGÖTLANDS LÄN</t>
        </is>
      </c>
      <c r="E2773" t="inlineStr">
        <is>
          <t>MJÖLBY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45873-2023</t>
        </is>
      </c>
      <c r="B2774" s="1" t="n">
        <v>45195.63581018519</v>
      </c>
      <c r="C2774" s="1" t="n">
        <v>46093</v>
      </c>
      <c r="D2774" t="inlineStr">
        <is>
          <t>ÖSTERGÖTLANDS LÄN</t>
        </is>
      </c>
      <c r="E2774" t="inlineStr">
        <is>
          <t>VALDEMARSVIK</t>
        </is>
      </c>
      <c r="G2774" t="n">
        <v>15.8</v>
      </c>
      <c r="H2774" t="n">
        <v>0</v>
      </c>
      <c r="I2774" t="n">
        <v>0</v>
      </c>
      <c r="J2774" t="n">
        <v>0</v>
      </c>
      <c r="K2774" t="n">
        <v>0</v>
      </c>
      <c r="L2774" t="n">
        <v>0</v>
      </c>
      <c r="M2774" t="n">
        <v>0</v>
      </c>
      <c r="N2774" t="n">
        <v>0</v>
      </c>
      <c r="O2774" t="n">
        <v>0</v>
      </c>
      <c r="P2774" t="n">
        <v>0</v>
      </c>
      <c r="Q2774" t="n">
        <v>0</v>
      </c>
      <c r="R2774" s="2" t="inlineStr"/>
    </row>
    <row r="2775" ht="15" customHeight="1">
      <c r="A2775" t="inlineStr">
        <is>
          <t>A 47308-2023</t>
        </is>
      </c>
      <c r="B2775" s="1" t="n">
        <v>45202.48847222222</v>
      </c>
      <c r="C2775" s="1" t="n">
        <v>46093</v>
      </c>
      <c r="D2775" t="inlineStr">
        <is>
          <t>ÖSTERGÖTLANDS LÄN</t>
        </is>
      </c>
      <c r="E2775" t="inlineStr">
        <is>
          <t>MOTALA</t>
        </is>
      </c>
      <c r="G2775" t="n">
        <v>17.6</v>
      </c>
      <c r="H2775" t="n">
        <v>0</v>
      </c>
      <c r="I2775" t="n">
        <v>0</v>
      </c>
      <c r="J2775" t="n">
        <v>0</v>
      </c>
      <c r="K2775" t="n">
        <v>0</v>
      </c>
      <c r="L2775" t="n">
        <v>0</v>
      </c>
      <c r="M2775" t="n">
        <v>0</v>
      </c>
      <c r="N2775" t="n">
        <v>0</v>
      </c>
      <c r="O2775" t="n">
        <v>0</v>
      </c>
      <c r="P2775" t="n">
        <v>0</v>
      </c>
      <c r="Q2775" t="n">
        <v>0</v>
      </c>
      <c r="R2775" s="2" t="inlineStr"/>
    </row>
    <row r="2776" ht="15" customHeight="1">
      <c r="A2776" t="inlineStr">
        <is>
          <t>A 10699-2022</t>
        </is>
      </c>
      <c r="B2776" s="1" t="n">
        <v>44624</v>
      </c>
      <c r="C2776" s="1" t="n">
        <v>46093</v>
      </c>
      <c r="D2776" t="inlineStr">
        <is>
          <t>ÖSTERGÖTLANDS LÄN</t>
        </is>
      </c>
      <c r="E2776" t="inlineStr">
        <is>
          <t>YDRE</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8967-2025</t>
        </is>
      </c>
      <c r="B2777" s="1" t="n">
        <v>45712</v>
      </c>
      <c r="C2777" s="1" t="n">
        <v>46093</v>
      </c>
      <c r="D2777" t="inlineStr">
        <is>
          <t>ÖSTERGÖTLANDS LÄN</t>
        </is>
      </c>
      <c r="E2777" t="inlineStr">
        <is>
          <t>LINKÖPING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33736-2023</t>
        </is>
      </c>
      <c r="B2778" s="1" t="n">
        <v>45119</v>
      </c>
      <c r="C2778" s="1" t="n">
        <v>46093</v>
      </c>
      <c r="D2778" t="inlineStr">
        <is>
          <t>ÖSTERGÖTLANDS LÄN</t>
        </is>
      </c>
      <c r="E2778" t="inlineStr">
        <is>
          <t>SÖDERKÖPING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18128-2025</t>
        </is>
      </c>
      <c r="B2779" s="1" t="n">
        <v>45761.59716435185</v>
      </c>
      <c r="C2779" s="1" t="n">
        <v>46093</v>
      </c>
      <c r="D2779" t="inlineStr">
        <is>
          <t>ÖSTERGÖTLANDS LÄN</t>
        </is>
      </c>
      <c r="E2779" t="inlineStr">
        <is>
          <t>NORRKÖPING</t>
        </is>
      </c>
      <c r="F2779" t="inlineStr">
        <is>
          <t>Holmen skog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35427-2023</t>
        </is>
      </c>
      <c r="B2780" s="1" t="n">
        <v>45146</v>
      </c>
      <c r="C2780" s="1" t="n">
        <v>46093</v>
      </c>
      <c r="D2780" t="inlineStr">
        <is>
          <t>ÖSTERGÖTLANDS LÄN</t>
        </is>
      </c>
      <c r="E2780" t="inlineStr">
        <is>
          <t>LINKÖPING</t>
        </is>
      </c>
      <c r="F2780" t="inlineStr">
        <is>
          <t>Övriga Aktiebolag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11344-2022</t>
        </is>
      </c>
      <c r="B2781" s="1" t="n">
        <v>44630</v>
      </c>
      <c r="C2781" s="1" t="n">
        <v>46093</v>
      </c>
      <c r="D2781" t="inlineStr">
        <is>
          <t>ÖSTERGÖTLANDS LÄN</t>
        </is>
      </c>
      <c r="E2781" t="inlineStr">
        <is>
          <t>NORRKÖPING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42175-2023</t>
        </is>
      </c>
      <c r="B2782" s="1" t="n">
        <v>45178.43909722222</v>
      </c>
      <c r="C2782" s="1" t="n">
        <v>46093</v>
      </c>
      <c r="D2782" t="inlineStr">
        <is>
          <t>ÖSTERGÖTLANDS LÄN</t>
        </is>
      </c>
      <c r="E2782" t="inlineStr">
        <is>
          <t>NORRKÖPING</t>
        </is>
      </c>
      <c r="F2782" t="inlineStr">
        <is>
          <t>Holmen skog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36322-2025</t>
        </is>
      </c>
      <c r="B2783" s="1" t="n">
        <v>45868</v>
      </c>
      <c r="C2783" s="1" t="n">
        <v>46093</v>
      </c>
      <c r="D2783" t="inlineStr">
        <is>
          <t>ÖSTERGÖTLANDS LÄN</t>
        </is>
      </c>
      <c r="E2783" t="inlineStr">
        <is>
          <t>YDRE</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49462-2023</t>
        </is>
      </c>
      <c r="B2784" s="1" t="n">
        <v>45211.52641203703</v>
      </c>
      <c r="C2784" s="1" t="n">
        <v>46093</v>
      </c>
      <c r="D2784" t="inlineStr">
        <is>
          <t>ÖSTERGÖTLANDS LÄN</t>
        </is>
      </c>
      <c r="E2784" t="inlineStr">
        <is>
          <t>NORRKÖPING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30468-2023</t>
        </is>
      </c>
      <c r="B2785" s="1" t="n">
        <v>45111.58732638889</v>
      </c>
      <c r="C2785" s="1" t="n">
        <v>46093</v>
      </c>
      <c r="D2785" t="inlineStr">
        <is>
          <t>ÖSTERGÖTLANDS LÄN</t>
        </is>
      </c>
      <c r="E2785" t="inlineStr">
        <is>
          <t>LINKÖPING</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50570-2023</t>
        </is>
      </c>
      <c r="B2786" s="1" t="n">
        <v>45217</v>
      </c>
      <c r="C2786" s="1" t="n">
        <v>46093</v>
      </c>
      <c r="D2786" t="inlineStr">
        <is>
          <t>ÖSTERGÖTLANDS LÄN</t>
        </is>
      </c>
      <c r="E2786" t="inlineStr">
        <is>
          <t>MJÖLBY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5349-2025</t>
        </is>
      </c>
      <c r="B2787" s="1" t="n">
        <v>45692.55859953703</v>
      </c>
      <c r="C2787" s="1" t="n">
        <v>46093</v>
      </c>
      <c r="D2787" t="inlineStr">
        <is>
          <t>ÖSTERGÖTLANDS LÄN</t>
        </is>
      </c>
      <c r="E2787" t="inlineStr">
        <is>
          <t>FINSPÅNG</t>
        </is>
      </c>
      <c r="F2787" t="inlineStr">
        <is>
          <t>Holmen skog AB</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20158-2024</t>
        </is>
      </c>
      <c r="B2788" s="1" t="n">
        <v>45434.58760416666</v>
      </c>
      <c r="C2788" s="1" t="n">
        <v>46093</v>
      </c>
      <c r="D2788" t="inlineStr">
        <is>
          <t>ÖSTERGÖTLANDS LÄN</t>
        </is>
      </c>
      <c r="E2788" t="inlineStr">
        <is>
          <t>YDRE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24903-2022</t>
        </is>
      </c>
      <c r="B2789" s="1" t="n">
        <v>44728.60424768519</v>
      </c>
      <c r="C2789" s="1" t="n">
        <v>46093</v>
      </c>
      <c r="D2789" t="inlineStr">
        <is>
          <t>ÖSTERGÖTLANDS LÄN</t>
        </is>
      </c>
      <c r="E2789" t="inlineStr">
        <is>
          <t>KINDA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14520-2025</t>
        </is>
      </c>
      <c r="B2790" s="1" t="n">
        <v>45741</v>
      </c>
      <c r="C2790" s="1" t="n">
        <v>46093</v>
      </c>
      <c r="D2790" t="inlineStr">
        <is>
          <t>ÖSTERGÖTLANDS LÄN</t>
        </is>
      </c>
      <c r="E2790" t="inlineStr">
        <is>
          <t>LINKÖPING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34839-2023</t>
        </is>
      </c>
      <c r="B2791" s="1" t="n">
        <v>45141</v>
      </c>
      <c r="C2791" s="1" t="n">
        <v>46093</v>
      </c>
      <c r="D2791" t="inlineStr">
        <is>
          <t>ÖSTERGÖTLANDS LÄN</t>
        </is>
      </c>
      <c r="E2791" t="inlineStr">
        <is>
          <t>BOXHOLM</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9337-2022</t>
        </is>
      </c>
      <c r="B2792" s="1" t="n">
        <v>44616.56741898148</v>
      </c>
      <c r="C2792" s="1" t="n">
        <v>46093</v>
      </c>
      <c r="D2792" t="inlineStr">
        <is>
          <t>ÖSTERGÖTLANDS LÄN</t>
        </is>
      </c>
      <c r="E2792" t="inlineStr">
        <is>
          <t>VALDEMARSVIK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35380-2023</t>
        </is>
      </c>
      <c r="B2793" s="1" t="n">
        <v>45146.5737037037</v>
      </c>
      <c r="C2793" s="1" t="n">
        <v>46093</v>
      </c>
      <c r="D2793" t="inlineStr">
        <is>
          <t>ÖSTERGÖTLANDS LÄN</t>
        </is>
      </c>
      <c r="E2793" t="inlineStr">
        <is>
          <t>ÖDESHÖG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35570-2023</t>
        </is>
      </c>
      <c r="B2794" s="1" t="n">
        <v>45147.46668981481</v>
      </c>
      <c r="C2794" s="1" t="n">
        <v>46093</v>
      </c>
      <c r="D2794" t="inlineStr">
        <is>
          <t>ÖSTERGÖTLANDS LÄN</t>
        </is>
      </c>
      <c r="E2794" t="inlineStr">
        <is>
          <t>FINSPÅNG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51460-2024</t>
        </is>
      </c>
      <c r="B2795" s="1" t="n">
        <v>45604.49379629629</v>
      </c>
      <c r="C2795" s="1" t="n">
        <v>46093</v>
      </c>
      <c r="D2795" t="inlineStr">
        <is>
          <t>ÖSTERGÖTLANDS LÄN</t>
        </is>
      </c>
      <c r="E2795" t="inlineStr">
        <is>
          <t>FINSPÅNG</t>
        </is>
      </c>
      <c r="F2795" t="inlineStr">
        <is>
          <t>Holmen skog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43646-2025</t>
        </is>
      </c>
      <c r="B2796" s="1" t="n">
        <v>45912</v>
      </c>
      <c r="C2796" s="1" t="n">
        <v>46093</v>
      </c>
      <c r="D2796" t="inlineStr">
        <is>
          <t>ÖSTERGÖTLANDS LÄN</t>
        </is>
      </c>
      <c r="E2796" t="inlineStr">
        <is>
          <t>ÅTVIDABERG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17174-2022</t>
        </is>
      </c>
      <c r="B2797" s="1" t="n">
        <v>44677</v>
      </c>
      <c r="C2797" s="1" t="n">
        <v>46093</v>
      </c>
      <c r="D2797" t="inlineStr">
        <is>
          <t>ÖSTERGÖTLANDS LÄN</t>
        </is>
      </c>
      <c r="E2797" t="inlineStr">
        <is>
          <t>KINDA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44834-2023</t>
        </is>
      </c>
      <c r="B2798" s="1" t="n">
        <v>45190</v>
      </c>
      <c r="C2798" s="1" t="n">
        <v>46093</v>
      </c>
      <c r="D2798" t="inlineStr">
        <is>
          <t>ÖSTERGÖTLANDS LÄN</t>
        </is>
      </c>
      <c r="E2798" t="inlineStr">
        <is>
          <t>SÖDERKÖPING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40308-2022</t>
        </is>
      </c>
      <c r="B2799" s="1" t="n">
        <v>44822</v>
      </c>
      <c r="C2799" s="1" t="n">
        <v>46093</v>
      </c>
      <c r="D2799" t="inlineStr">
        <is>
          <t>ÖSTERGÖTLANDS LÄN</t>
        </is>
      </c>
      <c r="E2799" t="inlineStr">
        <is>
          <t>BOXHOLM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5072-2022</t>
        </is>
      </c>
      <c r="B2800" s="1" t="n">
        <v>44593</v>
      </c>
      <c r="C2800" s="1" t="n">
        <v>46093</v>
      </c>
      <c r="D2800" t="inlineStr">
        <is>
          <t>ÖSTERGÖTLANDS LÄN</t>
        </is>
      </c>
      <c r="E2800" t="inlineStr">
        <is>
          <t>SÖDERKÖPING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36328-2025</t>
        </is>
      </c>
      <c r="B2801" s="1" t="n">
        <v>45868</v>
      </c>
      <c r="C2801" s="1" t="n">
        <v>46093</v>
      </c>
      <c r="D2801" t="inlineStr">
        <is>
          <t>ÖSTERGÖTLANDS LÄN</t>
        </is>
      </c>
      <c r="E2801" t="inlineStr">
        <is>
          <t>YDRE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18193-2025</t>
        </is>
      </c>
      <c r="B2802" s="1" t="n">
        <v>45761</v>
      </c>
      <c r="C2802" s="1" t="n">
        <v>46093</v>
      </c>
      <c r="D2802" t="inlineStr">
        <is>
          <t>ÖSTERGÖTLANDS LÄN</t>
        </is>
      </c>
      <c r="E2802" t="inlineStr">
        <is>
          <t>ÅTVIDABERG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7062-2025</t>
        </is>
      </c>
      <c r="B2803" s="1" t="n">
        <v>45701.65701388889</v>
      </c>
      <c r="C2803" s="1" t="n">
        <v>46093</v>
      </c>
      <c r="D2803" t="inlineStr">
        <is>
          <t>ÖSTERGÖTLANDS LÄN</t>
        </is>
      </c>
      <c r="E2803" t="inlineStr">
        <is>
          <t>SÖDERKÖPING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7063-2025</t>
        </is>
      </c>
      <c r="B2804" s="1" t="n">
        <v>45701.66054398148</v>
      </c>
      <c r="C2804" s="1" t="n">
        <v>46093</v>
      </c>
      <c r="D2804" t="inlineStr">
        <is>
          <t>ÖSTERGÖTLANDS LÄN</t>
        </is>
      </c>
      <c r="E2804" t="inlineStr">
        <is>
          <t>SÖDERKÖPING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14579-2025</t>
        </is>
      </c>
      <c r="B2805" s="1" t="n">
        <v>45742.30456018518</v>
      </c>
      <c r="C2805" s="1" t="n">
        <v>46093</v>
      </c>
      <c r="D2805" t="inlineStr">
        <is>
          <t>ÖSTERGÖTLANDS LÄN</t>
        </is>
      </c>
      <c r="E2805" t="inlineStr">
        <is>
          <t>SÖDERKÖPING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16689-2023</t>
        </is>
      </c>
      <c r="B2806" s="1" t="n">
        <v>45030</v>
      </c>
      <c r="C2806" s="1" t="n">
        <v>46093</v>
      </c>
      <c r="D2806" t="inlineStr">
        <is>
          <t>ÖSTERGÖTLANDS LÄN</t>
        </is>
      </c>
      <c r="E2806" t="inlineStr">
        <is>
          <t>NORRKÖPING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14637-2025</t>
        </is>
      </c>
      <c r="B2807" s="1" t="n">
        <v>45742.44043981482</v>
      </c>
      <c r="C2807" s="1" t="n">
        <v>46093</v>
      </c>
      <c r="D2807" t="inlineStr">
        <is>
          <t>ÖSTERGÖTLANDS LÄN</t>
        </is>
      </c>
      <c r="E2807" t="inlineStr">
        <is>
          <t>VALDEMARSVIK</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1138-2025</t>
        </is>
      </c>
      <c r="B2808" s="1" t="n">
        <v>45666.70396990741</v>
      </c>
      <c r="C2808" s="1" t="n">
        <v>46093</v>
      </c>
      <c r="D2808" t="inlineStr">
        <is>
          <t>ÖSTERGÖTLANDS LÄN</t>
        </is>
      </c>
      <c r="E2808" t="inlineStr">
        <is>
          <t>ÅTVIDABERG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4698-2025</t>
        </is>
      </c>
      <c r="B2809" s="1" t="n">
        <v>45688.36620370371</v>
      </c>
      <c r="C2809" s="1" t="n">
        <v>46093</v>
      </c>
      <c r="D2809" t="inlineStr">
        <is>
          <t>ÖSTERGÖTLANDS LÄN</t>
        </is>
      </c>
      <c r="E2809" t="inlineStr">
        <is>
          <t>ÅTVIDABERG</t>
        </is>
      </c>
      <c r="F2809" t="inlineStr">
        <is>
          <t>Övriga Aktiebolag</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13673-2024</t>
        </is>
      </c>
      <c r="B2810" s="1" t="n">
        <v>45390.53634259259</v>
      </c>
      <c r="C2810" s="1" t="n">
        <v>46093</v>
      </c>
      <c r="D2810" t="inlineStr">
        <is>
          <t>ÖSTERGÖTLANDS LÄN</t>
        </is>
      </c>
      <c r="E2810" t="inlineStr">
        <is>
          <t>KINDA</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11881-2025</t>
        </is>
      </c>
      <c r="B2811" s="1" t="n">
        <v>45728.44758101852</v>
      </c>
      <c r="C2811" s="1" t="n">
        <v>46093</v>
      </c>
      <c r="D2811" t="inlineStr">
        <is>
          <t>ÖSTERGÖTLANDS LÄN</t>
        </is>
      </c>
      <c r="E2811" t="inlineStr">
        <is>
          <t>KINDA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40160-2024</t>
        </is>
      </c>
      <c r="B2812" s="1" t="n">
        <v>45554.54119212963</v>
      </c>
      <c r="C2812" s="1" t="n">
        <v>46093</v>
      </c>
      <c r="D2812" t="inlineStr">
        <is>
          <t>ÖSTERGÖTLANDS LÄN</t>
        </is>
      </c>
      <c r="E2812" t="inlineStr">
        <is>
          <t>ÅTVIDABERG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43760-2025</t>
        </is>
      </c>
      <c r="B2813" s="1" t="n">
        <v>45912.47875</v>
      </c>
      <c r="C2813" s="1" t="n">
        <v>46093</v>
      </c>
      <c r="D2813" t="inlineStr">
        <is>
          <t>ÖSTERGÖTLANDS LÄN</t>
        </is>
      </c>
      <c r="E2813" t="inlineStr">
        <is>
          <t>KINDA</t>
        </is>
      </c>
      <c r="F2813" t="inlineStr">
        <is>
          <t>Sveaskog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6735-2023</t>
        </is>
      </c>
      <c r="B2814" s="1" t="n">
        <v>44966.74208333333</v>
      </c>
      <c r="C2814" s="1" t="n">
        <v>46093</v>
      </c>
      <c r="D2814" t="inlineStr">
        <is>
          <t>ÖSTERGÖTLANDS LÄN</t>
        </is>
      </c>
      <c r="E2814" t="inlineStr">
        <is>
          <t>FINSPÅNG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4260-2025</t>
        </is>
      </c>
      <c r="B2815" s="1" t="n">
        <v>45685.61706018518</v>
      </c>
      <c r="C2815" s="1" t="n">
        <v>46093</v>
      </c>
      <c r="D2815" t="inlineStr">
        <is>
          <t>ÖSTERGÖTLANDS LÄN</t>
        </is>
      </c>
      <c r="E2815" t="inlineStr">
        <is>
          <t>ÅTVIDABERG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5086-2023</t>
        </is>
      </c>
      <c r="B2816" s="1" t="n">
        <v>44953</v>
      </c>
      <c r="C2816" s="1" t="n">
        <v>46093</v>
      </c>
      <c r="D2816" t="inlineStr">
        <is>
          <t>ÖSTERGÖTLANDS LÄN</t>
        </is>
      </c>
      <c r="E2816" t="inlineStr">
        <is>
          <t>KINDA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38646-2024</t>
        </is>
      </c>
      <c r="B2817" s="1" t="n">
        <v>45546.86643518518</v>
      </c>
      <c r="C2817" s="1" t="n">
        <v>46093</v>
      </c>
      <c r="D2817" t="inlineStr">
        <is>
          <t>ÖSTERGÖTLANDS LÄN</t>
        </is>
      </c>
      <c r="E2817" t="inlineStr">
        <is>
          <t>SÖDERKÖPING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4148-2024</t>
        </is>
      </c>
      <c r="B2818" s="1" t="n">
        <v>45323</v>
      </c>
      <c r="C2818" s="1" t="n">
        <v>46093</v>
      </c>
      <c r="D2818" t="inlineStr">
        <is>
          <t>ÖSTERGÖTLANDS LÄN</t>
        </is>
      </c>
      <c r="E2818" t="inlineStr">
        <is>
          <t>VALDEMARSVIK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55941-2022</t>
        </is>
      </c>
      <c r="B2819" s="1" t="n">
        <v>44889</v>
      </c>
      <c r="C2819" s="1" t="n">
        <v>46093</v>
      </c>
      <c r="D2819" t="inlineStr">
        <is>
          <t>ÖSTERGÖTLANDS LÄN</t>
        </is>
      </c>
      <c r="E2819" t="inlineStr">
        <is>
          <t>NORRKÖPING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43578-2025</t>
        </is>
      </c>
      <c r="B2820" s="1" t="n">
        <v>45911.64513888889</v>
      </c>
      <c r="C2820" s="1" t="n">
        <v>46093</v>
      </c>
      <c r="D2820" t="inlineStr">
        <is>
          <t>ÖSTERGÖTLANDS LÄN</t>
        </is>
      </c>
      <c r="E2820" t="inlineStr">
        <is>
          <t>BOXHOLM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60824-2023</t>
        </is>
      </c>
      <c r="B2821" s="1" t="n">
        <v>45260.80365740741</v>
      </c>
      <c r="C2821" s="1" t="n">
        <v>46093</v>
      </c>
      <c r="D2821" t="inlineStr">
        <is>
          <t>ÖSTERGÖTLANDS LÄN</t>
        </is>
      </c>
      <c r="E2821" t="inlineStr">
        <is>
          <t>KINDA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28194-2023</t>
        </is>
      </c>
      <c r="B2822" s="1" t="n">
        <v>45099.55199074074</v>
      </c>
      <c r="C2822" s="1" t="n">
        <v>46093</v>
      </c>
      <c r="D2822" t="inlineStr">
        <is>
          <t>ÖSTERGÖTLANDS LÄN</t>
        </is>
      </c>
      <c r="E2822" t="inlineStr">
        <is>
          <t>MOTALA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32016-2024</t>
        </is>
      </c>
      <c r="B2823" s="1" t="n">
        <v>45510</v>
      </c>
      <c r="C2823" s="1" t="n">
        <v>46093</v>
      </c>
      <c r="D2823" t="inlineStr">
        <is>
          <t>ÖSTERGÖTLANDS LÄN</t>
        </is>
      </c>
      <c r="E2823" t="inlineStr">
        <is>
          <t>YDRE</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53234-2022</t>
        </is>
      </c>
      <c r="B2824" s="1" t="n">
        <v>44876</v>
      </c>
      <c r="C2824" s="1" t="n">
        <v>46093</v>
      </c>
      <c r="D2824" t="inlineStr">
        <is>
          <t>ÖSTERGÖTLANDS LÄN</t>
        </is>
      </c>
      <c r="E2824" t="inlineStr">
        <is>
          <t>ÅTVIDABERG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43765-2025</t>
        </is>
      </c>
      <c r="B2825" s="1" t="n">
        <v>45912.49136574074</v>
      </c>
      <c r="C2825" s="1" t="n">
        <v>46093</v>
      </c>
      <c r="D2825" t="inlineStr">
        <is>
          <t>ÖSTERGÖTLANDS LÄN</t>
        </is>
      </c>
      <c r="E2825" t="inlineStr">
        <is>
          <t>BOXHOLM</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39486-2024</t>
        </is>
      </c>
      <c r="B2826" s="1" t="n">
        <v>45551.65215277778</v>
      </c>
      <c r="C2826" s="1" t="n">
        <v>46093</v>
      </c>
      <c r="D2826" t="inlineStr">
        <is>
          <t>ÖSTERGÖTLANDS LÄN</t>
        </is>
      </c>
      <c r="E2826" t="inlineStr">
        <is>
          <t>BOXHOLM</t>
        </is>
      </c>
      <c r="F2826" t="inlineStr">
        <is>
          <t>Allmännings- och besparingsskogar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17618-2024</t>
        </is>
      </c>
      <c r="B2827" s="1" t="n">
        <v>45416.90940972222</v>
      </c>
      <c r="C2827" s="1" t="n">
        <v>46093</v>
      </c>
      <c r="D2827" t="inlineStr">
        <is>
          <t>ÖSTERGÖTLANDS LÄN</t>
        </is>
      </c>
      <c r="E2827" t="inlineStr">
        <is>
          <t>ÖDESHÖG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41080-2024</t>
        </is>
      </c>
      <c r="B2828" s="1" t="n">
        <v>45559.40622685185</v>
      </c>
      <c r="C2828" s="1" t="n">
        <v>46093</v>
      </c>
      <c r="D2828" t="inlineStr">
        <is>
          <t>ÖSTERGÖTLANDS LÄN</t>
        </is>
      </c>
      <c r="E2828" t="inlineStr">
        <is>
          <t>BOXHOLM</t>
        </is>
      </c>
      <c r="F2828" t="inlineStr">
        <is>
          <t>Allmännings- och besparingsskogar</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12916-2023</t>
        </is>
      </c>
      <c r="B2829" s="1" t="n">
        <v>45001</v>
      </c>
      <c r="C2829" s="1" t="n">
        <v>46093</v>
      </c>
      <c r="D2829" t="inlineStr">
        <is>
          <t>ÖSTERGÖTLANDS LÄN</t>
        </is>
      </c>
      <c r="E2829" t="inlineStr">
        <is>
          <t>MOTALA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32789-2024</t>
        </is>
      </c>
      <c r="B2830" s="1" t="n">
        <v>45516.53788194444</v>
      </c>
      <c r="C2830" s="1" t="n">
        <v>46093</v>
      </c>
      <c r="D2830" t="inlineStr">
        <is>
          <t>ÖSTERGÖTLANDS LÄN</t>
        </is>
      </c>
      <c r="E2830" t="inlineStr">
        <is>
          <t>FINSPÅNG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3633-2022</t>
        </is>
      </c>
      <c r="B2831" s="1" t="n">
        <v>44586</v>
      </c>
      <c r="C2831" s="1" t="n">
        <v>46093</v>
      </c>
      <c r="D2831" t="inlineStr">
        <is>
          <t>ÖSTERGÖTLANDS LÄN</t>
        </is>
      </c>
      <c r="E2831" t="inlineStr">
        <is>
          <t>ÅTVIDABERG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56064-2022</t>
        </is>
      </c>
      <c r="B2832" s="1" t="n">
        <v>44889.59107638889</v>
      </c>
      <c r="C2832" s="1" t="n">
        <v>46093</v>
      </c>
      <c r="D2832" t="inlineStr">
        <is>
          <t>ÖSTERGÖTLANDS LÄN</t>
        </is>
      </c>
      <c r="E2832" t="inlineStr">
        <is>
          <t>LINKÖPING</t>
        </is>
      </c>
      <c r="F2832" t="inlineStr">
        <is>
          <t>Sveaskog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6756-2023</t>
        </is>
      </c>
      <c r="B2833" s="1" t="n">
        <v>44966.88747685185</v>
      </c>
      <c r="C2833" s="1" t="n">
        <v>46093</v>
      </c>
      <c r="D2833" t="inlineStr">
        <is>
          <t>ÖSTERGÖTLANDS LÄN</t>
        </is>
      </c>
      <c r="E2833" t="inlineStr">
        <is>
          <t>YDRE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16253-2023</t>
        </is>
      </c>
      <c r="B2834" s="1" t="n">
        <v>45028</v>
      </c>
      <c r="C2834" s="1" t="n">
        <v>46093</v>
      </c>
      <c r="D2834" t="inlineStr">
        <is>
          <t>ÖSTERGÖTLANDS LÄN</t>
        </is>
      </c>
      <c r="E2834" t="inlineStr">
        <is>
          <t>NORRKÖPING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9746-2022</t>
        </is>
      </c>
      <c r="B2835" s="1" t="n">
        <v>44618</v>
      </c>
      <c r="C2835" s="1" t="n">
        <v>46093</v>
      </c>
      <c r="D2835" t="inlineStr">
        <is>
          <t>ÖSTERGÖTLANDS LÄN</t>
        </is>
      </c>
      <c r="E2835" t="inlineStr">
        <is>
          <t>SÖDERKÖPING</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1597-2023</t>
        </is>
      </c>
      <c r="B2836" s="1" t="n">
        <v>44937.66346064815</v>
      </c>
      <c r="C2836" s="1" t="n">
        <v>46093</v>
      </c>
      <c r="D2836" t="inlineStr">
        <is>
          <t>ÖSTERGÖTLANDS LÄN</t>
        </is>
      </c>
      <c r="E2836" t="inlineStr">
        <is>
          <t>BOXHOLM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14138-2022</t>
        </is>
      </c>
      <c r="B2837" s="1" t="n">
        <v>44651.42819444444</v>
      </c>
      <c r="C2837" s="1" t="n">
        <v>46093</v>
      </c>
      <c r="D2837" t="inlineStr">
        <is>
          <t>ÖSTERGÖTLANDS LÄN</t>
        </is>
      </c>
      <c r="E2837" t="inlineStr">
        <is>
          <t>NORRKÖPING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43530-2025</t>
        </is>
      </c>
      <c r="B2838" s="1" t="n">
        <v>45911.59302083333</v>
      </c>
      <c r="C2838" s="1" t="n">
        <v>46093</v>
      </c>
      <c r="D2838" t="inlineStr">
        <is>
          <t>ÖSTERGÖTLANDS LÄN</t>
        </is>
      </c>
      <c r="E2838" t="inlineStr">
        <is>
          <t>MOTALA</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43755-2025</t>
        </is>
      </c>
      <c r="B2839" s="1" t="n">
        <v>45912.47329861111</v>
      </c>
      <c r="C2839" s="1" t="n">
        <v>46093</v>
      </c>
      <c r="D2839" t="inlineStr">
        <is>
          <t>ÖSTERGÖTLANDS LÄN</t>
        </is>
      </c>
      <c r="E2839" t="inlineStr">
        <is>
          <t>LINKÖPING</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20296-2025</t>
        </is>
      </c>
      <c r="B2840" s="1" t="n">
        <v>45774.74922453704</v>
      </c>
      <c r="C2840" s="1" t="n">
        <v>46093</v>
      </c>
      <c r="D2840" t="inlineStr">
        <is>
          <t>ÖSTERGÖTLANDS LÄN</t>
        </is>
      </c>
      <c r="E2840" t="inlineStr">
        <is>
          <t>LINKÖPING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43763-2025</t>
        </is>
      </c>
      <c r="B2841" s="1" t="n">
        <v>45912.48917824074</v>
      </c>
      <c r="C2841" s="1" t="n">
        <v>46093</v>
      </c>
      <c r="D2841" t="inlineStr">
        <is>
          <t>ÖSTERGÖTLANDS LÄN</t>
        </is>
      </c>
      <c r="E2841" t="inlineStr">
        <is>
          <t>BOXHOLM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8611-2024</t>
        </is>
      </c>
      <c r="B2842" s="1" t="n">
        <v>45355.69916666667</v>
      </c>
      <c r="C2842" s="1" t="n">
        <v>46093</v>
      </c>
      <c r="D2842" t="inlineStr">
        <is>
          <t>ÖSTERGÖTLANDS LÄN</t>
        </is>
      </c>
      <c r="E2842" t="inlineStr">
        <is>
          <t>YDRE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38438-2024</t>
        </is>
      </c>
      <c r="B2843" s="1" t="n">
        <v>45546.42262731482</v>
      </c>
      <c r="C2843" s="1" t="n">
        <v>46093</v>
      </c>
      <c r="D2843" t="inlineStr">
        <is>
          <t>ÖSTERGÖTLANDS LÄN</t>
        </is>
      </c>
      <c r="E2843" t="inlineStr">
        <is>
          <t>VALDEMARSVIK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60597-2023</t>
        </is>
      </c>
      <c r="B2844" s="1" t="n">
        <v>45260</v>
      </c>
      <c r="C2844" s="1" t="n">
        <v>46093</v>
      </c>
      <c r="D2844" t="inlineStr">
        <is>
          <t>ÖSTERGÖTLANDS LÄN</t>
        </is>
      </c>
      <c r="E2844" t="inlineStr">
        <is>
          <t>KINDA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8501-2024</t>
        </is>
      </c>
      <c r="B2845" s="1" t="n">
        <v>45355.45898148148</v>
      </c>
      <c r="C2845" s="1" t="n">
        <v>46093</v>
      </c>
      <c r="D2845" t="inlineStr">
        <is>
          <t>ÖSTERGÖTLANDS LÄN</t>
        </is>
      </c>
      <c r="E2845" t="inlineStr">
        <is>
          <t>KINDA</t>
        </is>
      </c>
      <c r="F2845" t="inlineStr">
        <is>
          <t>Övriga Aktiebolag</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40502-2024</t>
        </is>
      </c>
      <c r="B2846" s="1" t="n">
        <v>45555.57263888889</v>
      </c>
      <c r="C2846" s="1" t="n">
        <v>46093</v>
      </c>
      <c r="D2846" t="inlineStr">
        <is>
          <t>ÖSTERGÖTLANDS LÄN</t>
        </is>
      </c>
      <c r="E2846" t="inlineStr">
        <is>
          <t>LINKÖPING</t>
        </is>
      </c>
      <c r="F2846" t="inlineStr">
        <is>
          <t>Allmännings- och besparingsskogar</t>
        </is>
      </c>
      <c r="G2846" t="n">
        <v>17.5</v>
      </c>
      <c r="H2846" t="n">
        <v>0</v>
      </c>
      <c r="I2846" t="n">
        <v>0</v>
      </c>
      <c r="J2846" t="n">
        <v>0</v>
      </c>
      <c r="K2846" t="n">
        <v>0</v>
      </c>
      <c r="L2846" t="n">
        <v>0</v>
      </c>
      <c r="M2846" t="n">
        <v>0</v>
      </c>
      <c r="N2846" t="n">
        <v>0</v>
      </c>
      <c r="O2846" t="n">
        <v>0</v>
      </c>
      <c r="P2846" t="n">
        <v>0</v>
      </c>
      <c r="Q2846" t="n">
        <v>0</v>
      </c>
      <c r="R2846" s="2" t="inlineStr"/>
    </row>
    <row r="2847" ht="15" customHeight="1">
      <c r="A2847" t="inlineStr">
        <is>
          <t>A 13129-2023</t>
        </is>
      </c>
      <c r="B2847" s="1" t="n">
        <v>45002.51563657408</v>
      </c>
      <c r="C2847" s="1" t="n">
        <v>46093</v>
      </c>
      <c r="D2847" t="inlineStr">
        <is>
          <t>ÖSTERGÖTLANDS LÄN</t>
        </is>
      </c>
      <c r="E2847" t="inlineStr">
        <is>
          <t>ÖDESHÖG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53454-2024</t>
        </is>
      </c>
      <c r="B2848" s="1" t="n">
        <v>45614.54820601852</v>
      </c>
      <c r="C2848" s="1" t="n">
        <v>46093</v>
      </c>
      <c r="D2848" t="inlineStr">
        <is>
          <t>ÖSTERGÖTLANDS LÄN</t>
        </is>
      </c>
      <c r="E2848" t="inlineStr">
        <is>
          <t>MOTALA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44283-2021</t>
        </is>
      </c>
      <c r="B2849" s="1" t="n">
        <v>44435.34016203704</v>
      </c>
      <c r="C2849" s="1" t="n">
        <v>46093</v>
      </c>
      <c r="D2849" t="inlineStr">
        <is>
          <t>ÖSTERGÖTLANDS LÄN</t>
        </is>
      </c>
      <c r="E2849" t="inlineStr">
        <is>
          <t>YDRE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5283-2024</t>
        </is>
      </c>
      <c r="B2850" s="1" t="n">
        <v>45331</v>
      </c>
      <c r="C2850" s="1" t="n">
        <v>46093</v>
      </c>
      <c r="D2850" t="inlineStr">
        <is>
          <t>ÖSTERGÖTLANDS LÄN</t>
        </is>
      </c>
      <c r="E2850" t="inlineStr">
        <is>
          <t>ÖDESHÖG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48790-2023</t>
        </is>
      </c>
      <c r="B2851" s="1" t="n">
        <v>45209.00003472222</v>
      </c>
      <c r="C2851" s="1" t="n">
        <v>46093</v>
      </c>
      <c r="D2851" t="inlineStr">
        <is>
          <t>ÖSTERGÖTLANDS LÄN</t>
        </is>
      </c>
      <c r="E2851" t="inlineStr">
        <is>
          <t>FINSPÅNG</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48793-2023</t>
        </is>
      </c>
      <c r="B2852" s="1" t="n">
        <v>45209</v>
      </c>
      <c r="C2852" s="1" t="n">
        <v>46093</v>
      </c>
      <c r="D2852" t="inlineStr">
        <is>
          <t>ÖSTERGÖTLANDS LÄN</t>
        </is>
      </c>
      <c r="E2852" t="inlineStr">
        <is>
          <t>FINSPÅNG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8413-2025</t>
        </is>
      </c>
      <c r="B2853" s="1" t="n">
        <v>45709.39325231482</v>
      </c>
      <c r="C2853" s="1" t="n">
        <v>46093</v>
      </c>
      <c r="D2853" t="inlineStr">
        <is>
          <t>ÖSTERGÖTLANDS LÄN</t>
        </is>
      </c>
      <c r="E2853" t="inlineStr">
        <is>
          <t>KINDA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43475-2023</t>
        </is>
      </c>
      <c r="B2854" s="1" t="n">
        <v>45184.43140046296</v>
      </c>
      <c r="C2854" s="1" t="n">
        <v>46093</v>
      </c>
      <c r="D2854" t="inlineStr">
        <is>
          <t>ÖSTERGÖTLANDS LÄN</t>
        </is>
      </c>
      <c r="E2854" t="inlineStr">
        <is>
          <t>KINDA</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60233-2022</t>
        </is>
      </c>
      <c r="B2855" s="1" t="n">
        <v>44910</v>
      </c>
      <c r="C2855" s="1" t="n">
        <v>46093</v>
      </c>
      <c r="D2855" t="inlineStr">
        <is>
          <t>ÖSTERGÖTLANDS LÄN</t>
        </is>
      </c>
      <c r="E2855" t="inlineStr">
        <is>
          <t>NORRKÖPING</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39950-2024</t>
        </is>
      </c>
      <c r="B2856" s="1" t="n">
        <v>45553</v>
      </c>
      <c r="C2856" s="1" t="n">
        <v>46093</v>
      </c>
      <c r="D2856" t="inlineStr">
        <is>
          <t>ÖSTERGÖTLANDS LÄN</t>
        </is>
      </c>
      <c r="E2856" t="inlineStr">
        <is>
          <t>MJÖLBY</t>
        </is>
      </c>
      <c r="F2856" t="inlineStr">
        <is>
          <t>Kyrkan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8449-2025</t>
        </is>
      </c>
      <c r="B2857" s="1" t="n">
        <v>45709.45453703704</v>
      </c>
      <c r="C2857" s="1" t="n">
        <v>46093</v>
      </c>
      <c r="D2857" t="inlineStr">
        <is>
          <t>ÖSTERGÖTLANDS LÄN</t>
        </is>
      </c>
      <c r="E2857" t="inlineStr">
        <is>
          <t>YDRE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43534-2023</t>
        </is>
      </c>
      <c r="B2858" s="1" t="n">
        <v>45184.53783564815</v>
      </c>
      <c r="C2858" s="1" t="n">
        <v>46093</v>
      </c>
      <c r="D2858" t="inlineStr">
        <is>
          <t>ÖSTERGÖTLANDS LÄN</t>
        </is>
      </c>
      <c r="E2858" t="inlineStr">
        <is>
          <t>FINSPÅNG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21901-2022</t>
        </is>
      </c>
      <c r="B2859" s="1" t="n">
        <v>44711.45055555556</v>
      </c>
      <c r="C2859" s="1" t="n">
        <v>46093</v>
      </c>
      <c r="D2859" t="inlineStr">
        <is>
          <t>ÖSTERGÖTLANDS LÄN</t>
        </is>
      </c>
      <c r="E2859" t="inlineStr">
        <is>
          <t>SÖDERKÖPING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40063-2024</t>
        </is>
      </c>
      <c r="B2860" s="1" t="n">
        <v>45554.27943287037</v>
      </c>
      <c r="C2860" s="1" t="n">
        <v>46093</v>
      </c>
      <c r="D2860" t="inlineStr">
        <is>
          <t>ÖSTERGÖTLANDS LÄN</t>
        </is>
      </c>
      <c r="E2860" t="inlineStr">
        <is>
          <t>FINSPÅNG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49367-2023</t>
        </is>
      </c>
      <c r="B2861" s="1" t="n">
        <v>45211</v>
      </c>
      <c r="C2861" s="1" t="n">
        <v>46093</v>
      </c>
      <c r="D2861" t="inlineStr">
        <is>
          <t>ÖSTERGÖTLANDS LÄN</t>
        </is>
      </c>
      <c r="E2861" t="inlineStr">
        <is>
          <t>SÖDERKÖPING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7047-2025</t>
        </is>
      </c>
      <c r="B2862" s="1" t="n">
        <v>45701.64342592593</v>
      </c>
      <c r="C2862" s="1" t="n">
        <v>46093</v>
      </c>
      <c r="D2862" t="inlineStr">
        <is>
          <t>ÖSTERGÖTLANDS LÄN</t>
        </is>
      </c>
      <c r="E2862" t="inlineStr">
        <is>
          <t>YDRE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41796-2024</t>
        </is>
      </c>
      <c r="B2863" s="1" t="n">
        <v>45561.36263888889</v>
      </c>
      <c r="C2863" s="1" t="n">
        <v>46093</v>
      </c>
      <c r="D2863" t="inlineStr">
        <is>
          <t>ÖSTERGÖTLANDS LÄN</t>
        </is>
      </c>
      <c r="E2863" t="inlineStr">
        <is>
          <t>MOTALA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36177-2025</t>
        </is>
      </c>
      <c r="B2864" s="1" t="n">
        <v>45867.40793981482</v>
      </c>
      <c r="C2864" s="1" t="n">
        <v>46093</v>
      </c>
      <c r="D2864" t="inlineStr">
        <is>
          <t>ÖSTERGÖTLANDS LÄN</t>
        </is>
      </c>
      <c r="E2864" t="inlineStr">
        <is>
          <t>BOXHOLM</t>
        </is>
      </c>
      <c r="F2864" t="inlineStr">
        <is>
          <t>Övriga Aktiebolag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43599-2025</t>
        </is>
      </c>
      <c r="B2865" s="1" t="n">
        <v>45911.66439814815</v>
      </c>
      <c r="C2865" s="1" t="n">
        <v>46093</v>
      </c>
      <c r="D2865" t="inlineStr">
        <is>
          <t>ÖSTERGÖTLANDS LÄN</t>
        </is>
      </c>
      <c r="E2865" t="inlineStr">
        <is>
          <t>BOXHOLM</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59468-2021</t>
        </is>
      </c>
      <c r="B2866" s="1" t="n">
        <v>44491</v>
      </c>
      <c r="C2866" s="1" t="n">
        <v>46093</v>
      </c>
      <c r="D2866" t="inlineStr">
        <is>
          <t>ÖSTERGÖTLANDS LÄN</t>
        </is>
      </c>
      <c r="E2866" t="inlineStr">
        <is>
          <t>FINSPÅNG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55853-2022</t>
        </is>
      </c>
      <c r="B2867" s="1" t="n">
        <v>44888</v>
      </c>
      <c r="C2867" s="1" t="n">
        <v>46093</v>
      </c>
      <c r="D2867" t="inlineStr">
        <is>
          <t>ÖSTERGÖTLANDS LÄN</t>
        </is>
      </c>
      <c r="E2867" t="inlineStr">
        <is>
          <t>SÖDERKÖPING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15599-2025</t>
        </is>
      </c>
      <c r="B2868" s="1" t="n">
        <v>45747.93793981482</v>
      </c>
      <c r="C2868" s="1" t="n">
        <v>46093</v>
      </c>
      <c r="D2868" t="inlineStr">
        <is>
          <t>ÖSTERGÖTLANDS LÄN</t>
        </is>
      </c>
      <c r="E2868" t="inlineStr">
        <is>
          <t>SÖDERKÖPING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11038-2025</t>
        </is>
      </c>
      <c r="B2869" s="1" t="n">
        <v>45723.48126157407</v>
      </c>
      <c r="C2869" s="1" t="n">
        <v>46093</v>
      </c>
      <c r="D2869" t="inlineStr">
        <is>
          <t>ÖSTERGÖTLANDS LÄN</t>
        </is>
      </c>
      <c r="E2869" t="inlineStr">
        <is>
          <t>FINSPÅNG</t>
        </is>
      </c>
      <c r="F2869" t="inlineStr">
        <is>
          <t>Holmen skog AB</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15452-2025</t>
        </is>
      </c>
      <c r="B2870" s="1" t="n">
        <v>45747.4921875</v>
      </c>
      <c r="C2870" s="1" t="n">
        <v>46093</v>
      </c>
      <c r="D2870" t="inlineStr">
        <is>
          <t>ÖSTERGÖTLANDS LÄN</t>
        </is>
      </c>
      <c r="E2870" t="inlineStr">
        <is>
          <t>ÖDESHÖG</t>
        </is>
      </c>
      <c r="F2870" t="inlineStr">
        <is>
          <t>Allmännings- och besparingsskogar</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43753-2025</t>
        </is>
      </c>
      <c r="B2871" s="1" t="n">
        <v>45912.4715625</v>
      </c>
      <c r="C2871" s="1" t="n">
        <v>46093</v>
      </c>
      <c r="D2871" t="inlineStr">
        <is>
          <t>ÖSTERGÖTLANDS LÄN</t>
        </is>
      </c>
      <c r="E2871" t="inlineStr">
        <is>
          <t>LINKÖPING</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43758-2025</t>
        </is>
      </c>
      <c r="B2872" s="1" t="n">
        <v>45912.47711805555</v>
      </c>
      <c r="C2872" s="1" t="n">
        <v>46093</v>
      </c>
      <c r="D2872" t="inlineStr">
        <is>
          <t>ÖSTERGÖTLANDS LÄN</t>
        </is>
      </c>
      <c r="E2872" t="inlineStr">
        <is>
          <t>LINKÖPING</t>
        </is>
      </c>
      <c r="F2872" t="inlineStr">
        <is>
          <t>Sveaskog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16184-2025</t>
        </is>
      </c>
      <c r="B2873" s="1" t="n">
        <v>45750.58451388889</v>
      </c>
      <c r="C2873" s="1" t="n">
        <v>46093</v>
      </c>
      <c r="D2873" t="inlineStr">
        <is>
          <t>ÖSTERGÖTLANDS LÄN</t>
        </is>
      </c>
      <c r="E2873" t="inlineStr">
        <is>
          <t>VALDEMARSVIK</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15515-2025</t>
        </is>
      </c>
      <c r="B2874" s="1" t="n">
        <v>45747.61591435185</v>
      </c>
      <c r="C2874" s="1" t="n">
        <v>46093</v>
      </c>
      <c r="D2874" t="inlineStr">
        <is>
          <t>ÖSTERGÖTLANDS LÄN</t>
        </is>
      </c>
      <c r="E2874" t="inlineStr">
        <is>
          <t>BOXHOLM</t>
        </is>
      </c>
      <c r="F2874" t="inlineStr">
        <is>
          <t>Övriga Aktiebolag</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56841-2023</t>
        </is>
      </c>
      <c r="B2875" s="1" t="n">
        <v>45244</v>
      </c>
      <c r="C2875" s="1" t="n">
        <v>46093</v>
      </c>
      <c r="D2875" t="inlineStr">
        <is>
          <t>ÖSTERGÖTLANDS LÄN</t>
        </is>
      </c>
      <c r="E2875" t="inlineStr">
        <is>
          <t>LINKÖPING</t>
        </is>
      </c>
      <c r="F2875" t="inlineStr">
        <is>
          <t>Övriga Aktiebolag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15523-2025</t>
        </is>
      </c>
      <c r="B2876" s="1" t="n">
        <v>45747.62706018519</v>
      </c>
      <c r="C2876" s="1" t="n">
        <v>46093</v>
      </c>
      <c r="D2876" t="inlineStr">
        <is>
          <t>ÖSTERGÖTLANDS LÄN</t>
        </is>
      </c>
      <c r="E2876" t="inlineStr">
        <is>
          <t>BOXHOLM</t>
        </is>
      </c>
      <c r="F2876" t="inlineStr">
        <is>
          <t>Övriga Aktiebolag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43363-2024</t>
        </is>
      </c>
      <c r="B2877" s="1" t="n">
        <v>45568</v>
      </c>
      <c r="C2877" s="1" t="n">
        <v>46093</v>
      </c>
      <c r="D2877" t="inlineStr">
        <is>
          <t>ÖSTERGÖTLANDS LÄN</t>
        </is>
      </c>
      <c r="E2877" t="inlineStr">
        <is>
          <t>VALDEMARSVIK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44301-2025</t>
        </is>
      </c>
      <c r="B2878" s="1" t="n">
        <v>45916.37061342593</v>
      </c>
      <c r="C2878" s="1" t="n">
        <v>46093</v>
      </c>
      <c r="D2878" t="inlineStr">
        <is>
          <t>ÖSTERGÖTLANDS LÄN</t>
        </is>
      </c>
      <c r="E2878" t="inlineStr">
        <is>
          <t>YDRE</t>
        </is>
      </c>
      <c r="F2878" t="inlineStr">
        <is>
          <t>Övriga Aktiebolag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44170-2025</t>
        </is>
      </c>
      <c r="B2879" s="1" t="n">
        <v>45915.59864583334</v>
      </c>
      <c r="C2879" s="1" t="n">
        <v>46093</v>
      </c>
      <c r="D2879" t="inlineStr">
        <is>
          <t>ÖSTERGÖTLANDS LÄN</t>
        </is>
      </c>
      <c r="E2879" t="inlineStr">
        <is>
          <t>LINKÖPING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34357-2023</t>
        </is>
      </c>
      <c r="B2880" s="1" t="n">
        <v>45133</v>
      </c>
      <c r="C2880" s="1" t="n">
        <v>46093</v>
      </c>
      <c r="D2880" t="inlineStr">
        <is>
          <t>ÖSTERGÖTLANDS LÄN</t>
        </is>
      </c>
      <c r="E2880" t="inlineStr">
        <is>
          <t>VALDEMARSVIK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44511-2025</t>
        </is>
      </c>
      <c r="B2881" s="1" t="n">
        <v>45916.69100694444</v>
      </c>
      <c r="C2881" s="1" t="n">
        <v>46093</v>
      </c>
      <c r="D2881" t="inlineStr">
        <is>
          <t>ÖSTERGÖTLANDS LÄN</t>
        </is>
      </c>
      <c r="E2881" t="inlineStr">
        <is>
          <t>YDRE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1880-2025</t>
        </is>
      </c>
      <c r="B2882" s="1" t="n">
        <v>45671.62322916667</v>
      </c>
      <c r="C2882" s="1" t="n">
        <v>46093</v>
      </c>
      <c r="D2882" t="inlineStr">
        <is>
          <t>ÖSTERGÖTLANDS LÄN</t>
        </is>
      </c>
      <c r="E2882" t="inlineStr">
        <is>
          <t>KINDA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36302-2025</t>
        </is>
      </c>
      <c r="B2883" s="1" t="n">
        <v>45867.7115625</v>
      </c>
      <c r="C2883" s="1" t="n">
        <v>46093</v>
      </c>
      <c r="D2883" t="inlineStr">
        <is>
          <t>ÖSTERGÖTLANDS LÄN</t>
        </is>
      </c>
      <c r="E2883" t="inlineStr">
        <is>
          <t>NORRKÖPING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44148-2024</t>
        </is>
      </c>
      <c r="B2884" s="1" t="n">
        <v>45572.67354166666</v>
      </c>
      <c r="C2884" s="1" t="n">
        <v>46093</v>
      </c>
      <c r="D2884" t="inlineStr">
        <is>
          <t>ÖSTERGÖTLANDS LÄN</t>
        </is>
      </c>
      <c r="E2884" t="inlineStr">
        <is>
          <t>FINSPÅNG</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44155-2024</t>
        </is>
      </c>
      <c r="B2885" s="1" t="n">
        <v>45572.68226851852</v>
      </c>
      <c r="C2885" s="1" t="n">
        <v>46093</v>
      </c>
      <c r="D2885" t="inlineStr">
        <is>
          <t>ÖSTERGÖTLANDS LÄN</t>
        </is>
      </c>
      <c r="E2885" t="inlineStr">
        <is>
          <t>LINKÖPING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44505-2025</t>
        </is>
      </c>
      <c r="B2886" s="1" t="n">
        <v>45916.68157407407</v>
      </c>
      <c r="C2886" s="1" t="n">
        <v>46093</v>
      </c>
      <c r="D2886" t="inlineStr">
        <is>
          <t>ÖSTERGÖTLANDS LÄN</t>
        </is>
      </c>
      <c r="E2886" t="inlineStr">
        <is>
          <t>YDRE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46237-2024</t>
        </is>
      </c>
      <c r="B2887" s="1" t="n">
        <v>45581.58351851852</v>
      </c>
      <c r="C2887" s="1" t="n">
        <v>46093</v>
      </c>
      <c r="D2887" t="inlineStr">
        <is>
          <t>ÖSTERGÖTLANDS LÄN</t>
        </is>
      </c>
      <c r="E2887" t="inlineStr">
        <is>
          <t>BOXHOLM</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24637-2024</t>
        </is>
      </c>
      <c r="B2888" s="1" t="n">
        <v>45460.54476851852</v>
      </c>
      <c r="C2888" s="1" t="n">
        <v>46093</v>
      </c>
      <c r="D2888" t="inlineStr">
        <is>
          <t>ÖSTERGÖTLANDS LÄN</t>
        </is>
      </c>
      <c r="E2888" t="inlineStr">
        <is>
          <t>YDRE</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28239-2023</t>
        </is>
      </c>
      <c r="B2889" s="1" t="n">
        <v>45099</v>
      </c>
      <c r="C2889" s="1" t="n">
        <v>46093</v>
      </c>
      <c r="D2889" t="inlineStr">
        <is>
          <t>ÖSTERGÖTLANDS LÄN</t>
        </is>
      </c>
      <c r="E2889" t="inlineStr">
        <is>
          <t>YDRE</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56420-2023</t>
        </is>
      </c>
      <c r="B2890" s="1" t="n">
        <v>45243.44707175926</v>
      </c>
      <c r="C2890" s="1" t="n">
        <v>46093</v>
      </c>
      <c r="D2890" t="inlineStr">
        <is>
          <t>ÖSTERGÖTLANDS LÄN</t>
        </is>
      </c>
      <c r="E2890" t="inlineStr">
        <is>
          <t>FINSPÅNG</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14750-2023</t>
        </is>
      </c>
      <c r="B2891" s="1" t="n">
        <v>45014.52033564815</v>
      </c>
      <c r="C2891" s="1" t="n">
        <v>46093</v>
      </c>
      <c r="D2891" t="inlineStr">
        <is>
          <t>ÖSTERGÖTLANDS LÄN</t>
        </is>
      </c>
      <c r="E2891" t="inlineStr">
        <is>
          <t>ÖDESHÖG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36126-2023</t>
        </is>
      </c>
      <c r="B2892" s="1" t="n">
        <v>45149.57319444444</v>
      </c>
      <c r="C2892" s="1" t="n">
        <v>46093</v>
      </c>
      <c r="D2892" t="inlineStr">
        <is>
          <t>ÖSTERGÖTLANDS LÄN</t>
        </is>
      </c>
      <c r="E2892" t="inlineStr">
        <is>
          <t>KINDA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24972-2022</t>
        </is>
      </c>
      <c r="B2893" s="1" t="n">
        <v>44728</v>
      </c>
      <c r="C2893" s="1" t="n">
        <v>46093</v>
      </c>
      <c r="D2893" t="inlineStr">
        <is>
          <t>ÖSTERGÖTLANDS LÄN</t>
        </is>
      </c>
      <c r="E2893" t="inlineStr">
        <is>
          <t>VALDEMARSVIK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14817-2023</t>
        </is>
      </c>
      <c r="B2894" s="1" t="n">
        <v>45014.65841435185</v>
      </c>
      <c r="C2894" s="1" t="n">
        <v>46093</v>
      </c>
      <c r="D2894" t="inlineStr">
        <is>
          <t>ÖSTERGÖTLANDS LÄN</t>
        </is>
      </c>
      <c r="E2894" t="inlineStr">
        <is>
          <t>KINDA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17104-2022</t>
        </is>
      </c>
      <c r="B2895" s="1" t="n">
        <v>44677</v>
      </c>
      <c r="C2895" s="1" t="n">
        <v>46093</v>
      </c>
      <c r="D2895" t="inlineStr">
        <is>
          <t>ÖSTERGÖTLANDS LÄN</t>
        </is>
      </c>
      <c r="E2895" t="inlineStr">
        <is>
          <t>FINSPÅNG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51748-2023</t>
        </is>
      </c>
      <c r="B2896" s="1" t="n">
        <v>45222.67434027778</v>
      </c>
      <c r="C2896" s="1" t="n">
        <v>46093</v>
      </c>
      <c r="D2896" t="inlineStr">
        <is>
          <t>ÖSTERGÖTLANDS LÄN</t>
        </is>
      </c>
      <c r="E2896" t="inlineStr">
        <is>
          <t>SÖDERKÖPING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51757-2023</t>
        </is>
      </c>
      <c r="B2897" s="1" t="n">
        <v>45222</v>
      </c>
      <c r="C2897" s="1" t="n">
        <v>46093</v>
      </c>
      <c r="D2897" t="inlineStr">
        <is>
          <t>ÖSTERGÖTLANDS LÄN</t>
        </is>
      </c>
      <c r="E2897" t="inlineStr">
        <is>
          <t>BOXHOLM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44498-2025</t>
        </is>
      </c>
      <c r="B2898" s="1" t="n">
        <v>45916.6724537037</v>
      </c>
      <c r="C2898" s="1" t="n">
        <v>46093</v>
      </c>
      <c r="D2898" t="inlineStr">
        <is>
          <t>ÖSTERGÖTLANDS LÄN</t>
        </is>
      </c>
      <c r="E2898" t="inlineStr">
        <is>
          <t>YDRE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44503-2025</t>
        </is>
      </c>
      <c r="B2899" s="1" t="n">
        <v>45916.67841435185</v>
      </c>
      <c r="C2899" s="1" t="n">
        <v>46093</v>
      </c>
      <c r="D2899" t="inlineStr">
        <is>
          <t>ÖSTERGÖTLANDS LÄN</t>
        </is>
      </c>
      <c r="E2899" t="inlineStr">
        <is>
          <t>YDRE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44508-2025</t>
        </is>
      </c>
      <c r="B2900" s="1" t="n">
        <v>45916.68699074074</v>
      </c>
      <c r="C2900" s="1" t="n">
        <v>46093</v>
      </c>
      <c r="D2900" t="inlineStr">
        <is>
          <t>ÖSTERGÖTLANDS LÄN</t>
        </is>
      </c>
      <c r="E2900" t="inlineStr">
        <is>
          <t>YDRE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9975-2022</t>
        </is>
      </c>
      <c r="B2901" s="1" t="n">
        <v>44621</v>
      </c>
      <c r="C2901" s="1" t="n">
        <v>46093</v>
      </c>
      <c r="D2901" t="inlineStr">
        <is>
          <t>ÖSTERGÖTLANDS LÄN</t>
        </is>
      </c>
      <c r="E2901" t="inlineStr">
        <is>
          <t>ÅTVIDABERG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4545-2025</t>
        </is>
      </c>
      <c r="B2902" s="1" t="n">
        <v>45687.39960648148</v>
      </c>
      <c r="C2902" s="1" t="n">
        <v>46093</v>
      </c>
      <c r="D2902" t="inlineStr">
        <is>
          <t>ÖSTERGÖTLANDS LÄN</t>
        </is>
      </c>
      <c r="E2902" t="inlineStr">
        <is>
          <t>YDRE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22319-2024</t>
        </is>
      </c>
      <c r="B2903" s="1" t="n">
        <v>45446.57724537037</v>
      </c>
      <c r="C2903" s="1" t="n">
        <v>46093</v>
      </c>
      <c r="D2903" t="inlineStr">
        <is>
          <t>ÖSTERGÖTLANDS LÄN</t>
        </is>
      </c>
      <c r="E2903" t="inlineStr">
        <is>
          <t>NORRKÖPING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25599-2025</t>
        </is>
      </c>
      <c r="B2904" s="1" t="n">
        <v>45803</v>
      </c>
      <c r="C2904" s="1" t="n">
        <v>46093</v>
      </c>
      <c r="D2904" t="inlineStr">
        <is>
          <t>ÖSTERGÖTLANDS LÄN</t>
        </is>
      </c>
      <c r="E2904" t="inlineStr">
        <is>
          <t>MOTALA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22322-2024</t>
        </is>
      </c>
      <c r="B2905" s="1" t="n">
        <v>45446.5790625</v>
      </c>
      <c r="C2905" s="1" t="n">
        <v>46093</v>
      </c>
      <c r="D2905" t="inlineStr">
        <is>
          <t>ÖSTERGÖTLANDS LÄN</t>
        </is>
      </c>
      <c r="E2905" t="inlineStr">
        <is>
          <t>NORRKÖPING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306-2025</t>
        </is>
      </c>
      <c r="B2906" s="1" t="n">
        <v>45660.58204861111</v>
      </c>
      <c r="C2906" s="1" t="n">
        <v>46093</v>
      </c>
      <c r="D2906" t="inlineStr">
        <is>
          <t>ÖSTERGÖTLANDS LÄN</t>
        </is>
      </c>
      <c r="E2906" t="inlineStr">
        <is>
          <t>FINSPÅNG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44428-2025</t>
        </is>
      </c>
      <c r="B2907" s="1" t="n">
        <v>45916.56863425926</v>
      </c>
      <c r="C2907" s="1" t="n">
        <v>46093</v>
      </c>
      <c r="D2907" t="inlineStr">
        <is>
          <t>ÖSTERGÖTLANDS LÄN</t>
        </is>
      </c>
      <c r="E2907" t="inlineStr">
        <is>
          <t>ÅTVIDABERG</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6239-2025</t>
        </is>
      </c>
      <c r="B2908" s="1" t="n">
        <v>45698.56226851852</v>
      </c>
      <c r="C2908" s="1" t="n">
        <v>46093</v>
      </c>
      <c r="D2908" t="inlineStr">
        <is>
          <t>ÖSTERGÖTLANDS LÄN</t>
        </is>
      </c>
      <c r="E2908" t="inlineStr">
        <is>
          <t>BOXHOLM</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36166-2025</t>
        </is>
      </c>
      <c r="B2909" s="1" t="n">
        <v>45867</v>
      </c>
      <c r="C2909" s="1" t="n">
        <v>46093</v>
      </c>
      <c r="D2909" t="inlineStr">
        <is>
          <t>ÖSTERGÖTLANDS LÄN</t>
        </is>
      </c>
      <c r="E2909" t="inlineStr">
        <is>
          <t>BOXHOLM</t>
        </is>
      </c>
      <c r="F2909" t="inlineStr">
        <is>
          <t>Övriga Aktiebolag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44427-2025</t>
        </is>
      </c>
      <c r="B2910" s="1" t="n">
        <v>45916.56532407407</v>
      </c>
      <c r="C2910" s="1" t="n">
        <v>46093</v>
      </c>
      <c r="D2910" t="inlineStr">
        <is>
          <t>ÖSTERGÖTLANDS LÄN</t>
        </is>
      </c>
      <c r="E2910" t="inlineStr">
        <is>
          <t>BOXHOLM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44430-2025</t>
        </is>
      </c>
      <c r="B2911" s="1" t="n">
        <v>45916.57045138889</v>
      </c>
      <c r="C2911" s="1" t="n">
        <v>46093</v>
      </c>
      <c r="D2911" t="inlineStr">
        <is>
          <t>ÖSTERGÖTLANDS LÄN</t>
        </is>
      </c>
      <c r="E2911" t="inlineStr">
        <is>
          <t>ÅTVIDABERG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44474-2025</t>
        </is>
      </c>
      <c r="B2912" s="1" t="n">
        <v>45916.64399305556</v>
      </c>
      <c r="C2912" s="1" t="n">
        <v>46093</v>
      </c>
      <c r="D2912" t="inlineStr">
        <is>
          <t>ÖSTERGÖTLANDS LÄN</t>
        </is>
      </c>
      <c r="E2912" t="inlineStr">
        <is>
          <t>YDRE</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31850-2023</t>
        </is>
      </c>
      <c r="B2913" s="1" t="n">
        <v>45106</v>
      </c>
      <c r="C2913" s="1" t="n">
        <v>46093</v>
      </c>
      <c r="D2913" t="inlineStr">
        <is>
          <t>ÖSTERGÖTLANDS LÄN</t>
        </is>
      </c>
      <c r="E2913" t="inlineStr">
        <is>
          <t>NORRKÖPING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47467-2021</t>
        </is>
      </c>
      <c r="B2914" s="1" t="n">
        <v>44447</v>
      </c>
      <c r="C2914" s="1" t="n">
        <v>46093</v>
      </c>
      <c r="D2914" t="inlineStr">
        <is>
          <t>ÖSTERGÖTLANDS LÄN</t>
        </is>
      </c>
      <c r="E2914" t="inlineStr">
        <is>
          <t>YDRE</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28722-2023</t>
        </is>
      </c>
      <c r="B2915" s="1" t="n">
        <v>45103</v>
      </c>
      <c r="C2915" s="1" t="n">
        <v>46093</v>
      </c>
      <c r="D2915" t="inlineStr">
        <is>
          <t>ÖSTERGÖTLANDS LÄN</t>
        </is>
      </c>
      <c r="E2915" t="inlineStr">
        <is>
          <t>FINSPÅNG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57336-2023</t>
        </is>
      </c>
      <c r="B2916" s="1" t="n">
        <v>45245.66636574074</v>
      </c>
      <c r="C2916" s="1" t="n">
        <v>46093</v>
      </c>
      <c r="D2916" t="inlineStr">
        <is>
          <t>ÖSTERGÖTLANDS LÄN</t>
        </is>
      </c>
      <c r="E2916" t="inlineStr">
        <is>
          <t>KINDA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46417-2023</t>
        </is>
      </c>
      <c r="B2917" s="1" t="n">
        <v>45197</v>
      </c>
      <c r="C2917" s="1" t="n">
        <v>46093</v>
      </c>
      <c r="D2917" t="inlineStr">
        <is>
          <t>ÖSTERGÖTLANDS LÄN</t>
        </is>
      </c>
      <c r="E2917" t="inlineStr">
        <is>
          <t>SÖDERKÖPING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4821-2023</t>
        </is>
      </c>
      <c r="B2918" s="1" t="n">
        <v>44957.64600694444</v>
      </c>
      <c r="C2918" s="1" t="n">
        <v>46093</v>
      </c>
      <c r="D2918" t="inlineStr">
        <is>
          <t>ÖSTERGÖTLANDS LÄN</t>
        </is>
      </c>
      <c r="E2918" t="inlineStr">
        <is>
          <t>MJÖLBY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43944-2025</t>
        </is>
      </c>
      <c r="B2919" s="1" t="n">
        <v>45915.37070601852</v>
      </c>
      <c r="C2919" s="1" t="n">
        <v>46093</v>
      </c>
      <c r="D2919" t="inlineStr">
        <is>
          <t>ÖSTERGÖTLANDS LÄN</t>
        </is>
      </c>
      <c r="E2919" t="inlineStr">
        <is>
          <t>FINSPÅNG</t>
        </is>
      </c>
      <c r="F2919" t="inlineStr">
        <is>
          <t>Holmen skog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43950-2025</t>
        </is>
      </c>
      <c r="B2920" s="1" t="n">
        <v>45915.38060185185</v>
      </c>
      <c r="C2920" s="1" t="n">
        <v>46093</v>
      </c>
      <c r="D2920" t="inlineStr">
        <is>
          <t>ÖSTERGÖTLANDS LÄN</t>
        </is>
      </c>
      <c r="E2920" t="inlineStr">
        <is>
          <t>FINSPÅNG</t>
        </is>
      </c>
      <c r="F2920" t="inlineStr">
        <is>
          <t>Holmen skog AB</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19745-2024</t>
        </is>
      </c>
      <c r="B2921" s="1" t="n">
        <v>45432.65179398148</v>
      </c>
      <c r="C2921" s="1" t="n">
        <v>46093</v>
      </c>
      <c r="D2921" t="inlineStr">
        <is>
          <t>ÖSTERGÖTLANDS LÄN</t>
        </is>
      </c>
      <c r="E2921" t="inlineStr">
        <is>
          <t>VALDEMARSVIK</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10980-2024</t>
        </is>
      </c>
      <c r="B2922" s="1" t="n">
        <v>45370.5349074074</v>
      </c>
      <c r="C2922" s="1" t="n">
        <v>46093</v>
      </c>
      <c r="D2922" t="inlineStr">
        <is>
          <t>ÖSTERGÖTLANDS LÄN</t>
        </is>
      </c>
      <c r="E2922" t="inlineStr">
        <is>
          <t>MJÖLBY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3919-2025</t>
        </is>
      </c>
      <c r="B2923" s="1" t="n">
        <v>45684.44605324074</v>
      </c>
      <c r="C2923" s="1" t="n">
        <v>46093</v>
      </c>
      <c r="D2923" t="inlineStr">
        <is>
          <t>ÖSTERGÖTLANDS LÄN</t>
        </is>
      </c>
      <c r="E2923" t="inlineStr">
        <is>
          <t>SÖDERKÖPING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55181-2022</t>
        </is>
      </c>
      <c r="B2924" s="1" t="n">
        <v>44886.84479166667</v>
      </c>
      <c r="C2924" s="1" t="n">
        <v>46093</v>
      </c>
      <c r="D2924" t="inlineStr">
        <is>
          <t>ÖSTERGÖTLANDS LÄN</t>
        </is>
      </c>
      <c r="E2924" t="inlineStr">
        <is>
          <t>BOXHOLM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55183-2022</t>
        </is>
      </c>
      <c r="B2925" s="1" t="n">
        <v>44886</v>
      </c>
      <c r="C2925" s="1" t="n">
        <v>46093</v>
      </c>
      <c r="D2925" t="inlineStr">
        <is>
          <t>ÖSTERGÖTLANDS LÄN</t>
        </is>
      </c>
      <c r="E2925" t="inlineStr">
        <is>
          <t>BOXHOLM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6592-2025</t>
        </is>
      </c>
      <c r="B2926" s="1" t="n">
        <v>45700.31006944444</v>
      </c>
      <c r="C2926" s="1" t="n">
        <v>46093</v>
      </c>
      <c r="D2926" t="inlineStr">
        <is>
          <t>ÖSTERGÖTLANDS LÄN</t>
        </is>
      </c>
      <c r="E2926" t="inlineStr">
        <is>
          <t>ÖDESHÖG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43012-2024</t>
        </is>
      </c>
      <c r="B2927" s="1" t="n">
        <v>45567.3878125</v>
      </c>
      <c r="C2927" s="1" t="n">
        <v>46093</v>
      </c>
      <c r="D2927" t="inlineStr">
        <is>
          <t>ÖSTERGÖTLANDS LÄN</t>
        </is>
      </c>
      <c r="E2927" t="inlineStr">
        <is>
          <t>MJÖLBY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61002-2023</t>
        </is>
      </c>
      <c r="B2928" s="1" t="n">
        <v>45261.50924768519</v>
      </c>
      <c r="C2928" s="1" t="n">
        <v>46093</v>
      </c>
      <c r="D2928" t="inlineStr">
        <is>
          <t>ÖSTERGÖTLANDS LÄN</t>
        </is>
      </c>
      <c r="E2928" t="inlineStr">
        <is>
          <t>NORRKÖPING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36175-2025</t>
        </is>
      </c>
      <c r="B2929" s="1" t="n">
        <v>45867</v>
      </c>
      <c r="C2929" s="1" t="n">
        <v>46093</v>
      </c>
      <c r="D2929" t="inlineStr">
        <is>
          <t>ÖSTERGÖTLANDS LÄN</t>
        </is>
      </c>
      <c r="E2929" t="inlineStr">
        <is>
          <t>BOXHOLM</t>
        </is>
      </c>
      <c r="F2929" t="inlineStr">
        <is>
          <t>Övriga Aktiebolag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6635-2025</t>
        </is>
      </c>
      <c r="B2930" s="1" t="n">
        <v>45700.3816087963</v>
      </c>
      <c r="C2930" s="1" t="n">
        <v>46093</v>
      </c>
      <c r="D2930" t="inlineStr">
        <is>
          <t>ÖSTERGÖTLANDS LÄN</t>
        </is>
      </c>
      <c r="E2930" t="inlineStr">
        <is>
          <t>FINSPÅNG</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37405-2023</t>
        </is>
      </c>
      <c r="B2931" s="1" t="n">
        <v>45156</v>
      </c>
      <c r="C2931" s="1" t="n">
        <v>46093</v>
      </c>
      <c r="D2931" t="inlineStr">
        <is>
          <t>ÖSTERGÖTLANDS LÄN</t>
        </is>
      </c>
      <c r="E2931" t="inlineStr">
        <is>
          <t>BOXHOLM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24234-2022</t>
        </is>
      </c>
      <c r="B2932" s="1" t="n">
        <v>44725</v>
      </c>
      <c r="C2932" s="1" t="n">
        <v>46093</v>
      </c>
      <c r="D2932" t="inlineStr">
        <is>
          <t>ÖSTERGÖTLANDS LÄN</t>
        </is>
      </c>
      <c r="E2932" t="inlineStr">
        <is>
          <t>VALDEMARSVIK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55252-2022</t>
        </is>
      </c>
      <c r="B2933" s="1" t="n">
        <v>44887.30880787037</v>
      </c>
      <c r="C2933" s="1" t="n">
        <v>46093</v>
      </c>
      <c r="D2933" t="inlineStr">
        <is>
          <t>ÖSTERGÖTLANDS LÄN</t>
        </is>
      </c>
      <c r="E2933" t="inlineStr">
        <is>
          <t>BOXHOLM</t>
        </is>
      </c>
      <c r="F2933" t="inlineStr">
        <is>
          <t>Övriga Aktiebolag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59287-2023</t>
        </is>
      </c>
      <c r="B2934" s="1" t="n">
        <v>45253.57049768518</v>
      </c>
      <c r="C2934" s="1" t="n">
        <v>46093</v>
      </c>
      <c r="D2934" t="inlineStr">
        <is>
          <t>ÖSTERGÖTLANDS LÄN</t>
        </is>
      </c>
      <c r="E2934" t="inlineStr">
        <is>
          <t>FINSPÅNG</t>
        </is>
      </c>
      <c r="F2934" t="inlineStr">
        <is>
          <t>Holmen skog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44372-2025</t>
        </is>
      </c>
      <c r="B2935" s="1" t="n">
        <v>45916.46465277778</v>
      </c>
      <c r="C2935" s="1" t="n">
        <v>46093</v>
      </c>
      <c r="D2935" t="inlineStr">
        <is>
          <t>ÖSTERGÖTLANDS LÄN</t>
        </is>
      </c>
      <c r="E2935" t="inlineStr">
        <is>
          <t>ÅTVIDABERG</t>
        </is>
      </c>
      <c r="F2935" t="inlineStr">
        <is>
          <t>Sveaskog</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49443-2021</t>
        </is>
      </c>
      <c r="B2936" s="1" t="n">
        <v>44454.66972222222</v>
      </c>
      <c r="C2936" s="1" t="n">
        <v>46093</v>
      </c>
      <c r="D2936" t="inlineStr">
        <is>
          <t>ÖSTERGÖTLANDS LÄN</t>
        </is>
      </c>
      <c r="E2936" t="inlineStr">
        <is>
          <t>KINDA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42997-2021</t>
        </is>
      </c>
      <c r="B2937" s="1" t="n">
        <v>44431.45556712963</v>
      </c>
      <c r="C2937" s="1" t="n">
        <v>46093</v>
      </c>
      <c r="D2937" t="inlineStr">
        <is>
          <t>ÖSTERGÖTLANDS LÄN</t>
        </is>
      </c>
      <c r="E2937" t="inlineStr">
        <is>
          <t>LINKÖPING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24859-2022</t>
        </is>
      </c>
      <c r="B2938" s="1" t="n">
        <v>44728.4884837963</v>
      </c>
      <c r="C2938" s="1" t="n">
        <v>46093</v>
      </c>
      <c r="D2938" t="inlineStr">
        <is>
          <t>ÖSTERGÖTLANDS LÄN</t>
        </is>
      </c>
      <c r="E2938" t="inlineStr">
        <is>
          <t>BOXHOLM</t>
        </is>
      </c>
      <c r="F2938" t="inlineStr">
        <is>
          <t>Övriga Aktiebolag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43151-2023</t>
        </is>
      </c>
      <c r="B2939" s="1" t="n">
        <v>45183.32618055555</v>
      </c>
      <c r="C2939" s="1" t="n">
        <v>46093</v>
      </c>
      <c r="D2939" t="inlineStr">
        <is>
          <t>ÖSTERGÖTLANDS LÄN</t>
        </is>
      </c>
      <c r="E2939" t="inlineStr">
        <is>
          <t>VALDEMARSVIK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36172-2025</t>
        </is>
      </c>
      <c r="B2940" s="1" t="n">
        <v>45866</v>
      </c>
      <c r="C2940" s="1" t="n">
        <v>46093</v>
      </c>
      <c r="D2940" t="inlineStr">
        <is>
          <t>ÖSTERGÖTLANDS LÄN</t>
        </is>
      </c>
      <c r="E2940" t="inlineStr">
        <is>
          <t>KINDA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43263-2023</t>
        </is>
      </c>
      <c r="B2941" s="1" t="n">
        <v>45183</v>
      </c>
      <c r="C2941" s="1" t="n">
        <v>46093</v>
      </c>
      <c r="D2941" t="inlineStr">
        <is>
          <t>ÖSTERGÖTLANDS LÄN</t>
        </is>
      </c>
      <c r="E2941" t="inlineStr">
        <is>
          <t>ÖDESHÖG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28681-2022</t>
        </is>
      </c>
      <c r="B2942" s="1" t="n">
        <v>44748.70547453704</v>
      </c>
      <c r="C2942" s="1" t="n">
        <v>46093</v>
      </c>
      <c r="D2942" t="inlineStr">
        <is>
          <t>ÖSTERGÖTLANDS LÄN</t>
        </is>
      </c>
      <c r="E2942" t="inlineStr">
        <is>
          <t>MOTALA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28686-2022</t>
        </is>
      </c>
      <c r="B2943" s="1" t="n">
        <v>44748</v>
      </c>
      <c r="C2943" s="1" t="n">
        <v>46093</v>
      </c>
      <c r="D2943" t="inlineStr">
        <is>
          <t>ÖSTERGÖTLANDS LÄN</t>
        </is>
      </c>
      <c r="E2943" t="inlineStr">
        <is>
          <t>MOTALA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44468-2025</t>
        </is>
      </c>
      <c r="B2944" s="1" t="n">
        <v>45916.63689814815</v>
      </c>
      <c r="C2944" s="1" t="n">
        <v>46093</v>
      </c>
      <c r="D2944" t="inlineStr">
        <is>
          <t>ÖSTERGÖTLANDS LÄN</t>
        </is>
      </c>
      <c r="E2944" t="inlineStr">
        <is>
          <t>YDRE</t>
        </is>
      </c>
      <c r="F2944" t="inlineStr">
        <is>
          <t>Sveaskog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44485-2025</t>
        </is>
      </c>
      <c r="B2945" s="1" t="n">
        <v>45916.65414351852</v>
      </c>
      <c r="C2945" s="1" t="n">
        <v>46093</v>
      </c>
      <c r="D2945" t="inlineStr">
        <is>
          <t>ÖSTERGÖTLANDS LÄN</t>
        </is>
      </c>
      <c r="E2945" t="inlineStr">
        <is>
          <t>YDRE</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60964-2023</t>
        </is>
      </c>
      <c r="B2946" s="1" t="n">
        <v>45261</v>
      </c>
      <c r="C2946" s="1" t="n">
        <v>46093</v>
      </c>
      <c r="D2946" t="inlineStr">
        <is>
          <t>ÖSTERGÖTLANDS LÄN</t>
        </is>
      </c>
      <c r="E2946" t="inlineStr">
        <is>
          <t>MJÖLBY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24252-2022</t>
        </is>
      </c>
      <c r="B2947" s="1" t="n">
        <v>44725.67675925926</v>
      </c>
      <c r="C2947" s="1" t="n">
        <v>46093</v>
      </c>
      <c r="D2947" t="inlineStr">
        <is>
          <t>ÖSTERGÖTLANDS LÄN</t>
        </is>
      </c>
      <c r="E2947" t="inlineStr">
        <is>
          <t>MOTALA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27737-2022</t>
        </is>
      </c>
      <c r="B2948" s="1" t="n">
        <v>44743</v>
      </c>
      <c r="C2948" s="1" t="n">
        <v>46093</v>
      </c>
      <c r="D2948" t="inlineStr">
        <is>
          <t>ÖSTERGÖTLANDS LÄN</t>
        </is>
      </c>
      <c r="E2948" t="inlineStr">
        <is>
          <t>YDRE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44294-2025</t>
        </is>
      </c>
      <c r="B2949" s="1" t="n">
        <v>45916.36207175926</v>
      </c>
      <c r="C2949" s="1" t="n">
        <v>46093</v>
      </c>
      <c r="D2949" t="inlineStr">
        <is>
          <t>ÖSTERGÖTLANDS LÄN</t>
        </is>
      </c>
      <c r="E2949" t="inlineStr">
        <is>
          <t>YDRE</t>
        </is>
      </c>
      <c r="F2949" t="inlineStr">
        <is>
          <t>Övriga Aktiebolag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44866-2024</t>
        </is>
      </c>
      <c r="B2950" s="1" t="n">
        <v>45575.32675925926</v>
      </c>
      <c r="C2950" s="1" t="n">
        <v>46093</v>
      </c>
      <c r="D2950" t="inlineStr">
        <is>
          <t>ÖSTERGÖTLANDS LÄN</t>
        </is>
      </c>
      <c r="E2950" t="inlineStr">
        <is>
          <t>MOTALA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44464-2025</t>
        </is>
      </c>
      <c r="B2951" s="1" t="n">
        <v>45916.63203703704</v>
      </c>
      <c r="C2951" s="1" t="n">
        <v>46093</v>
      </c>
      <c r="D2951" t="inlineStr">
        <is>
          <t>ÖSTERGÖTLANDS LÄN</t>
        </is>
      </c>
      <c r="E2951" t="inlineStr">
        <is>
          <t>YDRE</t>
        </is>
      </c>
      <c r="F2951" t="inlineStr">
        <is>
          <t>Sveaskog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36277-2025</t>
        </is>
      </c>
      <c r="B2952" s="1" t="n">
        <v>45867.63622685185</v>
      </c>
      <c r="C2952" s="1" t="n">
        <v>46093</v>
      </c>
      <c r="D2952" t="inlineStr">
        <is>
          <t>ÖSTERGÖTLANDS LÄN</t>
        </is>
      </c>
      <c r="E2952" t="inlineStr">
        <is>
          <t>YDRE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53812-2023</t>
        </is>
      </c>
      <c r="B2953" s="1" t="n">
        <v>45231.39583333334</v>
      </c>
      <c r="C2953" s="1" t="n">
        <v>46093</v>
      </c>
      <c r="D2953" t="inlineStr">
        <is>
          <t>ÖSTERGÖTLANDS LÄN</t>
        </is>
      </c>
      <c r="E2953" t="inlineStr">
        <is>
          <t>LINKÖPING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32030-2025</t>
        </is>
      </c>
      <c r="B2954" s="1" t="n">
        <v>45835</v>
      </c>
      <c r="C2954" s="1" t="n">
        <v>46093</v>
      </c>
      <c r="D2954" t="inlineStr">
        <is>
          <t>ÖSTERGÖTLANDS LÄN</t>
        </is>
      </c>
      <c r="E2954" t="inlineStr">
        <is>
          <t>ÅTVIDABERG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53830-2023</t>
        </is>
      </c>
      <c r="B2955" s="1" t="n">
        <v>45230</v>
      </c>
      <c r="C2955" s="1" t="n">
        <v>46093</v>
      </c>
      <c r="D2955" t="inlineStr">
        <is>
          <t>ÖSTERGÖTLANDS LÄN</t>
        </is>
      </c>
      <c r="E2955" t="inlineStr">
        <is>
          <t>LINKÖPING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47090-2023</t>
        </is>
      </c>
      <c r="B2956" s="1" t="n">
        <v>45201.63637731481</v>
      </c>
      <c r="C2956" s="1" t="n">
        <v>46093</v>
      </c>
      <c r="D2956" t="inlineStr">
        <is>
          <t>ÖSTERGÖTLANDS LÄN</t>
        </is>
      </c>
      <c r="E2956" t="inlineStr">
        <is>
          <t>NORRKÖPING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15276-2022</t>
        </is>
      </c>
      <c r="B2957" s="1" t="n">
        <v>44659</v>
      </c>
      <c r="C2957" s="1" t="n">
        <v>46093</v>
      </c>
      <c r="D2957" t="inlineStr">
        <is>
          <t>ÖSTERGÖTLANDS LÄN</t>
        </is>
      </c>
      <c r="E2957" t="inlineStr">
        <is>
          <t>MJÖLBY</t>
        </is>
      </c>
      <c r="F2957" t="inlineStr">
        <is>
          <t>Kyrkan</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44815-2025</t>
        </is>
      </c>
      <c r="B2958" s="1" t="n">
        <v>45918.37513888889</v>
      </c>
      <c r="C2958" s="1" t="n">
        <v>46093</v>
      </c>
      <c r="D2958" t="inlineStr">
        <is>
          <t>ÖSTERGÖTLANDS LÄN</t>
        </is>
      </c>
      <c r="E2958" t="inlineStr">
        <is>
          <t>FINSPÅNG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36621-2023</t>
        </is>
      </c>
      <c r="B2959" s="1" t="n">
        <v>45153.5044212963</v>
      </c>
      <c r="C2959" s="1" t="n">
        <v>46093</v>
      </c>
      <c r="D2959" t="inlineStr">
        <is>
          <t>ÖSTERGÖTLANDS LÄN</t>
        </is>
      </c>
      <c r="E2959" t="inlineStr">
        <is>
          <t>ÅTVIDABERG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8179-2025</t>
        </is>
      </c>
      <c r="B2960" s="1" t="n">
        <v>45708.39165509259</v>
      </c>
      <c r="C2960" s="1" t="n">
        <v>46093</v>
      </c>
      <c r="D2960" t="inlineStr">
        <is>
          <t>ÖSTERGÖTLANDS LÄN</t>
        </is>
      </c>
      <c r="E2960" t="inlineStr">
        <is>
          <t>VALDEMARSVIK</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14082-2023</t>
        </is>
      </c>
      <c r="B2961" s="1" t="n">
        <v>45009</v>
      </c>
      <c r="C2961" s="1" t="n">
        <v>46093</v>
      </c>
      <c r="D2961" t="inlineStr">
        <is>
          <t>ÖSTERGÖTLANDS LÄN</t>
        </is>
      </c>
      <c r="E2961" t="inlineStr">
        <is>
          <t>VALDEMARSVIK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40296-2024</t>
        </is>
      </c>
      <c r="B2962" s="1" t="n">
        <v>45554.69748842593</v>
      </c>
      <c r="C2962" s="1" t="n">
        <v>46093</v>
      </c>
      <c r="D2962" t="inlineStr">
        <is>
          <t>ÖSTERGÖTLANDS LÄN</t>
        </is>
      </c>
      <c r="E2962" t="inlineStr">
        <is>
          <t>FINSPÅNG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55277-2023</t>
        </is>
      </c>
      <c r="B2963" s="1" t="n">
        <v>45237.68737268518</v>
      </c>
      <c r="C2963" s="1" t="n">
        <v>46093</v>
      </c>
      <c r="D2963" t="inlineStr">
        <is>
          <t>ÖSTERGÖTLANDS LÄN</t>
        </is>
      </c>
      <c r="E2963" t="inlineStr">
        <is>
          <t>MOTALA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41958-2023</t>
        </is>
      </c>
      <c r="B2964" s="1" t="n">
        <v>45174</v>
      </c>
      <c r="C2964" s="1" t="n">
        <v>46093</v>
      </c>
      <c r="D2964" t="inlineStr">
        <is>
          <t>ÖSTERGÖTLANDS LÄN</t>
        </is>
      </c>
      <c r="E2964" t="inlineStr">
        <is>
          <t>SÖDERKÖPING</t>
        </is>
      </c>
      <c r="G2964" t="n">
        <v>15.3</v>
      </c>
      <c r="H2964" t="n">
        <v>0</v>
      </c>
      <c r="I2964" t="n">
        <v>0</v>
      </c>
      <c r="J2964" t="n">
        <v>0</v>
      </c>
      <c r="K2964" t="n">
        <v>0</v>
      </c>
      <c r="L2964" t="n">
        <v>0</v>
      </c>
      <c r="M2964" t="n">
        <v>0</v>
      </c>
      <c r="N2964" t="n">
        <v>0</v>
      </c>
      <c r="O2964" t="n">
        <v>0</v>
      </c>
      <c r="P2964" t="n">
        <v>0</v>
      </c>
      <c r="Q2964" t="n">
        <v>0</v>
      </c>
      <c r="R2964" s="2" t="inlineStr"/>
    </row>
    <row r="2965" ht="15" customHeight="1">
      <c r="A2965" t="inlineStr">
        <is>
          <t>A 14156-2023</t>
        </is>
      </c>
      <c r="B2965" s="1" t="n">
        <v>45009.49569444444</v>
      </c>
      <c r="C2965" s="1" t="n">
        <v>46093</v>
      </c>
      <c r="D2965" t="inlineStr">
        <is>
          <t>ÖSTERGÖTLANDS LÄN</t>
        </is>
      </c>
      <c r="E2965" t="inlineStr">
        <is>
          <t>ÖDESHÖG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44814-2025</t>
        </is>
      </c>
      <c r="B2966" s="1" t="n">
        <v>45918.37381944444</v>
      </c>
      <c r="C2966" s="1" t="n">
        <v>46093</v>
      </c>
      <c r="D2966" t="inlineStr">
        <is>
          <t>ÖSTERGÖTLANDS LÄN</t>
        </is>
      </c>
      <c r="E2966" t="inlineStr">
        <is>
          <t>MOTALA</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27966-2023</t>
        </is>
      </c>
      <c r="B2967" s="1" t="n">
        <v>45098.70277777778</v>
      </c>
      <c r="C2967" s="1" t="n">
        <v>46093</v>
      </c>
      <c r="D2967" t="inlineStr">
        <is>
          <t>ÖSTERGÖTLANDS LÄN</t>
        </is>
      </c>
      <c r="E2967" t="inlineStr">
        <is>
          <t>KINDA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44554-2025</t>
        </is>
      </c>
      <c r="B2968" s="1" t="n">
        <v>45917.34253472222</v>
      </c>
      <c r="C2968" s="1" t="n">
        <v>46093</v>
      </c>
      <c r="D2968" t="inlineStr">
        <is>
          <t>ÖSTERGÖTLANDS LÄN</t>
        </is>
      </c>
      <c r="E2968" t="inlineStr">
        <is>
          <t>NORRKÖPING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44555-2025</t>
        </is>
      </c>
      <c r="B2969" s="1" t="n">
        <v>45917.34408564815</v>
      </c>
      <c r="C2969" s="1" t="n">
        <v>46093</v>
      </c>
      <c r="D2969" t="inlineStr">
        <is>
          <t>ÖSTERGÖTLANDS LÄN</t>
        </is>
      </c>
      <c r="E2969" t="inlineStr">
        <is>
          <t>YDRE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59647-2024</t>
        </is>
      </c>
      <c r="B2970" s="1" t="n">
        <v>45639.34060185185</v>
      </c>
      <c r="C2970" s="1" t="n">
        <v>46093</v>
      </c>
      <c r="D2970" t="inlineStr">
        <is>
          <t>ÖSTERGÖTLANDS LÄN</t>
        </is>
      </c>
      <c r="E2970" t="inlineStr">
        <is>
          <t>FINSPÅNG</t>
        </is>
      </c>
      <c r="F2970" t="inlineStr">
        <is>
          <t>Holmen skog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59648-2024</t>
        </is>
      </c>
      <c r="B2971" s="1" t="n">
        <v>45639.34267361111</v>
      </c>
      <c r="C2971" s="1" t="n">
        <v>46093</v>
      </c>
      <c r="D2971" t="inlineStr">
        <is>
          <t>ÖSTERGÖTLANDS LÄN</t>
        </is>
      </c>
      <c r="E2971" t="inlineStr">
        <is>
          <t>FINSPÅNG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46639-2023</t>
        </is>
      </c>
      <c r="B2972" s="1" t="n">
        <v>45198.43638888889</v>
      </c>
      <c r="C2972" s="1" t="n">
        <v>46093</v>
      </c>
      <c r="D2972" t="inlineStr">
        <is>
          <t>ÖSTERGÖTLANDS LÄN</t>
        </is>
      </c>
      <c r="E2972" t="inlineStr">
        <is>
          <t>KINDA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44592-2025</t>
        </is>
      </c>
      <c r="B2973" s="1" t="n">
        <v>45917.42744212963</v>
      </c>
      <c r="C2973" s="1" t="n">
        <v>46093</v>
      </c>
      <c r="D2973" t="inlineStr">
        <is>
          <t>ÖSTERGÖTLANDS LÄN</t>
        </is>
      </c>
      <c r="E2973" t="inlineStr">
        <is>
          <t>ÅTVIDABERG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52235-2023</t>
        </is>
      </c>
      <c r="B2974" s="1" t="n">
        <v>45224</v>
      </c>
      <c r="C2974" s="1" t="n">
        <v>46093</v>
      </c>
      <c r="D2974" t="inlineStr">
        <is>
          <t>ÖSTERGÖTLANDS LÄN</t>
        </is>
      </c>
      <c r="E2974" t="inlineStr">
        <is>
          <t>ÅTVIDABERG</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20244-2022</t>
        </is>
      </c>
      <c r="B2975" s="1" t="n">
        <v>44698.63287037037</v>
      </c>
      <c r="C2975" s="1" t="n">
        <v>46093</v>
      </c>
      <c r="D2975" t="inlineStr">
        <is>
          <t>ÖSTERGÖTLANDS LÄN</t>
        </is>
      </c>
      <c r="E2975" t="inlineStr">
        <is>
          <t>ÖDESHÖG</t>
        </is>
      </c>
      <c r="F2975" t="inlineStr">
        <is>
          <t>Allmännings- och besparingsskogar</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34627-2023</t>
        </is>
      </c>
      <c r="B2976" s="1" t="n">
        <v>45139</v>
      </c>
      <c r="C2976" s="1" t="n">
        <v>46093</v>
      </c>
      <c r="D2976" t="inlineStr">
        <is>
          <t>ÖSTERGÖTLANDS LÄN</t>
        </is>
      </c>
      <c r="E2976" t="inlineStr">
        <is>
          <t>KINDA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44759-2025</t>
        </is>
      </c>
      <c r="B2977" s="1" t="n">
        <v>45917.7152662037</v>
      </c>
      <c r="C2977" s="1" t="n">
        <v>46093</v>
      </c>
      <c r="D2977" t="inlineStr">
        <is>
          <t>ÖSTERGÖTLANDS LÄN</t>
        </is>
      </c>
      <c r="E2977" t="inlineStr">
        <is>
          <t>LINKÖPING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10806-2024</t>
        </is>
      </c>
      <c r="B2978" s="1" t="n">
        <v>45369.62628472222</v>
      </c>
      <c r="C2978" s="1" t="n">
        <v>46093</v>
      </c>
      <c r="D2978" t="inlineStr">
        <is>
          <t>ÖSTERGÖTLANDS LÄN</t>
        </is>
      </c>
      <c r="E2978" t="inlineStr">
        <is>
          <t>KINDA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42390-2021</t>
        </is>
      </c>
      <c r="B2979" s="1" t="n">
        <v>44427.49322916667</v>
      </c>
      <c r="C2979" s="1" t="n">
        <v>46093</v>
      </c>
      <c r="D2979" t="inlineStr">
        <is>
          <t>ÖSTERGÖTLANDS LÄN</t>
        </is>
      </c>
      <c r="E2979" t="inlineStr">
        <is>
          <t>NORRKÖPING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15824-2022</t>
        </is>
      </c>
      <c r="B2980" s="1" t="n">
        <v>44664</v>
      </c>
      <c r="C2980" s="1" t="n">
        <v>46093</v>
      </c>
      <c r="D2980" t="inlineStr">
        <is>
          <t>ÖSTERGÖTLANDS LÄN</t>
        </is>
      </c>
      <c r="E2980" t="inlineStr">
        <is>
          <t>FINSPÅNG</t>
        </is>
      </c>
      <c r="F2980" t="inlineStr">
        <is>
          <t>Holmen skog AB</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44758-2025</t>
        </is>
      </c>
      <c r="B2981" s="1" t="n">
        <v>45917.7077662037</v>
      </c>
      <c r="C2981" s="1" t="n">
        <v>46093</v>
      </c>
      <c r="D2981" t="inlineStr">
        <is>
          <t>ÖSTERGÖTLANDS LÄN</t>
        </is>
      </c>
      <c r="E2981" t="inlineStr">
        <is>
          <t>BOXHOLM</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44764-2025</t>
        </is>
      </c>
      <c r="B2982" s="1" t="n">
        <v>45917.72821759259</v>
      </c>
      <c r="C2982" s="1" t="n">
        <v>46093</v>
      </c>
      <c r="D2982" t="inlineStr">
        <is>
          <t>ÖSTERGÖTLANDS LÄN</t>
        </is>
      </c>
      <c r="E2982" t="inlineStr">
        <is>
          <t>LINKÖPING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31753-2022</t>
        </is>
      </c>
      <c r="B2983" s="1" t="n">
        <v>44776</v>
      </c>
      <c r="C2983" s="1" t="n">
        <v>46093</v>
      </c>
      <c r="D2983" t="inlineStr">
        <is>
          <t>ÖSTERGÖTLANDS LÄN</t>
        </is>
      </c>
      <c r="E2983" t="inlineStr">
        <is>
          <t>MOTALA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44803-2025</t>
        </is>
      </c>
      <c r="B2984" s="1" t="n">
        <v>45918.3581712963</v>
      </c>
      <c r="C2984" s="1" t="n">
        <v>46093</v>
      </c>
      <c r="D2984" t="inlineStr">
        <is>
          <t>ÖSTERGÖTLANDS LÄN</t>
        </is>
      </c>
      <c r="E2984" t="inlineStr">
        <is>
          <t>BOXHOLM</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44820-2025</t>
        </is>
      </c>
      <c r="B2985" s="1" t="n">
        <v>45918.38171296296</v>
      </c>
      <c r="C2985" s="1" t="n">
        <v>46093</v>
      </c>
      <c r="D2985" t="inlineStr">
        <is>
          <t>ÖSTERGÖTLANDS LÄN</t>
        </is>
      </c>
      <c r="E2985" t="inlineStr">
        <is>
          <t>FINSPÅNG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44860-2025</t>
        </is>
      </c>
      <c r="B2986" s="1" t="n">
        <v>45918.45743055556</v>
      </c>
      <c r="C2986" s="1" t="n">
        <v>46093</v>
      </c>
      <c r="D2986" t="inlineStr">
        <is>
          <t>ÖSTERGÖTLANDS LÄN</t>
        </is>
      </c>
      <c r="E2986" t="inlineStr">
        <is>
          <t>YDRE</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44752-2025</t>
        </is>
      </c>
      <c r="B2987" s="1" t="n">
        <v>45917.68621527778</v>
      </c>
      <c r="C2987" s="1" t="n">
        <v>46093</v>
      </c>
      <c r="D2987" t="inlineStr">
        <is>
          <t>ÖSTERGÖTLANDS LÄN</t>
        </is>
      </c>
      <c r="E2987" t="inlineStr">
        <is>
          <t>MJÖLBY</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44753-2025</t>
        </is>
      </c>
      <c r="B2988" s="1" t="n">
        <v>45917.69141203703</v>
      </c>
      <c r="C2988" s="1" t="n">
        <v>46093</v>
      </c>
      <c r="D2988" t="inlineStr">
        <is>
          <t>ÖSTERGÖTLANDS LÄN</t>
        </is>
      </c>
      <c r="E2988" t="inlineStr">
        <is>
          <t>MJÖLBY</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44756-2025</t>
        </is>
      </c>
      <c r="B2989" s="1" t="n">
        <v>45917.69450231481</v>
      </c>
      <c r="C2989" s="1" t="n">
        <v>46093</v>
      </c>
      <c r="D2989" t="inlineStr">
        <is>
          <t>ÖSTERGÖTLANDS LÄN</t>
        </is>
      </c>
      <c r="E2989" t="inlineStr">
        <is>
          <t>MJÖLBY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44993-2025</t>
        </is>
      </c>
      <c r="B2990" s="1" t="n">
        <v>45918.65670138889</v>
      </c>
      <c r="C2990" s="1" t="n">
        <v>46093</v>
      </c>
      <c r="D2990" t="inlineStr">
        <is>
          <t>ÖSTERGÖTLANDS LÄN</t>
        </is>
      </c>
      <c r="E2990" t="inlineStr">
        <is>
          <t>YDRE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31928-2022</t>
        </is>
      </c>
      <c r="B2991" s="1" t="n">
        <v>44777.62895833333</v>
      </c>
      <c r="C2991" s="1" t="n">
        <v>46093</v>
      </c>
      <c r="D2991" t="inlineStr">
        <is>
          <t>ÖSTERGÖTLANDS LÄN</t>
        </is>
      </c>
      <c r="E2991" t="inlineStr">
        <is>
          <t>ÅTVIDABERG</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39693-2024</t>
        </is>
      </c>
      <c r="B2992" s="1" t="n">
        <v>45552</v>
      </c>
      <c r="C2992" s="1" t="n">
        <v>46093</v>
      </c>
      <c r="D2992" t="inlineStr">
        <is>
          <t>ÖSTERGÖTLANDS LÄN</t>
        </is>
      </c>
      <c r="E2992" t="inlineStr">
        <is>
          <t>BOXHOLM</t>
        </is>
      </c>
      <c r="F2992" t="inlineStr">
        <is>
          <t>Allmännings- och besparingsskogar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65588-2021</t>
        </is>
      </c>
      <c r="B2993" s="1" t="n">
        <v>44516</v>
      </c>
      <c r="C2993" s="1" t="n">
        <v>46093</v>
      </c>
      <c r="D2993" t="inlineStr">
        <is>
          <t>ÖSTERGÖTLANDS LÄN</t>
        </is>
      </c>
      <c r="E2993" t="inlineStr">
        <is>
          <t>ÅTVIDABERG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65590-2021</t>
        </is>
      </c>
      <c r="B2994" s="1" t="n">
        <v>44516</v>
      </c>
      <c r="C2994" s="1" t="n">
        <v>46093</v>
      </c>
      <c r="D2994" t="inlineStr">
        <is>
          <t>ÖSTERGÖTLANDS LÄN</t>
        </is>
      </c>
      <c r="E2994" t="inlineStr">
        <is>
          <t>ÅTVIDABERG</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44658-2025</t>
        </is>
      </c>
      <c r="B2995" s="1" t="n">
        <v>45917.55313657408</v>
      </c>
      <c r="C2995" s="1" t="n">
        <v>46093</v>
      </c>
      <c r="D2995" t="inlineStr">
        <is>
          <t>ÖSTERGÖTLANDS LÄN</t>
        </is>
      </c>
      <c r="E2995" t="inlineStr">
        <is>
          <t>BOXHOLM</t>
        </is>
      </c>
      <c r="F2995" t="inlineStr">
        <is>
          <t>Övriga Aktiebolag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56874-2023</t>
        </is>
      </c>
      <c r="B2996" s="1" t="n">
        <v>45244</v>
      </c>
      <c r="C2996" s="1" t="n">
        <v>46093</v>
      </c>
      <c r="D2996" t="inlineStr">
        <is>
          <t>ÖSTERGÖTLANDS LÄN</t>
        </is>
      </c>
      <c r="E2996" t="inlineStr">
        <is>
          <t>SÖDERKÖPING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63482-2023</t>
        </is>
      </c>
      <c r="B2997" s="1" t="n">
        <v>45274.65848379629</v>
      </c>
      <c r="C2997" s="1" t="n">
        <v>46093</v>
      </c>
      <c r="D2997" t="inlineStr">
        <is>
          <t>ÖSTERGÖTLANDS LÄN</t>
        </is>
      </c>
      <c r="E2997" t="inlineStr">
        <is>
          <t>FINSPÅNG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38715-2023</t>
        </is>
      </c>
      <c r="B2998" s="1" t="n">
        <v>45160</v>
      </c>
      <c r="C2998" s="1" t="n">
        <v>46093</v>
      </c>
      <c r="D2998" t="inlineStr">
        <is>
          <t>ÖSTERGÖTLANDS LÄN</t>
        </is>
      </c>
      <c r="E2998" t="inlineStr">
        <is>
          <t>LINKÖPING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59544-2023</t>
        </is>
      </c>
      <c r="B2999" s="1" t="n">
        <v>45254.54892361111</v>
      </c>
      <c r="C2999" s="1" t="n">
        <v>46093</v>
      </c>
      <c r="D2999" t="inlineStr">
        <is>
          <t>ÖSTERGÖTLANDS LÄN</t>
        </is>
      </c>
      <c r="E2999" t="inlineStr">
        <is>
          <t>NORRKÖPING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30967-2023</t>
        </is>
      </c>
      <c r="B3000" s="1" t="n">
        <v>45113.48548611111</v>
      </c>
      <c r="C3000" s="1" t="n">
        <v>46093</v>
      </c>
      <c r="D3000" t="inlineStr">
        <is>
          <t>ÖSTERGÖTLANDS LÄN</t>
        </is>
      </c>
      <c r="E3000" t="inlineStr">
        <is>
          <t>ÅTVIDABERG</t>
        </is>
      </c>
      <c r="F3000" t="inlineStr">
        <is>
          <t>Övriga Aktiebolag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43069-2024</t>
        </is>
      </c>
      <c r="B3001" s="1" t="n">
        <v>45567.47780092592</v>
      </c>
      <c r="C3001" s="1" t="n">
        <v>46093</v>
      </c>
      <c r="D3001" t="inlineStr">
        <is>
          <t>ÖSTERGÖTLANDS LÄN</t>
        </is>
      </c>
      <c r="E3001" t="inlineStr">
        <is>
          <t>KINDA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19030-2023</t>
        </is>
      </c>
      <c r="B3002" s="1" t="n">
        <v>45047</v>
      </c>
      <c r="C3002" s="1" t="n">
        <v>46093</v>
      </c>
      <c r="D3002" t="inlineStr">
        <is>
          <t>ÖSTERGÖTLANDS LÄN</t>
        </is>
      </c>
      <c r="E3002" t="inlineStr">
        <is>
          <t>ÅTVIDABERG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2355-2023</t>
        </is>
      </c>
      <c r="B3003" s="1" t="n">
        <v>44942</v>
      </c>
      <c r="C3003" s="1" t="n">
        <v>46093</v>
      </c>
      <c r="D3003" t="inlineStr">
        <is>
          <t>ÖSTERGÖTLANDS LÄN</t>
        </is>
      </c>
      <c r="E3003" t="inlineStr">
        <is>
          <t>VALDEMARSVIK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50092-2023</t>
        </is>
      </c>
      <c r="B3004" s="1" t="n">
        <v>45215</v>
      </c>
      <c r="C3004" s="1" t="n">
        <v>46093</v>
      </c>
      <c r="D3004" t="inlineStr">
        <is>
          <t>ÖSTERGÖTLANDS LÄN</t>
        </is>
      </c>
      <c r="E3004" t="inlineStr">
        <is>
          <t>NORRKÖPING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14194-2025</t>
        </is>
      </c>
      <c r="B3005" s="1" t="n">
        <v>45740.56240740741</v>
      </c>
      <c r="C3005" s="1" t="n">
        <v>46093</v>
      </c>
      <c r="D3005" t="inlineStr">
        <is>
          <t>ÖSTERGÖTLANDS LÄN</t>
        </is>
      </c>
      <c r="E3005" t="inlineStr">
        <is>
          <t>FINSPÅNG</t>
        </is>
      </c>
      <c r="F3005" t="inlineStr">
        <is>
          <t>Holmen skog AB</t>
        </is>
      </c>
      <c r="G3005" t="n">
        <v>10.1</v>
      </c>
      <c r="H3005" t="n">
        <v>0</v>
      </c>
      <c r="I3005" t="n">
        <v>0</v>
      </c>
      <c r="J3005" t="n">
        <v>0</v>
      </c>
      <c r="K3005" t="n">
        <v>0</v>
      </c>
      <c r="L3005" t="n">
        <v>0</v>
      </c>
      <c r="M3005" t="n">
        <v>0</v>
      </c>
      <c r="N3005" t="n">
        <v>0</v>
      </c>
      <c r="O3005" t="n">
        <v>0</v>
      </c>
      <c r="P3005" t="n">
        <v>0</v>
      </c>
      <c r="Q3005" t="n">
        <v>0</v>
      </c>
      <c r="R3005" s="2" t="inlineStr"/>
    </row>
    <row r="3006" ht="15" customHeight="1">
      <c r="A3006" t="inlineStr">
        <is>
          <t>A 38431-2024</t>
        </is>
      </c>
      <c r="B3006" s="1" t="n">
        <v>45546.39056712963</v>
      </c>
      <c r="C3006" s="1" t="n">
        <v>46093</v>
      </c>
      <c r="D3006" t="inlineStr">
        <is>
          <t>ÖSTERGÖTLANDS LÄN</t>
        </is>
      </c>
      <c r="E3006" t="inlineStr">
        <is>
          <t>VALDEMARSVIK</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44757-2025</t>
        </is>
      </c>
      <c r="B3007" s="1" t="n">
        <v>45917.70016203704</v>
      </c>
      <c r="C3007" s="1" t="n">
        <v>46093</v>
      </c>
      <c r="D3007" t="inlineStr">
        <is>
          <t>ÖSTERGÖTLANDS LÄN</t>
        </is>
      </c>
      <c r="E3007" t="inlineStr">
        <is>
          <t>MJÖLBY</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49146-2023</t>
        </is>
      </c>
      <c r="B3008" s="1" t="n">
        <v>45204</v>
      </c>
      <c r="C3008" s="1" t="n">
        <v>46093</v>
      </c>
      <c r="D3008" t="inlineStr">
        <is>
          <t>ÖSTERGÖTLANDS LÄN</t>
        </is>
      </c>
      <c r="E3008" t="inlineStr">
        <is>
          <t>ÅTVIDABERG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7891-2025</t>
        </is>
      </c>
      <c r="B3009" s="1" t="n">
        <v>45707.28776620371</v>
      </c>
      <c r="C3009" s="1" t="n">
        <v>46093</v>
      </c>
      <c r="D3009" t="inlineStr">
        <is>
          <t>ÖSTERGÖTLANDS LÄN</t>
        </is>
      </c>
      <c r="E3009" t="inlineStr">
        <is>
          <t>ÅTVIDABERG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12450-2024</t>
        </is>
      </c>
      <c r="B3010" s="1" t="n">
        <v>45379.47295138889</v>
      </c>
      <c r="C3010" s="1" t="n">
        <v>46093</v>
      </c>
      <c r="D3010" t="inlineStr">
        <is>
          <t>ÖSTERGÖTLANDS LÄN</t>
        </is>
      </c>
      <c r="E3010" t="inlineStr">
        <is>
          <t>ÅTVIDABERG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12454-2024</t>
        </is>
      </c>
      <c r="B3011" s="1" t="n">
        <v>45379</v>
      </c>
      <c r="C3011" s="1" t="n">
        <v>46093</v>
      </c>
      <c r="D3011" t="inlineStr">
        <is>
          <t>ÖSTERGÖTLANDS LÄN</t>
        </is>
      </c>
      <c r="E3011" t="inlineStr">
        <is>
          <t>ÅTVIDABERG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12508-2024</t>
        </is>
      </c>
      <c r="B3012" s="1" t="n">
        <v>45379</v>
      </c>
      <c r="C3012" s="1" t="n">
        <v>46093</v>
      </c>
      <c r="D3012" t="inlineStr">
        <is>
          <t>ÖSTERGÖTLANDS LÄN</t>
        </is>
      </c>
      <c r="E3012" t="inlineStr">
        <is>
          <t>ÅTVIDABERG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44893-2025</t>
        </is>
      </c>
      <c r="B3013" s="1" t="n">
        <v>45918.50056712963</v>
      </c>
      <c r="C3013" s="1" t="n">
        <v>46093</v>
      </c>
      <c r="D3013" t="inlineStr">
        <is>
          <t>ÖSTERGÖTLANDS LÄN</t>
        </is>
      </c>
      <c r="E3013" t="inlineStr">
        <is>
          <t>YDRE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1422-2023</t>
        </is>
      </c>
      <c r="B3014" s="1" t="n">
        <v>44937</v>
      </c>
      <c r="C3014" s="1" t="n">
        <v>46093</v>
      </c>
      <c r="D3014" t="inlineStr">
        <is>
          <t>ÖSTERGÖTLANDS LÄN</t>
        </is>
      </c>
      <c r="E3014" t="inlineStr">
        <is>
          <t>ÅTVIDABERG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44197-2023</t>
        </is>
      </c>
      <c r="B3015" s="1" t="n">
        <v>45188</v>
      </c>
      <c r="C3015" s="1" t="n">
        <v>46093</v>
      </c>
      <c r="D3015" t="inlineStr">
        <is>
          <t>ÖSTERGÖTLANDS LÄN</t>
        </is>
      </c>
      <c r="E3015" t="inlineStr">
        <is>
          <t>NORRKÖPING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19995-2025</t>
        </is>
      </c>
      <c r="B3016" s="1" t="n">
        <v>45771.76943287037</v>
      </c>
      <c r="C3016" s="1" t="n">
        <v>46093</v>
      </c>
      <c r="D3016" t="inlineStr">
        <is>
          <t>ÖSTERGÖTLANDS LÄN</t>
        </is>
      </c>
      <c r="E3016" t="inlineStr">
        <is>
          <t>NORRKÖPING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32041-2025</t>
        </is>
      </c>
      <c r="B3017" s="1" t="n">
        <v>45835</v>
      </c>
      <c r="C3017" s="1" t="n">
        <v>46093</v>
      </c>
      <c r="D3017" t="inlineStr">
        <is>
          <t>ÖSTERGÖTLANDS LÄN</t>
        </is>
      </c>
      <c r="E3017" t="inlineStr">
        <is>
          <t>ÅTVIDABERG</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132-2025</t>
        </is>
      </c>
      <c r="B3018" s="1" t="n">
        <v>45659.57023148148</v>
      </c>
      <c r="C3018" s="1" t="n">
        <v>46093</v>
      </c>
      <c r="D3018" t="inlineStr">
        <is>
          <t>ÖSTERGÖTLANDS LÄN</t>
        </is>
      </c>
      <c r="E3018" t="inlineStr">
        <is>
          <t>YDRE</t>
        </is>
      </c>
      <c r="F3018" t="inlineStr">
        <is>
          <t>Övriga Aktiebolag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30920-2022</t>
        </is>
      </c>
      <c r="B3019" s="1" t="n">
        <v>44767.83041666666</v>
      </c>
      <c r="C3019" s="1" t="n">
        <v>46093</v>
      </c>
      <c r="D3019" t="inlineStr">
        <is>
          <t>ÖSTERGÖTLANDS LÄN</t>
        </is>
      </c>
      <c r="E3019" t="inlineStr">
        <is>
          <t>FINSPÅNG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44553-2025</t>
        </is>
      </c>
      <c r="B3020" s="1" t="n">
        <v>45917.34028935185</v>
      </c>
      <c r="C3020" s="1" t="n">
        <v>46093</v>
      </c>
      <c r="D3020" t="inlineStr">
        <is>
          <t>ÖSTERGÖTLANDS LÄN</t>
        </is>
      </c>
      <c r="E3020" t="inlineStr">
        <is>
          <t>ÖDESHÖG</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44565-2025</t>
        </is>
      </c>
      <c r="B3021" s="1" t="n">
        <v>45917.35539351852</v>
      </c>
      <c r="C3021" s="1" t="n">
        <v>46093</v>
      </c>
      <c r="D3021" t="inlineStr">
        <is>
          <t>ÖSTERGÖTLANDS LÄN</t>
        </is>
      </c>
      <c r="E3021" t="inlineStr">
        <is>
          <t>ÖDESHÖG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20612-2022</t>
        </is>
      </c>
      <c r="B3022" s="1" t="n">
        <v>44700.49002314815</v>
      </c>
      <c r="C3022" s="1" t="n">
        <v>46093</v>
      </c>
      <c r="D3022" t="inlineStr">
        <is>
          <t>ÖSTERGÖTLANDS LÄN</t>
        </is>
      </c>
      <c r="E3022" t="inlineStr">
        <is>
          <t>ÖDESHÖG</t>
        </is>
      </c>
      <c r="F3022" t="inlineStr">
        <is>
          <t>Allmännings- och besparingsskogar</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44633-2025</t>
        </is>
      </c>
      <c r="B3023" s="1" t="n">
        <v>45917</v>
      </c>
      <c r="C3023" s="1" t="n">
        <v>46093</v>
      </c>
      <c r="D3023" t="inlineStr">
        <is>
          <t>ÖSTERGÖTLANDS LÄN</t>
        </is>
      </c>
      <c r="E3023" t="inlineStr">
        <is>
          <t>KINDA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44638-2025</t>
        </is>
      </c>
      <c r="B3024" s="1" t="n">
        <v>45917.50763888889</v>
      </c>
      <c r="C3024" s="1" t="n">
        <v>46093</v>
      </c>
      <c r="D3024" t="inlineStr">
        <is>
          <t>ÖSTERGÖTLANDS LÄN</t>
        </is>
      </c>
      <c r="E3024" t="inlineStr">
        <is>
          <t>BOXHOLM</t>
        </is>
      </c>
      <c r="F3024" t="inlineStr">
        <is>
          <t>Övriga Aktiebolag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10796-2024</t>
        </is>
      </c>
      <c r="B3025" s="1" t="n">
        <v>45369.61841435185</v>
      </c>
      <c r="C3025" s="1" t="n">
        <v>46093</v>
      </c>
      <c r="D3025" t="inlineStr">
        <is>
          <t>ÖSTERGÖTLANDS LÄN</t>
        </is>
      </c>
      <c r="E3025" t="inlineStr">
        <is>
          <t>NORRKÖPING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51836-2021</t>
        </is>
      </c>
      <c r="B3026" s="1" t="n">
        <v>44462</v>
      </c>
      <c r="C3026" s="1" t="n">
        <v>46093</v>
      </c>
      <c r="D3026" t="inlineStr">
        <is>
          <t>ÖSTERGÖTLANDS LÄN</t>
        </is>
      </c>
      <c r="E3026" t="inlineStr">
        <is>
          <t>KINDA</t>
        </is>
      </c>
      <c r="F3026" t="inlineStr">
        <is>
          <t>Övriga Aktiebolag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44696-2025</t>
        </is>
      </c>
      <c r="B3027" s="1" t="n">
        <v>45917.59836805556</v>
      </c>
      <c r="C3027" s="1" t="n">
        <v>46093</v>
      </c>
      <c r="D3027" t="inlineStr">
        <is>
          <t>ÖSTERGÖTLANDS LÄN</t>
        </is>
      </c>
      <c r="E3027" t="inlineStr">
        <is>
          <t>BOXHOLM</t>
        </is>
      </c>
      <c r="F3027" t="inlineStr">
        <is>
          <t>Övriga Aktiebolag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44560-2025</t>
        </is>
      </c>
      <c r="B3028" s="1" t="n">
        <v>45917.34472222222</v>
      </c>
      <c r="C3028" s="1" t="n">
        <v>46093</v>
      </c>
      <c r="D3028" t="inlineStr">
        <is>
          <t>ÖSTERGÖTLANDS LÄN</t>
        </is>
      </c>
      <c r="E3028" t="inlineStr">
        <is>
          <t>NORRKÖPING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44706-2025</t>
        </is>
      </c>
      <c r="B3029" s="1" t="n">
        <v>45917.6128587963</v>
      </c>
      <c r="C3029" s="1" t="n">
        <v>46093</v>
      </c>
      <c r="D3029" t="inlineStr">
        <is>
          <t>ÖSTERGÖTLANDS LÄN</t>
        </is>
      </c>
      <c r="E3029" t="inlineStr">
        <is>
          <t>BOXHOLM</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60640-2022</t>
        </is>
      </c>
      <c r="B3030" s="1" t="n">
        <v>44911</v>
      </c>
      <c r="C3030" s="1" t="n">
        <v>46093</v>
      </c>
      <c r="D3030" t="inlineStr">
        <is>
          <t>ÖSTERGÖTLANDS LÄN</t>
        </is>
      </c>
      <c r="E3030" t="inlineStr">
        <is>
          <t>SÖDERKÖPING</t>
        </is>
      </c>
      <c r="F3030" t="inlineStr">
        <is>
          <t>Allmännings- och besparingsskogar</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35104-2023</t>
        </is>
      </c>
      <c r="B3031" s="1" t="n">
        <v>45145</v>
      </c>
      <c r="C3031" s="1" t="n">
        <v>46093</v>
      </c>
      <c r="D3031" t="inlineStr">
        <is>
          <t>ÖSTERGÖTLANDS LÄN</t>
        </is>
      </c>
      <c r="E3031" t="inlineStr">
        <is>
          <t>KINDA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4856-2023</t>
        </is>
      </c>
      <c r="B3032" s="1" t="n">
        <v>44957</v>
      </c>
      <c r="C3032" s="1" t="n">
        <v>46093</v>
      </c>
      <c r="D3032" t="inlineStr">
        <is>
          <t>ÖSTERGÖTLANDS LÄN</t>
        </is>
      </c>
      <c r="E3032" t="inlineStr">
        <is>
          <t>VALDEMARSVIK</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32061-2025</t>
        </is>
      </c>
      <c r="B3033" s="1" t="n">
        <v>45835</v>
      </c>
      <c r="C3033" s="1" t="n">
        <v>46093</v>
      </c>
      <c r="D3033" t="inlineStr">
        <is>
          <t>ÖSTERGÖTLANDS LÄN</t>
        </is>
      </c>
      <c r="E3033" t="inlineStr">
        <is>
          <t>ÅTVIDABERG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39930-2023</t>
        </is>
      </c>
      <c r="B3034" s="1" t="n">
        <v>45168</v>
      </c>
      <c r="C3034" s="1" t="n">
        <v>46093</v>
      </c>
      <c r="D3034" t="inlineStr">
        <is>
          <t>ÖSTERGÖTLANDS LÄN</t>
        </is>
      </c>
      <c r="E3034" t="inlineStr">
        <is>
          <t>ÅTVIDABERG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55772-2023</t>
        </is>
      </c>
      <c r="B3035" s="1" t="n">
        <v>45239.48508101852</v>
      </c>
      <c r="C3035" s="1" t="n">
        <v>46093</v>
      </c>
      <c r="D3035" t="inlineStr">
        <is>
          <t>ÖSTERGÖTLANDS LÄN</t>
        </is>
      </c>
      <c r="E3035" t="inlineStr">
        <is>
          <t>SÖDERKÖPING</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50112-2023</t>
        </is>
      </c>
      <c r="B3036" s="1" t="n">
        <v>45215</v>
      </c>
      <c r="C3036" s="1" t="n">
        <v>46093</v>
      </c>
      <c r="D3036" t="inlineStr">
        <is>
          <t>ÖSTERGÖTLANDS LÄN</t>
        </is>
      </c>
      <c r="E3036" t="inlineStr">
        <is>
          <t>NORRKÖPING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42784-2024</t>
        </is>
      </c>
      <c r="B3037" s="1" t="n">
        <v>45566.53474537037</v>
      </c>
      <c r="C3037" s="1" t="n">
        <v>46093</v>
      </c>
      <c r="D3037" t="inlineStr">
        <is>
          <t>ÖSTERGÖTLANDS LÄN</t>
        </is>
      </c>
      <c r="E3037" t="inlineStr">
        <is>
          <t>ÅTVIDABERG</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36593-2025</t>
        </is>
      </c>
      <c r="B3038" s="1" t="n">
        <v>45870.50287037037</v>
      </c>
      <c r="C3038" s="1" t="n">
        <v>46093</v>
      </c>
      <c r="D3038" t="inlineStr">
        <is>
          <t>ÖSTERGÖTLANDS LÄN</t>
        </is>
      </c>
      <c r="E3038" t="inlineStr">
        <is>
          <t>FINSPÅNG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45377-2023</t>
        </is>
      </c>
      <c r="B3039" s="1" t="n">
        <v>45193</v>
      </c>
      <c r="C3039" s="1" t="n">
        <v>46093</v>
      </c>
      <c r="D3039" t="inlineStr">
        <is>
          <t>ÖSTERGÖTLANDS LÄN</t>
        </is>
      </c>
      <c r="E3039" t="inlineStr">
        <is>
          <t>VALDEMARSVIK</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42785-2024</t>
        </is>
      </c>
      <c r="B3040" s="1" t="n">
        <v>45566.5353125</v>
      </c>
      <c r="C3040" s="1" t="n">
        <v>46093</v>
      </c>
      <c r="D3040" t="inlineStr">
        <is>
          <t>ÖSTERGÖTLANDS LÄN</t>
        </is>
      </c>
      <c r="E3040" t="inlineStr">
        <is>
          <t>FINSPÅNG</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44703-2025</t>
        </is>
      </c>
      <c r="B3041" s="1" t="n">
        <v>45917.60946759259</v>
      </c>
      <c r="C3041" s="1" t="n">
        <v>46093</v>
      </c>
      <c r="D3041" t="inlineStr">
        <is>
          <t>ÖSTERGÖTLANDS LÄN</t>
        </is>
      </c>
      <c r="E3041" t="inlineStr">
        <is>
          <t>BOXHOLM</t>
        </is>
      </c>
      <c r="F3041" t="inlineStr">
        <is>
          <t>Övriga Aktiebolag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45783-2023</t>
        </is>
      </c>
      <c r="B3042" s="1" t="n">
        <v>45195</v>
      </c>
      <c r="C3042" s="1" t="n">
        <v>46093</v>
      </c>
      <c r="D3042" t="inlineStr">
        <is>
          <t>ÖSTERGÖTLANDS LÄN</t>
        </is>
      </c>
      <c r="E3042" t="inlineStr">
        <is>
          <t>VALDEMARSVIK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40372-2024</t>
        </is>
      </c>
      <c r="B3043" s="1" t="n">
        <v>45555.39886574074</v>
      </c>
      <c r="C3043" s="1" t="n">
        <v>46093</v>
      </c>
      <c r="D3043" t="inlineStr">
        <is>
          <t>ÖSTERGÖTLANDS LÄN</t>
        </is>
      </c>
      <c r="E3043" t="inlineStr">
        <is>
          <t>FINSPÅNG</t>
        </is>
      </c>
      <c r="F3043" t="inlineStr">
        <is>
          <t>Holmen skog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3020-2025</t>
        </is>
      </c>
      <c r="B3044" s="1" t="n">
        <v>45678.57731481481</v>
      </c>
      <c r="C3044" s="1" t="n">
        <v>46093</v>
      </c>
      <c r="D3044" t="inlineStr">
        <is>
          <t>ÖSTERGÖTLANDS LÄN</t>
        </is>
      </c>
      <c r="E3044" t="inlineStr">
        <is>
          <t>NORRKÖPING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3085-2025</t>
        </is>
      </c>
      <c r="B3045" s="1" t="n">
        <v>45678.64803240741</v>
      </c>
      <c r="C3045" s="1" t="n">
        <v>46093</v>
      </c>
      <c r="D3045" t="inlineStr">
        <is>
          <t>ÖSTERGÖTLANDS LÄN</t>
        </is>
      </c>
      <c r="E3045" t="inlineStr">
        <is>
          <t>FINSPÅNG</t>
        </is>
      </c>
      <c r="F3045" t="inlineStr">
        <is>
          <t>Holmen skog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55620-2023</t>
        </is>
      </c>
      <c r="B3046" s="1" t="n">
        <v>45238.85070601852</v>
      </c>
      <c r="C3046" s="1" t="n">
        <v>46093</v>
      </c>
      <c r="D3046" t="inlineStr">
        <is>
          <t>ÖSTERGÖTLANDS LÄN</t>
        </is>
      </c>
      <c r="E3046" t="inlineStr">
        <is>
          <t>VALDEMARSVIK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1286-2023</t>
        </is>
      </c>
      <c r="B3047" s="1" t="n">
        <v>44936.46326388889</v>
      </c>
      <c r="C3047" s="1" t="n">
        <v>46093</v>
      </c>
      <c r="D3047" t="inlineStr">
        <is>
          <t>ÖSTERGÖTLANDS LÄN</t>
        </is>
      </c>
      <c r="E3047" t="inlineStr">
        <is>
          <t>NORRKÖPING</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15110-2022</t>
        </is>
      </c>
      <c r="B3048" s="1" t="n">
        <v>44657</v>
      </c>
      <c r="C3048" s="1" t="n">
        <v>46093</v>
      </c>
      <c r="D3048" t="inlineStr">
        <is>
          <t>ÖSTERGÖTLANDS LÄN</t>
        </is>
      </c>
      <c r="E3048" t="inlineStr">
        <is>
          <t>KINDA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9524-2025</t>
        </is>
      </c>
      <c r="B3049" s="1" t="n">
        <v>45715</v>
      </c>
      <c r="C3049" s="1" t="n">
        <v>46093</v>
      </c>
      <c r="D3049" t="inlineStr">
        <is>
          <t>ÖSTERGÖTLANDS LÄN</t>
        </is>
      </c>
      <c r="E3049" t="inlineStr">
        <is>
          <t>ÅTVIDABERG</t>
        </is>
      </c>
      <c r="F3049" t="inlineStr">
        <is>
          <t>Kommuner</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9542-2025</t>
        </is>
      </c>
      <c r="B3050" s="1" t="n">
        <v>45715.5837962963</v>
      </c>
      <c r="C3050" s="1" t="n">
        <v>46093</v>
      </c>
      <c r="D3050" t="inlineStr">
        <is>
          <t>ÖSTERGÖTLANDS LÄN</t>
        </is>
      </c>
      <c r="E3050" t="inlineStr">
        <is>
          <t>NORRKÖPING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10252-2025</t>
        </is>
      </c>
      <c r="B3051" s="1" t="n">
        <v>45720.36722222222</v>
      </c>
      <c r="C3051" s="1" t="n">
        <v>46093</v>
      </c>
      <c r="D3051" t="inlineStr">
        <is>
          <t>ÖSTERGÖTLANDS LÄN</t>
        </is>
      </c>
      <c r="E3051" t="inlineStr">
        <is>
          <t>FINSPÅNG</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35672-2022</t>
        </is>
      </c>
      <c r="B3052" s="1" t="n">
        <v>44799.59876157407</v>
      </c>
      <c r="C3052" s="1" t="n">
        <v>46093</v>
      </c>
      <c r="D3052" t="inlineStr">
        <is>
          <t>ÖSTERGÖTLANDS LÄN</t>
        </is>
      </c>
      <c r="E3052" t="inlineStr">
        <is>
          <t>KINDA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45283-2025</t>
        </is>
      </c>
      <c r="B3053" s="1" t="n">
        <v>45919.83229166667</v>
      </c>
      <c r="C3053" s="1" t="n">
        <v>46093</v>
      </c>
      <c r="D3053" t="inlineStr">
        <is>
          <t>ÖSTERGÖTLANDS LÄN</t>
        </is>
      </c>
      <c r="E3053" t="inlineStr">
        <is>
          <t>FINSPÅNG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46093</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45266-2025</t>
        </is>
      </c>
      <c r="B3055" s="1" t="n">
        <v>45919.65428240741</v>
      </c>
      <c r="C3055" s="1" t="n">
        <v>46093</v>
      </c>
      <c r="D3055" t="inlineStr">
        <is>
          <t>ÖSTERGÖTLANDS LÄN</t>
        </is>
      </c>
      <c r="E3055" t="inlineStr">
        <is>
          <t>BOXHOLM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45450-2024</t>
        </is>
      </c>
      <c r="B3056" s="1" t="n">
        <v>45576.65969907407</v>
      </c>
      <c r="C3056" s="1" t="n">
        <v>46093</v>
      </c>
      <c r="D3056" t="inlineStr">
        <is>
          <t>ÖSTERGÖTLANDS LÄN</t>
        </is>
      </c>
      <c r="E3056" t="inlineStr">
        <is>
          <t>KINDA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45538-2025</t>
        </is>
      </c>
      <c r="B3057" s="1" t="n">
        <v>45922.61070601852</v>
      </c>
      <c r="C3057" s="1" t="n">
        <v>46093</v>
      </c>
      <c r="D3057" t="inlineStr">
        <is>
          <t>ÖSTERGÖTLANDS LÄN</t>
        </is>
      </c>
      <c r="E3057" t="inlineStr">
        <is>
          <t>NORRKÖPING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51471-2024</t>
        </is>
      </c>
      <c r="B3058" s="1" t="n">
        <v>45604.50295138889</v>
      </c>
      <c r="C3058" s="1" t="n">
        <v>46093</v>
      </c>
      <c r="D3058" t="inlineStr">
        <is>
          <t>ÖSTERGÖTLANDS LÄN</t>
        </is>
      </c>
      <c r="E3058" t="inlineStr">
        <is>
          <t>FINSPÅNG</t>
        </is>
      </c>
      <c r="F3058" t="inlineStr">
        <is>
          <t>Holmen skog AB</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45810-2025</t>
        </is>
      </c>
      <c r="B3059" s="1" t="n">
        <v>45922</v>
      </c>
      <c r="C3059" s="1" t="n">
        <v>46093</v>
      </c>
      <c r="D3059" t="inlineStr">
        <is>
          <t>ÖSTERGÖTLANDS LÄN</t>
        </is>
      </c>
      <c r="E3059" t="inlineStr">
        <is>
          <t>YDRE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11140-2025</t>
        </is>
      </c>
      <c r="B3060" s="1" t="n">
        <v>45723.66629629629</v>
      </c>
      <c r="C3060" s="1" t="n">
        <v>46093</v>
      </c>
      <c r="D3060" t="inlineStr">
        <is>
          <t>ÖSTERGÖTLANDS LÄN</t>
        </is>
      </c>
      <c r="E3060" t="inlineStr">
        <is>
          <t>NORRKÖPING</t>
        </is>
      </c>
      <c r="G3060" t="n">
        <v>13.9</v>
      </c>
      <c r="H3060" t="n">
        <v>0</v>
      </c>
      <c r="I3060" t="n">
        <v>0</v>
      </c>
      <c r="J3060" t="n">
        <v>0</v>
      </c>
      <c r="K3060" t="n">
        <v>0</v>
      </c>
      <c r="L3060" t="n">
        <v>0</v>
      </c>
      <c r="M3060" t="n">
        <v>0</v>
      </c>
      <c r="N3060" t="n">
        <v>0</v>
      </c>
      <c r="O3060" t="n">
        <v>0</v>
      </c>
      <c r="P3060" t="n">
        <v>0</v>
      </c>
      <c r="Q3060" t="n">
        <v>0</v>
      </c>
      <c r="R3060" s="2" t="inlineStr"/>
    </row>
    <row r="3061" ht="15" customHeight="1">
      <c r="A3061" t="inlineStr">
        <is>
          <t>A 8292-2023</t>
        </is>
      </c>
      <c r="B3061" s="1" t="n">
        <v>44974.65918981482</v>
      </c>
      <c r="C3061" s="1" t="n">
        <v>46093</v>
      </c>
      <c r="D3061" t="inlineStr">
        <is>
          <t>ÖSTERGÖTLANDS LÄN</t>
        </is>
      </c>
      <c r="E3061" t="inlineStr">
        <is>
          <t>NORRKÖPING</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45164-2023</t>
        </is>
      </c>
      <c r="B3062" s="1" t="n">
        <v>45191.49636574074</v>
      </c>
      <c r="C3062" s="1" t="n">
        <v>46093</v>
      </c>
      <c r="D3062" t="inlineStr">
        <is>
          <t>ÖSTERGÖTLANDS LÄN</t>
        </is>
      </c>
      <c r="E3062" t="inlineStr">
        <is>
          <t>MJÖLBY</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799-2025</t>
        </is>
      </c>
      <c r="B3063" s="1" t="n">
        <v>45665.53457175926</v>
      </c>
      <c r="C3063" s="1" t="n">
        <v>46093</v>
      </c>
      <c r="D3063" t="inlineStr">
        <is>
          <t>ÖSTERGÖTLANDS LÄN</t>
        </is>
      </c>
      <c r="E3063" t="inlineStr">
        <is>
          <t>ÅTVIDABERG</t>
        </is>
      </c>
      <c r="G3063" t="n">
        <v>14.3</v>
      </c>
      <c r="H3063" t="n">
        <v>0</v>
      </c>
      <c r="I3063" t="n">
        <v>0</v>
      </c>
      <c r="J3063" t="n">
        <v>0</v>
      </c>
      <c r="K3063" t="n">
        <v>0</v>
      </c>
      <c r="L3063" t="n">
        <v>0</v>
      </c>
      <c r="M3063" t="n">
        <v>0</v>
      </c>
      <c r="N3063" t="n">
        <v>0</v>
      </c>
      <c r="O3063" t="n">
        <v>0</v>
      </c>
      <c r="P3063" t="n">
        <v>0</v>
      </c>
      <c r="Q3063" t="n">
        <v>0</v>
      </c>
      <c r="R3063" s="2" t="inlineStr"/>
    </row>
    <row r="3064" ht="15" customHeight="1">
      <c r="A3064" t="inlineStr">
        <is>
          <t>A 807-2025</t>
        </is>
      </c>
      <c r="B3064" s="1" t="n">
        <v>45665.54818287037</v>
      </c>
      <c r="C3064" s="1" t="n">
        <v>46093</v>
      </c>
      <c r="D3064" t="inlineStr">
        <is>
          <t>ÖSTERGÖTLANDS LÄN</t>
        </is>
      </c>
      <c r="E3064" t="inlineStr">
        <is>
          <t>ÅTVIDABERG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26247-2022</t>
        </is>
      </c>
      <c r="B3065" s="1" t="n">
        <v>44735.48800925926</v>
      </c>
      <c r="C3065" s="1" t="n">
        <v>46093</v>
      </c>
      <c r="D3065" t="inlineStr">
        <is>
          <t>ÖSTERGÖTLANDS LÄN</t>
        </is>
      </c>
      <c r="E3065" t="inlineStr">
        <is>
          <t>FINSPÅNG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45190-2025</t>
        </is>
      </c>
      <c r="B3066" s="1" t="n">
        <v>45919</v>
      </c>
      <c r="C3066" s="1" t="n">
        <v>46093</v>
      </c>
      <c r="D3066" t="inlineStr">
        <is>
          <t>ÖSTERGÖTLANDS LÄN</t>
        </is>
      </c>
      <c r="E3066" t="inlineStr">
        <is>
          <t>ÖDESHÖG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58372-2023</t>
        </is>
      </c>
      <c r="B3067" s="1" t="n">
        <v>45250.65650462963</v>
      </c>
      <c r="C3067" s="1" t="n">
        <v>46093</v>
      </c>
      <c r="D3067" t="inlineStr">
        <is>
          <t>ÖSTERGÖTLANDS LÄN</t>
        </is>
      </c>
      <c r="E3067" t="inlineStr">
        <is>
          <t>SÖDERKÖPING</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58398-2023</t>
        </is>
      </c>
      <c r="B3068" s="1" t="n">
        <v>45250.68373842593</v>
      </c>
      <c r="C3068" s="1" t="n">
        <v>46093</v>
      </c>
      <c r="D3068" t="inlineStr">
        <is>
          <t>ÖSTERGÖTLANDS LÄN</t>
        </is>
      </c>
      <c r="E3068" t="inlineStr">
        <is>
          <t>SÖDERKÖPING</t>
        </is>
      </c>
      <c r="F3068" t="inlineStr">
        <is>
          <t>Holmen skog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45534-2025</t>
        </is>
      </c>
      <c r="B3069" s="1" t="n">
        <v>45922.60783564814</v>
      </c>
      <c r="C3069" s="1" t="n">
        <v>46093</v>
      </c>
      <c r="D3069" t="inlineStr">
        <is>
          <t>ÖSTERGÖTLANDS LÄN</t>
        </is>
      </c>
      <c r="E3069" t="inlineStr">
        <is>
          <t>NORRKÖPING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6501-2025</t>
        </is>
      </c>
      <c r="B3070" s="1" t="n">
        <v>45699.64099537037</v>
      </c>
      <c r="C3070" s="1" t="n">
        <v>46093</v>
      </c>
      <c r="D3070" t="inlineStr">
        <is>
          <t>ÖSTERGÖTLANDS LÄN</t>
        </is>
      </c>
      <c r="E3070" t="inlineStr">
        <is>
          <t>YDRE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45518-2025</t>
        </is>
      </c>
      <c r="B3071" s="1" t="n">
        <v>45922.59006944444</v>
      </c>
      <c r="C3071" s="1" t="n">
        <v>46093</v>
      </c>
      <c r="D3071" t="inlineStr">
        <is>
          <t>ÖSTERGÖTLANDS LÄN</t>
        </is>
      </c>
      <c r="E3071" t="inlineStr">
        <is>
          <t>SÖDERKÖPING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13993-2022</t>
        </is>
      </c>
      <c r="B3072" s="1" t="n">
        <v>44650</v>
      </c>
      <c r="C3072" s="1" t="n">
        <v>46093</v>
      </c>
      <c r="D3072" t="inlineStr">
        <is>
          <t>ÖSTERGÖTLANDS LÄN</t>
        </is>
      </c>
      <c r="E3072" t="inlineStr">
        <is>
          <t>BOXHOLM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6568-2025</t>
        </is>
      </c>
      <c r="B3073" s="1" t="n">
        <v>45699.75583333334</v>
      </c>
      <c r="C3073" s="1" t="n">
        <v>46093</v>
      </c>
      <c r="D3073" t="inlineStr">
        <is>
          <t>ÖSTERGÖTLANDS LÄN</t>
        </is>
      </c>
      <c r="E3073" t="inlineStr">
        <is>
          <t>NORRKÖPING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43891-2023</t>
        </is>
      </c>
      <c r="B3074" s="1" t="n">
        <v>45187.65685185185</v>
      </c>
      <c r="C3074" s="1" t="n">
        <v>46093</v>
      </c>
      <c r="D3074" t="inlineStr">
        <is>
          <t>ÖSTERGÖTLANDS LÄN</t>
        </is>
      </c>
      <c r="E3074" t="inlineStr">
        <is>
          <t>SÖDERKÖPING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24508-2024</t>
        </is>
      </c>
      <c r="B3075" s="1" t="n">
        <v>45460.33451388889</v>
      </c>
      <c r="C3075" s="1" t="n">
        <v>46093</v>
      </c>
      <c r="D3075" t="inlineStr">
        <is>
          <t>ÖSTERGÖTLANDS LÄN</t>
        </is>
      </c>
      <c r="E3075" t="inlineStr">
        <is>
          <t>BOXHOLM</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45112-2025</t>
        </is>
      </c>
      <c r="B3076" s="1" t="n">
        <v>45919</v>
      </c>
      <c r="C3076" s="1" t="n">
        <v>46093</v>
      </c>
      <c r="D3076" t="inlineStr">
        <is>
          <t>ÖSTERGÖTLANDS LÄN</t>
        </is>
      </c>
      <c r="E3076" t="inlineStr">
        <is>
          <t>LINKÖPING</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19263-2024</t>
        </is>
      </c>
      <c r="B3077" s="1" t="n">
        <v>45428</v>
      </c>
      <c r="C3077" s="1" t="n">
        <v>46093</v>
      </c>
      <c r="D3077" t="inlineStr">
        <is>
          <t>ÖSTERGÖTLANDS LÄN</t>
        </is>
      </c>
      <c r="E3077" t="inlineStr">
        <is>
          <t>FINSPÅNG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37568-2023</t>
        </is>
      </c>
      <c r="B3078" s="1" t="n">
        <v>45159.37363425926</v>
      </c>
      <c r="C3078" s="1" t="n">
        <v>46093</v>
      </c>
      <c r="D3078" t="inlineStr">
        <is>
          <t>ÖSTERGÖTLANDS LÄN</t>
        </is>
      </c>
      <c r="E3078" t="inlineStr">
        <is>
          <t>YDRE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43824-2023</t>
        </is>
      </c>
      <c r="B3079" s="1" t="n">
        <v>45187</v>
      </c>
      <c r="C3079" s="1" t="n">
        <v>46093</v>
      </c>
      <c r="D3079" t="inlineStr">
        <is>
          <t>ÖSTERGÖTLANDS LÄN</t>
        </is>
      </c>
      <c r="E3079" t="inlineStr">
        <is>
          <t>BOXHOLM</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53323-2023</t>
        </is>
      </c>
      <c r="B3080" s="1" t="n">
        <v>45229.61754629629</v>
      </c>
      <c r="C3080" s="1" t="n">
        <v>46093</v>
      </c>
      <c r="D3080" t="inlineStr">
        <is>
          <t>ÖSTERGÖTLANDS LÄN</t>
        </is>
      </c>
      <c r="E3080" t="inlineStr">
        <is>
          <t>FINSPÅNG</t>
        </is>
      </c>
      <c r="F3080" t="inlineStr">
        <is>
          <t>Holmen skog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39071-2022</t>
        </is>
      </c>
      <c r="B3081" s="1" t="n">
        <v>44817.38878472222</v>
      </c>
      <c r="C3081" s="1" t="n">
        <v>46093</v>
      </c>
      <c r="D3081" t="inlineStr">
        <is>
          <t>ÖSTERGÖTLANDS LÄN</t>
        </is>
      </c>
      <c r="E3081" t="inlineStr">
        <is>
          <t>ÅTVIDABERG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5663-2022</t>
        </is>
      </c>
      <c r="B3082" s="1" t="n">
        <v>44596</v>
      </c>
      <c r="C3082" s="1" t="n">
        <v>46093</v>
      </c>
      <c r="D3082" t="inlineStr">
        <is>
          <t>ÖSTERGÖTLANDS LÄN</t>
        </is>
      </c>
      <c r="E3082" t="inlineStr">
        <is>
          <t>ÅTVIDABERG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1293-2023</t>
        </is>
      </c>
      <c r="B3083" s="1" t="n">
        <v>44936.47675925926</v>
      </c>
      <c r="C3083" s="1" t="n">
        <v>46093</v>
      </c>
      <c r="D3083" t="inlineStr">
        <is>
          <t>ÖSTERGÖTLANDS LÄN</t>
        </is>
      </c>
      <c r="E3083" t="inlineStr">
        <is>
          <t>MJÖLBY</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1301-2023</t>
        </is>
      </c>
      <c r="B3084" s="1" t="n">
        <v>44931</v>
      </c>
      <c r="C3084" s="1" t="n">
        <v>46093</v>
      </c>
      <c r="D3084" t="inlineStr">
        <is>
          <t>ÖSTERGÖTLANDS LÄN</t>
        </is>
      </c>
      <c r="E3084" t="inlineStr">
        <is>
          <t>MOTALA</t>
        </is>
      </c>
      <c r="F3084" t="inlineStr">
        <is>
          <t>Övriga statliga verk och myndigheter</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21795-2024</t>
        </is>
      </c>
      <c r="B3085" s="1" t="n">
        <v>45442.6459837963</v>
      </c>
      <c r="C3085" s="1" t="n">
        <v>46093</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14028-2024</t>
        </is>
      </c>
      <c r="B3086" s="1" t="n">
        <v>45392</v>
      </c>
      <c r="C3086" s="1" t="n">
        <v>46093</v>
      </c>
      <c r="D3086" t="inlineStr">
        <is>
          <t>ÖSTERGÖTLANDS LÄN</t>
        </is>
      </c>
      <c r="E3086" t="inlineStr">
        <is>
          <t>LINKÖPING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37084-2023</t>
        </is>
      </c>
      <c r="B3087" s="1" t="n">
        <v>45155.49674768518</v>
      </c>
      <c r="C3087" s="1" t="n">
        <v>46093</v>
      </c>
      <c r="D3087" t="inlineStr">
        <is>
          <t>ÖSTERGÖTLANDS LÄN</t>
        </is>
      </c>
      <c r="E3087" t="inlineStr">
        <is>
          <t>MOTALA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45752-2025</t>
        </is>
      </c>
      <c r="B3088" s="1" t="n">
        <v>45922</v>
      </c>
      <c r="C3088" s="1" t="n">
        <v>46093</v>
      </c>
      <c r="D3088" t="inlineStr">
        <is>
          <t>ÖSTERGÖTLANDS LÄN</t>
        </is>
      </c>
      <c r="E3088" t="inlineStr">
        <is>
          <t>YDRE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21204-2024</t>
        </is>
      </c>
      <c r="B3089" s="1" t="n">
        <v>45440.54711805555</v>
      </c>
      <c r="C3089" s="1" t="n">
        <v>46093</v>
      </c>
      <c r="D3089" t="inlineStr">
        <is>
          <t>ÖSTERGÖTLANDS LÄN</t>
        </is>
      </c>
      <c r="E3089" t="inlineStr">
        <is>
          <t>MOTALA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45169-2025</t>
        </is>
      </c>
      <c r="B3090" s="1" t="n">
        <v>45919.50013888889</v>
      </c>
      <c r="C3090" s="1" t="n">
        <v>46093</v>
      </c>
      <c r="D3090" t="inlineStr">
        <is>
          <t>ÖSTERGÖTLANDS LÄN</t>
        </is>
      </c>
      <c r="E3090" t="inlineStr">
        <is>
          <t>SÖDERKÖPING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46528-2024</t>
        </is>
      </c>
      <c r="B3091" s="1" t="n">
        <v>45582.63575231482</v>
      </c>
      <c r="C3091" s="1" t="n">
        <v>46093</v>
      </c>
      <c r="D3091" t="inlineStr">
        <is>
          <t>ÖSTERGÖTLANDS LÄN</t>
        </is>
      </c>
      <c r="E3091" t="inlineStr">
        <is>
          <t>ÖDESHÖG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5508-2025</t>
        </is>
      </c>
      <c r="B3092" s="1" t="n">
        <v>45693.39354166666</v>
      </c>
      <c r="C3092" s="1" t="n">
        <v>46093</v>
      </c>
      <c r="D3092" t="inlineStr">
        <is>
          <t>ÖSTERGÖTLANDS LÄN</t>
        </is>
      </c>
      <c r="E3092" t="inlineStr">
        <is>
          <t>KINDA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45367-2025</t>
        </is>
      </c>
      <c r="B3093" s="1" t="n">
        <v>45922.38804398148</v>
      </c>
      <c r="C3093" s="1" t="n">
        <v>46093</v>
      </c>
      <c r="D3093" t="inlineStr">
        <is>
          <t>ÖSTERGÖTLANDS LÄN</t>
        </is>
      </c>
      <c r="E3093" t="inlineStr">
        <is>
          <t>YDRE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11505-2022</t>
        </is>
      </c>
      <c r="B3094" s="1" t="n">
        <v>44631</v>
      </c>
      <c r="C3094" s="1" t="n">
        <v>46093</v>
      </c>
      <c r="D3094" t="inlineStr">
        <is>
          <t>ÖSTERGÖTLANDS LÄN</t>
        </is>
      </c>
      <c r="E3094" t="inlineStr">
        <is>
          <t>ÅTVIDABERG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45771-2025</t>
        </is>
      </c>
      <c r="B3095" s="1" t="n">
        <v>45922</v>
      </c>
      <c r="C3095" s="1" t="n">
        <v>46093</v>
      </c>
      <c r="D3095" t="inlineStr">
        <is>
          <t>ÖSTERGÖTLANDS LÄN</t>
        </is>
      </c>
      <c r="E3095" t="inlineStr">
        <is>
          <t>YDRE</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47187-2023</t>
        </is>
      </c>
      <c r="B3096" s="1" t="n">
        <v>45202.26611111111</v>
      </c>
      <c r="C3096" s="1" t="n">
        <v>46093</v>
      </c>
      <c r="D3096" t="inlineStr">
        <is>
          <t>ÖSTERGÖTLANDS LÄN</t>
        </is>
      </c>
      <c r="E3096" t="inlineStr">
        <is>
          <t>KINDA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36433-2025</t>
        </is>
      </c>
      <c r="B3097" s="1" t="n">
        <v>45869.36848379629</v>
      </c>
      <c r="C3097" s="1" t="n">
        <v>46093</v>
      </c>
      <c r="D3097" t="inlineStr">
        <is>
          <t>ÖSTERGÖTLANDS LÄN</t>
        </is>
      </c>
      <c r="E3097" t="inlineStr">
        <is>
          <t>BOXHOLM</t>
        </is>
      </c>
      <c r="F3097" t="inlineStr">
        <is>
          <t>Övriga Aktiebolag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45859-2024</t>
        </is>
      </c>
      <c r="B3098" s="1" t="n">
        <v>45580.34663194444</v>
      </c>
      <c r="C3098" s="1" t="n">
        <v>46093</v>
      </c>
      <c r="D3098" t="inlineStr">
        <is>
          <t>ÖSTERGÖTLANDS LÄN</t>
        </is>
      </c>
      <c r="E3098" t="inlineStr">
        <is>
          <t>BOXHOLM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45526-2025</t>
        </is>
      </c>
      <c r="B3099" s="1" t="n">
        <v>45922.59829861111</v>
      </c>
      <c r="C3099" s="1" t="n">
        <v>46093</v>
      </c>
      <c r="D3099" t="inlineStr">
        <is>
          <t>ÖSTERGÖTLANDS LÄN</t>
        </is>
      </c>
      <c r="E3099" t="inlineStr">
        <is>
          <t>NORRKÖPING</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28880-2025</t>
        </is>
      </c>
      <c r="B3100" s="1" t="n">
        <v>45820.62386574074</v>
      </c>
      <c r="C3100" s="1" t="n">
        <v>46093</v>
      </c>
      <c r="D3100" t="inlineStr">
        <is>
          <t>ÖSTERGÖTLANDS LÄN</t>
        </is>
      </c>
      <c r="E3100" t="inlineStr">
        <is>
          <t>FINSPÅNG</t>
        </is>
      </c>
      <c r="F3100" t="inlineStr">
        <is>
          <t>Holmen skog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53315-2024</t>
        </is>
      </c>
      <c r="B3101" s="1" t="n">
        <v>45614</v>
      </c>
      <c r="C3101" s="1" t="n">
        <v>46093</v>
      </c>
      <c r="D3101" t="inlineStr">
        <is>
          <t>ÖSTERGÖTLANDS LÄN</t>
        </is>
      </c>
      <c r="E3101" t="inlineStr">
        <is>
          <t>SÖDERKÖPING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53316-2024</t>
        </is>
      </c>
      <c r="B3102" s="1" t="n">
        <v>45614.39777777778</v>
      </c>
      <c r="C3102" s="1" t="n">
        <v>46093</v>
      </c>
      <c r="D3102" t="inlineStr">
        <is>
          <t>ÖSTERGÖTLANDS LÄN</t>
        </is>
      </c>
      <c r="E3102" t="inlineStr">
        <is>
          <t>BOXHOLM</t>
        </is>
      </c>
      <c r="F3102" t="inlineStr">
        <is>
          <t>Övriga Aktiebolag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40357-2023</t>
        </is>
      </c>
      <c r="B3103" s="1" t="n">
        <v>45169</v>
      </c>
      <c r="C3103" s="1" t="n">
        <v>46093</v>
      </c>
      <c r="D3103" t="inlineStr">
        <is>
          <t>ÖSTERGÖTLANDS LÄN</t>
        </is>
      </c>
      <c r="E3103" t="inlineStr">
        <is>
          <t>SÖDERKÖPING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53356-2024</t>
        </is>
      </c>
      <c r="B3104" s="1" t="n">
        <v>45614.45748842593</v>
      </c>
      <c r="C3104" s="1" t="n">
        <v>46093</v>
      </c>
      <c r="D3104" t="inlineStr">
        <is>
          <t>ÖSTERGÖTLANDS LÄN</t>
        </is>
      </c>
      <c r="E3104" t="inlineStr">
        <is>
          <t>BOXHOLM</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44559-2023</t>
        </is>
      </c>
      <c r="B3105" s="1" t="n">
        <v>45183</v>
      </c>
      <c r="C3105" s="1" t="n">
        <v>46093</v>
      </c>
      <c r="D3105" t="inlineStr">
        <is>
          <t>ÖSTERGÖTLANDS LÄN</t>
        </is>
      </c>
      <c r="E3105" t="inlineStr">
        <is>
          <t>VALDEMARSVIK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44565-2023</t>
        </is>
      </c>
      <c r="B3106" s="1" t="n">
        <v>45183</v>
      </c>
      <c r="C3106" s="1" t="n">
        <v>46093</v>
      </c>
      <c r="D3106" t="inlineStr">
        <is>
          <t>ÖSTERGÖTLANDS LÄN</t>
        </is>
      </c>
      <c r="E3106" t="inlineStr">
        <is>
          <t>VALDEMARSVIK</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9256-2023</t>
        </is>
      </c>
      <c r="B3107" s="1" t="n">
        <v>44980</v>
      </c>
      <c r="C3107" s="1" t="n">
        <v>46093</v>
      </c>
      <c r="D3107" t="inlineStr">
        <is>
          <t>ÖSTERGÖTLANDS LÄN</t>
        </is>
      </c>
      <c r="E3107" t="inlineStr">
        <is>
          <t>ÅTVIDABERG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11882-2023</t>
        </is>
      </c>
      <c r="B3108" s="1" t="n">
        <v>44995</v>
      </c>
      <c r="C3108" s="1" t="n">
        <v>46093</v>
      </c>
      <c r="D3108" t="inlineStr">
        <is>
          <t>ÖSTERGÖTLANDS LÄN</t>
        </is>
      </c>
      <c r="E3108" t="inlineStr">
        <is>
          <t>ÅTVIDABERG</t>
        </is>
      </c>
      <c r="F3108" t="inlineStr">
        <is>
          <t>Övriga Aktiebolag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36592-2025</t>
        </is>
      </c>
      <c r="B3109" s="1" t="n">
        <v>45870.4994212963</v>
      </c>
      <c r="C3109" s="1" t="n">
        <v>46093</v>
      </c>
      <c r="D3109" t="inlineStr">
        <is>
          <t>ÖSTERGÖTLANDS LÄN</t>
        </is>
      </c>
      <c r="E3109" t="inlineStr">
        <is>
          <t>FINSPÅNG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5151-2025</t>
        </is>
      </c>
      <c r="B3110" s="1" t="n">
        <v>45691.59927083334</v>
      </c>
      <c r="C3110" s="1" t="n">
        <v>46093</v>
      </c>
      <c r="D3110" t="inlineStr">
        <is>
          <t>ÖSTERGÖTLANDS LÄN</t>
        </is>
      </c>
      <c r="E3110" t="inlineStr">
        <is>
          <t>ÖDESHÖG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46164-2025</t>
        </is>
      </c>
      <c r="B3111" s="1" t="n">
        <v>45924.63813657407</v>
      </c>
      <c r="C3111" s="1" t="n">
        <v>46093</v>
      </c>
      <c r="D3111" t="inlineStr">
        <is>
          <t>ÖSTERGÖTLANDS LÄN</t>
        </is>
      </c>
      <c r="E3111" t="inlineStr">
        <is>
          <t>MJÖLBY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46175-2025</t>
        </is>
      </c>
      <c r="B3112" s="1" t="n">
        <v>45924.64946759259</v>
      </c>
      <c r="C3112" s="1" t="n">
        <v>46093</v>
      </c>
      <c r="D3112" t="inlineStr">
        <is>
          <t>ÖSTERGÖTLANDS LÄN</t>
        </is>
      </c>
      <c r="E3112" t="inlineStr">
        <is>
          <t>MJÖLBY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2501-2023</t>
        </is>
      </c>
      <c r="B3113" s="1" t="n">
        <v>44943.56112268518</v>
      </c>
      <c r="C3113" s="1" t="n">
        <v>46093</v>
      </c>
      <c r="D3113" t="inlineStr">
        <is>
          <t>ÖSTERGÖTLANDS LÄN</t>
        </is>
      </c>
      <c r="E3113" t="inlineStr">
        <is>
          <t>NORRKÖPING</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44298-2023</t>
        </is>
      </c>
      <c r="B3114" s="1" t="n">
        <v>45187</v>
      </c>
      <c r="C3114" s="1" t="n">
        <v>46093</v>
      </c>
      <c r="D3114" t="inlineStr">
        <is>
          <t>ÖSTERGÖTLANDS LÄN</t>
        </is>
      </c>
      <c r="E3114" t="inlineStr">
        <is>
          <t>MOTALA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45790-2025</t>
        </is>
      </c>
      <c r="B3115" s="1" t="n">
        <v>45923.56734953704</v>
      </c>
      <c r="C3115" s="1" t="n">
        <v>46093</v>
      </c>
      <c r="D3115" t="inlineStr">
        <is>
          <t>ÖSTERGÖTLANDS LÄN</t>
        </is>
      </c>
      <c r="E3115" t="inlineStr">
        <is>
          <t>MOTALA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21151-2023</t>
        </is>
      </c>
      <c r="B3116" s="1" t="n">
        <v>45062</v>
      </c>
      <c r="C3116" s="1" t="n">
        <v>46093</v>
      </c>
      <c r="D3116" t="inlineStr">
        <is>
          <t>ÖSTERGÖTLANDS LÄN</t>
        </is>
      </c>
      <c r="E3116" t="inlineStr">
        <is>
          <t>BOXHOLM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6421-2025</t>
        </is>
      </c>
      <c r="B3117" s="1" t="n">
        <v>45699.48409722222</v>
      </c>
      <c r="C3117" s="1" t="n">
        <v>46093</v>
      </c>
      <c r="D3117" t="inlineStr">
        <is>
          <t>ÖSTERGÖTLANDS LÄN</t>
        </is>
      </c>
      <c r="E3117" t="inlineStr">
        <is>
          <t>ÖDESHÖG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45805-2025</t>
        </is>
      </c>
      <c r="B3118" s="1" t="n">
        <v>45923.58244212963</v>
      </c>
      <c r="C3118" s="1" t="n">
        <v>46093</v>
      </c>
      <c r="D3118" t="inlineStr">
        <is>
          <t>ÖSTERGÖTLANDS LÄN</t>
        </is>
      </c>
      <c r="E3118" t="inlineStr">
        <is>
          <t>ÅTVIDABERG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45815-2025</t>
        </is>
      </c>
      <c r="B3119" s="1" t="n">
        <v>45922</v>
      </c>
      <c r="C3119" s="1" t="n">
        <v>46093</v>
      </c>
      <c r="D3119" t="inlineStr">
        <is>
          <t>ÖSTERGÖTLANDS LÄN</t>
        </is>
      </c>
      <c r="E3119" t="inlineStr">
        <is>
          <t>YDRE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46086-2025</t>
        </is>
      </c>
      <c r="B3120" s="1" t="n">
        <v>45924.51642361111</v>
      </c>
      <c r="C3120" s="1" t="n">
        <v>46093</v>
      </c>
      <c r="D3120" t="inlineStr">
        <is>
          <t>ÖSTERGÖTLANDS LÄN</t>
        </is>
      </c>
      <c r="E3120" t="inlineStr">
        <is>
          <t>YDRE</t>
        </is>
      </c>
      <c r="F3120" t="inlineStr">
        <is>
          <t>Övriga Aktiebolag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46184-2024</t>
        </is>
      </c>
      <c r="B3121" s="1" t="n">
        <v>45581</v>
      </c>
      <c r="C3121" s="1" t="n">
        <v>46093</v>
      </c>
      <c r="D3121" t="inlineStr">
        <is>
          <t>ÖSTERGÖTLANDS LÄN</t>
        </is>
      </c>
      <c r="E3121" t="inlineStr">
        <is>
          <t>VALDEMARSVIK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46518-2025</t>
        </is>
      </c>
      <c r="B3122" s="1" t="n">
        <v>45924</v>
      </c>
      <c r="C3122" s="1" t="n">
        <v>46093</v>
      </c>
      <c r="D3122" t="inlineStr">
        <is>
          <t>ÖSTERGÖTLANDS LÄN</t>
        </is>
      </c>
      <c r="E3122" t="inlineStr">
        <is>
          <t>YDRE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23517-2022</t>
        </is>
      </c>
      <c r="B3123" s="1" t="n">
        <v>44721</v>
      </c>
      <c r="C3123" s="1" t="n">
        <v>46093</v>
      </c>
      <c r="D3123" t="inlineStr">
        <is>
          <t>ÖSTERGÖTLANDS LÄN</t>
        </is>
      </c>
      <c r="E3123" t="inlineStr">
        <is>
          <t>ÅTVIDABERG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27766-2022</t>
        </is>
      </c>
      <c r="B3124" s="1" t="n">
        <v>44743.53112268518</v>
      </c>
      <c r="C3124" s="1" t="n">
        <v>46093</v>
      </c>
      <c r="D3124" t="inlineStr">
        <is>
          <t>ÖSTERGÖTLANDS LÄN</t>
        </is>
      </c>
      <c r="E3124" t="inlineStr">
        <is>
          <t>LINKÖPING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23530-2022</t>
        </is>
      </c>
      <c r="B3125" s="1" t="n">
        <v>44721</v>
      </c>
      <c r="C3125" s="1" t="n">
        <v>46093</v>
      </c>
      <c r="D3125" t="inlineStr">
        <is>
          <t>ÖSTERGÖTLANDS LÄN</t>
        </is>
      </c>
      <c r="E3125" t="inlineStr">
        <is>
          <t>ÅTVIDABERG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46149-2025</t>
        </is>
      </c>
      <c r="B3126" s="1" t="n">
        <v>45924.61219907407</v>
      </c>
      <c r="C3126" s="1" t="n">
        <v>46093</v>
      </c>
      <c r="D3126" t="inlineStr">
        <is>
          <t>ÖSTERGÖTLANDS LÄN</t>
        </is>
      </c>
      <c r="E3126" t="inlineStr">
        <is>
          <t>FINSPÅNG</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41331-2023</t>
        </is>
      </c>
      <c r="B3127" s="1" t="n">
        <v>45174</v>
      </c>
      <c r="C3127" s="1" t="n">
        <v>46093</v>
      </c>
      <c r="D3127" t="inlineStr">
        <is>
          <t>ÖSTERGÖTLANDS LÄN</t>
        </is>
      </c>
      <c r="E3127" t="inlineStr">
        <is>
          <t>KINDA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45699-2024</t>
        </is>
      </c>
      <c r="B3128" s="1" t="n">
        <v>45579.56570601852</v>
      </c>
      <c r="C3128" s="1" t="n">
        <v>46093</v>
      </c>
      <c r="D3128" t="inlineStr">
        <is>
          <t>ÖSTERGÖTLANDS LÄN</t>
        </is>
      </c>
      <c r="E3128" t="inlineStr">
        <is>
          <t>NORRKÖPING</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46144-2025</t>
        </is>
      </c>
      <c r="B3129" s="1" t="n">
        <v>45924.60741898148</v>
      </c>
      <c r="C3129" s="1" t="n">
        <v>46093</v>
      </c>
      <c r="D3129" t="inlineStr">
        <is>
          <t>ÖSTERGÖTLANDS LÄN</t>
        </is>
      </c>
      <c r="E3129" t="inlineStr">
        <is>
          <t>MJÖLBY</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46148-2025</t>
        </is>
      </c>
      <c r="B3130" s="1" t="n">
        <v>45924.61070601852</v>
      </c>
      <c r="C3130" s="1" t="n">
        <v>46093</v>
      </c>
      <c r="D3130" t="inlineStr">
        <is>
          <t>ÖSTERGÖTLANDS LÄN</t>
        </is>
      </c>
      <c r="E3130" t="inlineStr">
        <is>
          <t>NORRKÖPING</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45931-2025</t>
        </is>
      </c>
      <c r="B3131" s="1" t="n">
        <v>45923.89001157408</v>
      </c>
      <c r="C3131" s="1" t="n">
        <v>46093</v>
      </c>
      <c r="D3131" t="inlineStr">
        <is>
          <t>ÖSTERGÖTLANDS LÄN</t>
        </is>
      </c>
      <c r="E3131" t="inlineStr">
        <is>
          <t>ÅTVIDABERG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45933-2025</t>
        </is>
      </c>
      <c r="B3132" s="1" t="n">
        <v>45923.89930555555</v>
      </c>
      <c r="C3132" s="1" t="n">
        <v>46093</v>
      </c>
      <c r="D3132" t="inlineStr">
        <is>
          <t>ÖSTERGÖTLANDS LÄN</t>
        </is>
      </c>
      <c r="E3132" t="inlineStr">
        <is>
          <t>ÅTVIDABERG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64934-2023</t>
        </is>
      </c>
      <c r="B3133" s="1" t="n">
        <v>45282.79449074074</v>
      </c>
      <c r="C3133" s="1" t="n">
        <v>46093</v>
      </c>
      <c r="D3133" t="inlineStr">
        <is>
          <t>ÖSTERGÖTLANDS LÄN</t>
        </is>
      </c>
      <c r="E3133" t="inlineStr">
        <is>
          <t>MJÖLBY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5197-2022</t>
        </is>
      </c>
      <c r="B3134" s="1" t="n">
        <v>44594</v>
      </c>
      <c r="C3134" s="1" t="n">
        <v>46093</v>
      </c>
      <c r="D3134" t="inlineStr">
        <is>
          <t>ÖSTERGÖTLANDS LÄN</t>
        </is>
      </c>
      <c r="E3134" t="inlineStr">
        <is>
          <t>KINDA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46205-2025</t>
        </is>
      </c>
      <c r="B3135" s="1" t="n">
        <v>45924.70513888889</v>
      </c>
      <c r="C3135" s="1" t="n">
        <v>46093</v>
      </c>
      <c r="D3135" t="inlineStr">
        <is>
          <t>ÖSTERGÖTLANDS LÄN</t>
        </is>
      </c>
      <c r="E3135" t="inlineStr">
        <is>
          <t>NORRKÖPING</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46078-2025</t>
        </is>
      </c>
      <c r="B3136" s="1" t="n">
        <v>45924.5103125</v>
      </c>
      <c r="C3136" s="1" t="n">
        <v>46093</v>
      </c>
      <c r="D3136" t="inlineStr">
        <is>
          <t>ÖSTERGÖTLANDS LÄN</t>
        </is>
      </c>
      <c r="E3136" t="inlineStr">
        <is>
          <t>YDRE</t>
        </is>
      </c>
      <c r="F3136" t="inlineStr">
        <is>
          <t>Övriga Aktiebolag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41657-2024</t>
        </is>
      </c>
      <c r="B3137" s="1" t="n">
        <v>45560.64243055556</v>
      </c>
      <c r="C3137" s="1" t="n">
        <v>46093</v>
      </c>
      <c r="D3137" t="inlineStr">
        <is>
          <t>ÖSTERGÖTLANDS LÄN</t>
        </is>
      </c>
      <c r="E3137" t="inlineStr">
        <is>
          <t>KINDA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7022-2024</t>
        </is>
      </c>
      <c r="B3138" s="1" t="n">
        <v>45343.57483796297</v>
      </c>
      <c r="C3138" s="1" t="n">
        <v>46093</v>
      </c>
      <c r="D3138" t="inlineStr">
        <is>
          <t>ÖSTERGÖTLANDS LÄN</t>
        </is>
      </c>
      <c r="E3138" t="inlineStr">
        <is>
          <t>FINSPÅNG</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7051-2024</t>
        </is>
      </c>
      <c r="B3139" s="1" t="n">
        <v>45343.63946759259</v>
      </c>
      <c r="C3139" s="1" t="n">
        <v>46093</v>
      </c>
      <c r="D3139" t="inlineStr">
        <is>
          <t>ÖSTERGÖTLANDS LÄN</t>
        </is>
      </c>
      <c r="E3139" t="inlineStr">
        <is>
          <t>MOTALA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21517-2024</t>
        </is>
      </c>
      <c r="B3140" s="1" t="n">
        <v>45441.57834490741</v>
      </c>
      <c r="C3140" s="1" t="n">
        <v>46093</v>
      </c>
      <c r="D3140" t="inlineStr">
        <is>
          <t>ÖSTERGÖTLANDS LÄN</t>
        </is>
      </c>
      <c r="E3140" t="inlineStr">
        <is>
          <t>FINSPÅNG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21532-2024</t>
        </is>
      </c>
      <c r="B3141" s="1" t="n">
        <v>45441.59644675926</v>
      </c>
      <c r="C3141" s="1" t="n">
        <v>46093</v>
      </c>
      <c r="D3141" t="inlineStr">
        <is>
          <t>ÖSTERGÖTLANDS LÄN</t>
        </is>
      </c>
      <c r="E3141" t="inlineStr">
        <is>
          <t>FINSPÅNG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8233-2023</t>
        </is>
      </c>
      <c r="B3142" s="1" t="n">
        <v>44974.57886574074</v>
      </c>
      <c r="C3142" s="1" t="n">
        <v>46093</v>
      </c>
      <c r="D3142" t="inlineStr">
        <is>
          <t>ÖSTERGÖTLANDS LÄN</t>
        </is>
      </c>
      <c r="E3142" t="inlineStr">
        <is>
          <t>KINDA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46063-2025</t>
        </is>
      </c>
      <c r="B3143" s="1" t="n">
        <v>45924.47732638889</v>
      </c>
      <c r="C3143" s="1" t="n">
        <v>46093</v>
      </c>
      <c r="D3143" t="inlineStr">
        <is>
          <t>ÖSTERGÖTLANDS LÄN</t>
        </is>
      </c>
      <c r="E3143" t="inlineStr">
        <is>
          <t>ÖDESHÖG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51708-2023</t>
        </is>
      </c>
      <c r="B3144" s="1" t="n">
        <v>45222.63094907408</v>
      </c>
      <c r="C3144" s="1" t="n">
        <v>46093</v>
      </c>
      <c r="D3144" t="inlineStr">
        <is>
          <t>ÖSTERGÖTLANDS LÄN</t>
        </is>
      </c>
      <c r="E3144" t="inlineStr">
        <is>
          <t>BOXHOLM</t>
        </is>
      </c>
      <c r="F3144" t="inlineStr">
        <is>
          <t>Allmännings- och besparingsskogar</t>
        </is>
      </c>
      <c r="G3144" t="n">
        <v>24.2</v>
      </c>
      <c r="H3144" t="n">
        <v>0</v>
      </c>
      <c r="I3144" t="n">
        <v>0</v>
      </c>
      <c r="J3144" t="n">
        <v>0</v>
      </c>
      <c r="K3144" t="n">
        <v>0</v>
      </c>
      <c r="L3144" t="n">
        <v>0</v>
      </c>
      <c r="M3144" t="n">
        <v>0</v>
      </c>
      <c r="N3144" t="n">
        <v>0</v>
      </c>
      <c r="O3144" t="n">
        <v>0</v>
      </c>
      <c r="P3144" t="n">
        <v>0</v>
      </c>
      <c r="Q3144" t="n">
        <v>0</v>
      </c>
      <c r="R3144" s="2" t="inlineStr"/>
    </row>
    <row r="3145" ht="15" customHeight="1">
      <c r="A3145" t="inlineStr">
        <is>
          <t>A 46156-2025</t>
        </is>
      </c>
      <c r="B3145" s="1" t="n">
        <v>45924.6319212963</v>
      </c>
      <c r="C3145" s="1" t="n">
        <v>46093</v>
      </c>
      <c r="D3145" t="inlineStr">
        <is>
          <t>ÖSTERGÖTLANDS LÄN</t>
        </is>
      </c>
      <c r="E3145" t="inlineStr">
        <is>
          <t>MJÖLBY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46209-2025</t>
        </is>
      </c>
      <c r="B3146" s="1" t="n">
        <v>45924.70638888889</v>
      </c>
      <c r="C3146" s="1" t="n">
        <v>46093</v>
      </c>
      <c r="D3146" t="inlineStr">
        <is>
          <t>ÖSTERGÖTLANDS LÄN</t>
        </is>
      </c>
      <c r="E3146" t="inlineStr">
        <is>
          <t>BOXHOLM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45814-2025</t>
        </is>
      </c>
      <c r="B3147" s="1" t="n">
        <v>45923.59025462963</v>
      </c>
      <c r="C3147" s="1" t="n">
        <v>46093</v>
      </c>
      <c r="D3147" t="inlineStr">
        <is>
          <t>ÖSTERGÖTLANDS LÄN</t>
        </is>
      </c>
      <c r="E3147" t="inlineStr">
        <is>
          <t>ÅTVIDABERG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46177-2025</t>
        </is>
      </c>
      <c r="B3148" s="1" t="n">
        <v>45924.65238425926</v>
      </c>
      <c r="C3148" s="1" t="n">
        <v>46093</v>
      </c>
      <c r="D3148" t="inlineStr">
        <is>
          <t>ÖSTERGÖTLANDS LÄN</t>
        </is>
      </c>
      <c r="E3148" t="inlineStr">
        <is>
          <t>NORRKÖPING</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46182-2025</t>
        </is>
      </c>
      <c r="B3149" s="1" t="n">
        <v>45924.65796296296</v>
      </c>
      <c r="C3149" s="1" t="n">
        <v>46093</v>
      </c>
      <c r="D3149" t="inlineStr">
        <is>
          <t>ÖSTERGÖTLANDS LÄN</t>
        </is>
      </c>
      <c r="E3149" t="inlineStr">
        <is>
          <t>BOXHOLM</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46190-2025</t>
        </is>
      </c>
      <c r="B3150" s="1" t="n">
        <v>45924.67244212963</v>
      </c>
      <c r="C3150" s="1" t="n">
        <v>46093</v>
      </c>
      <c r="D3150" t="inlineStr">
        <is>
          <t>ÖSTERGÖTLANDS LÄN</t>
        </is>
      </c>
      <c r="E3150" t="inlineStr">
        <is>
          <t>BOXHOLM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34904-2024</t>
        </is>
      </c>
      <c r="B3151" s="1" t="n">
        <v>45527.40489583334</v>
      </c>
      <c r="C3151" s="1" t="n">
        <v>46093</v>
      </c>
      <c r="D3151" t="inlineStr">
        <is>
          <t>ÖSTERGÖTLANDS LÄN</t>
        </is>
      </c>
      <c r="E3151" t="inlineStr">
        <is>
          <t>NORRKÖPING</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17352-2025</t>
        </is>
      </c>
      <c r="B3152" s="1" t="n">
        <v>45756</v>
      </c>
      <c r="C3152" s="1" t="n">
        <v>46093</v>
      </c>
      <c r="D3152" t="inlineStr">
        <is>
          <t>ÖSTERGÖTLANDS LÄN</t>
        </is>
      </c>
      <c r="E3152" t="inlineStr">
        <is>
          <t>SÖDERKÖPING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17357-2025</t>
        </is>
      </c>
      <c r="B3153" s="1" t="n">
        <v>45756</v>
      </c>
      <c r="C3153" s="1" t="n">
        <v>46093</v>
      </c>
      <c r="D3153" t="inlineStr">
        <is>
          <t>ÖSTERGÖTLANDS LÄN</t>
        </is>
      </c>
      <c r="E3153" t="inlineStr">
        <is>
          <t>SÖDERKÖPING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45634-2025</t>
        </is>
      </c>
      <c r="B3154" s="1" t="n">
        <v>45922.85089120371</v>
      </c>
      <c r="C3154" s="1" t="n">
        <v>46093</v>
      </c>
      <c r="D3154" t="inlineStr">
        <is>
          <t>ÖSTERGÖTLANDS LÄN</t>
        </is>
      </c>
      <c r="E3154" t="inlineStr">
        <is>
          <t>LINKÖPING</t>
        </is>
      </c>
      <c r="F3154" t="inlineStr">
        <is>
          <t>Övriga Aktiebolag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45648-2025</t>
        </is>
      </c>
      <c r="B3155" s="1" t="n">
        <v>45923.32045138889</v>
      </c>
      <c r="C3155" s="1" t="n">
        <v>46093</v>
      </c>
      <c r="D3155" t="inlineStr">
        <is>
          <t>ÖSTERGÖTLANDS LÄN</t>
        </is>
      </c>
      <c r="E3155" t="inlineStr">
        <is>
          <t>SÖDERKÖPING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45774-2025</t>
        </is>
      </c>
      <c r="B3156" s="1" t="n">
        <v>45923</v>
      </c>
      <c r="C3156" s="1" t="n">
        <v>46093</v>
      </c>
      <c r="D3156" t="inlineStr">
        <is>
          <t>ÖSTERGÖTLANDS LÄN</t>
        </is>
      </c>
      <c r="E3156" t="inlineStr">
        <is>
          <t>SÖDERKÖPING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46139-2025</t>
        </is>
      </c>
      <c r="B3157" s="1" t="n">
        <v>45924.60186342592</v>
      </c>
      <c r="C3157" s="1" t="n">
        <v>46093</v>
      </c>
      <c r="D3157" t="inlineStr">
        <is>
          <t>ÖSTERGÖTLANDS LÄN</t>
        </is>
      </c>
      <c r="E3157" t="inlineStr">
        <is>
          <t>YDRE</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52469-2023</t>
        </is>
      </c>
      <c r="B3158" s="1" t="n">
        <v>45225.42056712963</v>
      </c>
      <c r="C3158" s="1" t="n">
        <v>46093</v>
      </c>
      <c r="D3158" t="inlineStr">
        <is>
          <t>ÖSTERGÖTLANDS LÄN</t>
        </is>
      </c>
      <c r="E3158" t="inlineStr">
        <is>
          <t>ÖDESHÖG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26373-2022</t>
        </is>
      </c>
      <c r="B3159" s="1" t="n">
        <v>44735.66302083333</v>
      </c>
      <c r="C3159" s="1" t="n">
        <v>46093</v>
      </c>
      <c r="D3159" t="inlineStr">
        <is>
          <t>ÖSTERGÖTLANDS LÄN</t>
        </is>
      </c>
      <c r="E3159" t="inlineStr">
        <is>
          <t>ÅTVIDABERG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6098-2023</t>
        </is>
      </c>
      <c r="B3160" s="1" t="n">
        <v>44964</v>
      </c>
      <c r="C3160" s="1" t="n">
        <v>46093</v>
      </c>
      <c r="D3160" t="inlineStr">
        <is>
          <t>ÖSTERGÖTLANDS LÄN</t>
        </is>
      </c>
      <c r="E3160" t="inlineStr">
        <is>
          <t>KINDA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6105-2023</t>
        </is>
      </c>
      <c r="B3161" s="1" t="n">
        <v>44964.5900462963</v>
      </c>
      <c r="C3161" s="1" t="n">
        <v>46093</v>
      </c>
      <c r="D3161" t="inlineStr">
        <is>
          <t>ÖSTERGÖTLANDS LÄN</t>
        </is>
      </c>
      <c r="E3161" t="inlineStr">
        <is>
          <t>FINSPÅNG</t>
        </is>
      </c>
      <c r="F3161" t="inlineStr">
        <is>
          <t>Holmen skog AB</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28991-2022</t>
        </is>
      </c>
      <c r="B3162" s="1" t="n">
        <v>44749</v>
      </c>
      <c r="C3162" s="1" t="n">
        <v>46093</v>
      </c>
      <c r="D3162" t="inlineStr">
        <is>
          <t>ÖSTERGÖTLANDS LÄN</t>
        </is>
      </c>
      <c r="E3162" t="inlineStr">
        <is>
          <t>YDRE</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28997-2022</t>
        </is>
      </c>
      <c r="B3163" s="1" t="n">
        <v>44749</v>
      </c>
      <c r="C3163" s="1" t="n">
        <v>46093</v>
      </c>
      <c r="D3163" t="inlineStr">
        <is>
          <t>ÖSTERGÖTLANDS LÄN</t>
        </is>
      </c>
      <c r="E3163" t="inlineStr">
        <is>
          <t>VALDEMARSVIK</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46159-2025</t>
        </is>
      </c>
      <c r="B3164" s="1" t="n">
        <v>45924.6366550926</v>
      </c>
      <c r="C3164" s="1" t="n">
        <v>46093</v>
      </c>
      <c r="D3164" t="inlineStr">
        <is>
          <t>ÖSTERGÖTLANDS LÄN</t>
        </is>
      </c>
      <c r="E3164" t="inlineStr">
        <is>
          <t>MJÖLBY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46186-2025</t>
        </is>
      </c>
      <c r="B3165" s="1" t="n">
        <v>45924.66167824074</v>
      </c>
      <c r="C3165" s="1" t="n">
        <v>46093</v>
      </c>
      <c r="D3165" t="inlineStr">
        <is>
          <t>ÖSTERGÖTLANDS LÄN</t>
        </is>
      </c>
      <c r="E3165" t="inlineStr">
        <is>
          <t>BOXHOLM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52527-2023</t>
        </is>
      </c>
      <c r="B3166" s="1" t="n">
        <v>45225</v>
      </c>
      <c r="C3166" s="1" t="n">
        <v>46093</v>
      </c>
      <c r="D3166" t="inlineStr">
        <is>
          <t>ÖSTERGÖTLANDS LÄN</t>
        </is>
      </c>
      <c r="E3166" t="inlineStr">
        <is>
          <t>ÅTVIDABERG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46195-2025</t>
        </is>
      </c>
      <c r="B3167" s="1" t="n">
        <v>45924.68145833333</v>
      </c>
      <c r="C3167" s="1" t="n">
        <v>46093</v>
      </c>
      <c r="D3167" t="inlineStr">
        <is>
          <t>ÖSTERGÖTLANDS LÄN</t>
        </is>
      </c>
      <c r="E3167" t="inlineStr">
        <is>
          <t>SÖDERKÖPING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46198-2025</t>
        </is>
      </c>
      <c r="B3168" s="1" t="n">
        <v>45924.68908564815</v>
      </c>
      <c r="C3168" s="1" t="n">
        <v>46093</v>
      </c>
      <c r="D3168" t="inlineStr">
        <is>
          <t>ÖSTERGÖTLANDS LÄN</t>
        </is>
      </c>
      <c r="E3168" t="inlineStr">
        <is>
          <t>SÖDERKÖPING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46200-2025</t>
        </is>
      </c>
      <c r="B3169" s="1" t="n">
        <v>45924.69474537037</v>
      </c>
      <c r="C3169" s="1" t="n">
        <v>46093</v>
      </c>
      <c r="D3169" t="inlineStr">
        <is>
          <t>ÖSTERGÖTLANDS LÄN</t>
        </is>
      </c>
      <c r="E3169" t="inlineStr">
        <is>
          <t>BOXHOLM</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45792-2025</t>
        </is>
      </c>
      <c r="B3170" s="1" t="n">
        <v>45923.56998842592</v>
      </c>
      <c r="C3170" s="1" t="n">
        <v>46093</v>
      </c>
      <c r="D3170" t="inlineStr">
        <is>
          <t>ÖSTERGÖTLANDS LÄN</t>
        </is>
      </c>
      <c r="E3170" t="inlineStr">
        <is>
          <t>LINKÖPING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46179-2025</t>
        </is>
      </c>
      <c r="B3171" s="1" t="n">
        <v>45924.65523148148</v>
      </c>
      <c r="C3171" s="1" t="n">
        <v>46093</v>
      </c>
      <c r="D3171" t="inlineStr">
        <is>
          <t>ÖSTERGÖTLANDS LÄN</t>
        </is>
      </c>
      <c r="E3171" t="inlineStr">
        <is>
          <t>BOXHOLM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8063-2025</t>
        </is>
      </c>
      <c r="B3172" s="1" t="n">
        <v>45707.63336805555</v>
      </c>
      <c r="C3172" s="1" t="n">
        <v>46093</v>
      </c>
      <c r="D3172" t="inlineStr">
        <is>
          <t>ÖSTERGÖTLANDS LÄN</t>
        </is>
      </c>
      <c r="E3172" t="inlineStr">
        <is>
          <t>ÖDESHÖG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14667-2024</t>
        </is>
      </c>
      <c r="B3173" s="1" t="n">
        <v>45397.42005787037</v>
      </c>
      <c r="C3173" s="1" t="n">
        <v>46093</v>
      </c>
      <c r="D3173" t="inlineStr">
        <is>
          <t>ÖSTERGÖTLANDS LÄN</t>
        </is>
      </c>
      <c r="E3173" t="inlineStr">
        <is>
          <t>LINKÖPING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45891-2025</t>
        </is>
      </c>
      <c r="B3174" s="1" t="n">
        <v>45923.67458333333</v>
      </c>
      <c r="C3174" s="1" t="n">
        <v>46093</v>
      </c>
      <c r="D3174" t="inlineStr">
        <is>
          <t>ÖSTERGÖTLANDS LÄN</t>
        </is>
      </c>
      <c r="E3174" t="inlineStr">
        <is>
          <t>NORRKÖPING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53239-2024</t>
        </is>
      </c>
      <c r="B3175" s="1" t="n">
        <v>45613.8235300926</v>
      </c>
      <c r="C3175" s="1" t="n">
        <v>46093</v>
      </c>
      <c r="D3175" t="inlineStr">
        <is>
          <t>ÖSTERGÖTLANDS LÄN</t>
        </is>
      </c>
      <c r="E3175" t="inlineStr">
        <is>
          <t>KINDA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45932-2025</t>
        </is>
      </c>
      <c r="B3176" s="1" t="n">
        <v>45923.89409722222</v>
      </c>
      <c r="C3176" s="1" t="n">
        <v>46093</v>
      </c>
      <c r="D3176" t="inlineStr">
        <is>
          <t>ÖSTERGÖTLANDS LÄN</t>
        </is>
      </c>
      <c r="E3176" t="inlineStr">
        <is>
          <t>ÅTVIDABERG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25195-2022</t>
        </is>
      </c>
      <c r="B3177" s="1" t="n">
        <v>44729</v>
      </c>
      <c r="C3177" s="1" t="n">
        <v>46093</v>
      </c>
      <c r="D3177" t="inlineStr">
        <is>
          <t>ÖSTERGÖTLANDS LÄN</t>
        </is>
      </c>
      <c r="E3177" t="inlineStr">
        <is>
          <t>FINSPÅNG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2697-2023</t>
        </is>
      </c>
      <c r="B3178" s="1" t="n">
        <v>44944</v>
      </c>
      <c r="C3178" s="1" t="n">
        <v>46093</v>
      </c>
      <c r="D3178" t="inlineStr">
        <is>
          <t>ÖSTERGÖTLANDS LÄN</t>
        </is>
      </c>
      <c r="E3178" t="inlineStr">
        <is>
          <t>LINKÖPING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59570-2022</t>
        </is>
      </c>
      <c r="B3179" s="1" t="n">
        <v>44907</v>
      </c>
      <c r="C3179" s="1" t="n">
        <v>46093</v>
      </c>
      <c r="D3179" t="inlineStr">
        <is>
          <t>ÖSTERGÖTLANDS LÄN</t>
        </is>
      </c>
      <c r="E3179" t="inlineStr">
        <is>
          <t>MOTALA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45960-2025</t>
        </is>
      </c>
      <c r="B3180" s="1" t="n">
        <v>45924.34709490741</v>
      </c>
      <c r="C3180" s="1" t="n">
        <v>46093</v>
      </c>
      <c r="D3180" t="inlineStr">
        <is>
          <t>ÖSTERGÖTLANDS LÄN</t>
        </is>
      </c>
      <c r="E3180" t="inlineStr">
        <is>
          <t>ÅTVIDABERG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45804-2025</t>
        </is>
      </c>
      <c r="B3181" s="1" t="n">
        <v>45923.5819675926</v>
      </c>
      <c r="C3181" s="1" t="n">
        <v>46093</v>
      </c>
      <c r="D3181" t="inlineStr">
        <is>
          <t>ÖSTERGÖTLANDS LÄN</t>
        </is>
      </c>
      <c r="E3181" t="inlineStr">
        <is>
          <t>LINKÖPING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17309-2024</t>
        </is>
      </c>
      <c r="B3182" s="1" t="n">
        <v>45414.50677083333</v>
      </c>
      <c r="C3182" s="1" t="n">
        <v>46093</v>
      </c>
      <c r="D3182" t="inlineStr">
        <is>
          <t>ÖSTERGÖTLANDS LÄN</t>
        </is>
      </c>
      <c r="E3182" t="inlineStr">
        <is>
          <t>YDRE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16755-2022</t>
        </is>
      </c>
      <c r="B3183" s="1" t="n">
        <v>44673.4696875</v>
      </c>
      <c r="C3183" s="1" t="n">
        <v>46093</v>
      </c>
      <c r="D3183" t="inlineStr">
        <is>
          <t>ÖSTERGÖTLANDS LÄN</t>
        </is>
      </c>
      <c r="E3183" t="inlineStr">
        <is>
          <t>BOXHOLM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42202-2023</t>
        </is>
      </c>
      <c r="B3184" s="1" t="n">
        <v>45179.86133101852</v>
      </c>
      <c r="C3184" s="1" t="n">
        <v>46093</v>
      </c>
      <c r="D3184" t="inlineStr">
        <is>
          <t>ÖSTERGÖTLANDS LÄN</t>
        </is>
      </c>
      <c r="E3184" t="inlineStr">
        <is>
          <t>FINSPÅNG</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42205-2023</t>
        </is>
      </c>
      <c r="B3185" s="1" t="n">
        <v>45179</v>
      </c>
      <c r="C3185" s="1" t="n">
        <v>46093</v>
      </c>
      <c r="D3185" t="inlineStr">
        <is>
          <t>ÖSTERGÖTLANDS LÄN</t>
        </is>
      </c>
      <c r="E3185" t="inlineStr">
        <is>
          <t>FINSPÅNG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45674-2025</t>
        </is>
      </c>
      <c r="B3186" s="1" t="n">
        <v>45923.3625</v>
      </c>
      <c r="C3186" s="1" t="n">
        <v>46093</v>
      </c>
      <c r="D3186" t="inlineStr">
        <is>
          <t>ÖSTERGÖTLANDS LÄN</t>
        </is>
      </c>
      <c r="E3186" t="inlineStr">
        <is>
          <t>KINDA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47846-2023</t>
        </is>
      </c>
      <c r="B3187" s="1" t="n">
        <v>45204</v>
      </c>
      <c r="C3187" s="1" t="n">
        <v>46093</v>
      </c>
      <c r="D3187" t="inlineStr">
        <is>
          <t>ÖSTERGÖTLANDS LÄN</t>
        </is>
      </c>
      <c r="E3187" t="inlineStr">
        <is>
          <t>NORRKÖPING</t>
        </is>
      </c>
      <c r="F3187" t="inlineStr">
        <is>
          <t>Naturvårdsverket</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46166-2025</t>
        </is>
      </c>
      <c r="B3188" s="1" t="n">
        <v>45924.63995370371</v>
      </c>
      <c r="C3188" s="1" t="n">
        <v>46093</v>
      </c>
      <c r="D3188" t="inlineStr">
        <is>
          <t>ÖSTERGÖTLANDS LÄN</t>
        </is>
      </c>
      <c r="E3188" t="inlineStr">
        <is>
          <t>MJÖLBY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46199-2025</t>
        </is>
      </c>
      <c r="B3189" s="1" t="n">
        <v>45924.69034722223</v>
      </c>
      <c r="C3189" s="1" t="n">
        <v>46093</v>
      </c>
      <c r="D3189" t="inlineStr">
        <is>
          <t>ÖSTERGÖTLANDS LÄN</t>
        </is>
      </c>
      <c r="E3189" t="inlineStr">
        <is>
          <t>BOXHOLM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36967-2022</t>
        </is>
      </c>
      <c r="B3190" s="1" t="n">
        <v>44806</v>
      </c>
      <c r="C3190" s="1" t="n">
        <v>46093</v>
      </c>
      <c r="D3190" t="inlineStr">
        <is>
          <t>ÖSTERGÖTLANDS LÄN</t>
        </is>
      </c>
      <c r="E3190" t="inlineStr">
        <is>
          <t>ÅTVIDABERG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53641-2023</t>
        </is>
      </c>
      <c r="B3191" s="1" t="n">
        <v>45230</v>
      </c>
      <c r="C3191" s="1" t="n">
        <v>46093</v>
      </c>
      <c r="D3191" t="inlineStr">
        <is>
          <t>ÖSTERGÖTLANDS LÄN</t>
        </is>
      </c>
      <c r="E3191" t="inlineStr">
        <is>
          <t>LINKÖPING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41381-2023</t>
        </is>
      </c>
      <c r="B3192" s="1" t="n">
        <v>45174</v>
      </c>
      <c r="C3192" s="1" t="n">
        <v>46093</v>
      </c>
      <c r="D3192" t="inlineStr">
        <is>
          <t>ÖSTERGÖTLANDS LÄN</t>
        </is>
      </c>
      <c r="E3192" t="inlineStr">
        <is>
          <t>NORRKÖPING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41382-2023</t>
        </is>
      </c>
      <c r="B3193" s="1" t="n">
        <v>45174</v>
      </c>
      <c r="C3193" s="1" t="n">
        <v>46093</v>
      </c>
      <c r="D3193" t="inlineStr">
        <is>
          <t>ÖSTERGÖTLANDS LÄN</t>
        </is>
      </c>
      <c r="E3193" t="inlineStr">
        <is>
          <t>NORRKÖPING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26294-2024</t>
        </is>
      </c>
      <c r="B3194" s="1" t="n">
        <v>45468.82832175926</v>
      </c>
      <c r="C3194" s="1" t="n">
        <v>46093</v>
      </c>
      <c r="D3194" t="inlineStr">
        <is>
          <t>ÖSTERGÖTLANDS LÄN</t>
        </is>
      </c>
      <c r="E3194" t="inlineStr">
        <is>
          <t>NORRKÖPING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36191-2023</t>
        </is>
      </c>
      <c r="B3195" s="1" t="n">
        <v>45149</v>
      </c>
      <c r="C3195" s="1" t="n">
        <v>46093</v>
      </c>
      <c r="D3195" t="inlineStr">
        <is>
          <t>ÖSTERGÖTLANDS LÄN</t>
        </is>
      </c>
      <c r="E3195" t="inlineStr">
        <is>
          <t>FINSPÅNG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46154-2025</t>
        </is>
      </c>
      <c r="B3196" s="1" t="n">
        <v>45924.61788194445</v>
      </c>
      <c r="C3196" s="1" t="n">
        <v>46093</v>
      </c>
      <c r="D3196" t="inlineStr">
        <is>
          <t>ÖSTERGÖTLANDS LÄN</t>
        </is>
      </c>
      <c r="E3196" t="inlineStr">
        <is>
          <t>NORRKÖPING</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46057-2025</t>
        </is>
      </c>
      <c r="B3197" s="1" t="n">
        <v>45924.46423611111</v>
      </c>
      <c r="C3197" s="1" t="n">
        <v>46093</v>
      </c>
      <c r="D3197" t="inlineStr">
        <is>
          <t>ÖSTERGÖTLANDS LÄN</t>
        </is>
      </c>
      <c r="E3197" t="inlineStr">
        <is>
          <t>VALDEMARSVIK</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46059-2025</t>
        </is>
      </c>
      <c r="B3198" s="1" t="n">
        <v>45924.465625</v>
      </c>
      <c r="C3198" s="1" t="n">
        <v>46093</v>
      </c>
      <c r="D3198" t="inlineStr">
        <is>
          <t>ÖSTERGÖTLANDS LÄN</t>
        </is>
      </c>
      <c r="E3198" t="inlineStr">
        <is>
          <t>ÖDESHÖG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48707-2023</t>
        </is>
      </c>
      <c r="B3199" s="1" t="n">
        <v>45202</v>
      </c>
      <c r="C3199" s="1" t="n">
        <v>46093</v>
      </c>
      <c r="D3199" t="inlineStr">
        <is>
          <t>ÖSTERGÖTLANDS LÄN</t>
        </is>
      </c>
      <c r="E3199" t="inlineStr">
        <is>
          <t>LINKÖPING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1178-2024</t>
        </is>
      </c>
      <c r="B3200" s="1" t="n">
        <v>45302</v>
      </c>
      <c r="C3200" s="1" t="n">
        <v>46093</v>
      </c>
      <c r="D3200" t="inlineStr">
        <is>
          <t>ÖSTERGÖTLANDS LÄN</t>
        </is>
      </c>
      <c r="E3200" t="inlineStr">
        <is>
          <t>MOTALA</t>
        </is>
      </c>
      <c r="F3200" t="inlineStr">
        <is>
          <t>Övriga statliga verk och myndigheter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59234-2022</t>
        </is>
      </c>
      <c r="B3201" s="1" t="n">
        <v>44904</v>
      </c>
      <c r="C3201" s="1" t="n">
        <v>46093</v>
      </c>
      <c r="D3201" t="inlineStr">
        <is>
          <t>ÖSTERGÖTLANDS LÄN</t>
        </is>
      </c>
      <c r="E3201" t="inlineStr">
        <is>
          <t>MJÖLBY</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46759-2025</t>
        </is>
      </c>
      <c r="B3202" s="1" t="n">
        <v>45926.62104166667</v>
      </c>
      <c r="C3202" s="1" t="n">
        <v>46093</v>
      </c>
      <c r="D3202" t="inlineStr">
        <is>
          <t>ÖSTERGÖTLANDS LÄN</t>
        </is>
      </c>
      <c r="E3202" t="inlineStr">
        <is>
          <t>VALDEMARSVIK</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55702-2022</t>
        </is>
      </c>
      <c r="B3203" s="1" t="n">
        <v>44888</v>
      </c>
      <c r="C3203" s="1" t="n">
        <v>46093</v>
      </c>
      <c r="D3203" t="inlineStr">
        <is>
          <t>ÖSTERGÖTLANDS LÄN</t>
        </is>
      </c>
      <c r="E3203" t="inlineStr">
        <is>
          <t>ÅTVIDABERG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53319-2023</t>
        </is>
      </c>
      <c r="B3204" s="1" t="n">
        <v>45229</v>
      </c>
      <c r="C3204" s="1" t="n">
        <v>46093</v>
      </c>
      <c r="D3204" t="inlineStr">
        <is>
          <t>ÖSTERGÖTLANDS LÄN</t>
        </is>
      </c>
      <c r="E3204" t="inlineStr">
        <is>
          <t>KINDA</t>
        </is>
      </c>
      <c r="F3204" t="inlineStr">
        <is>
          <t>Sveaskog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46643-2025</t>
        </is>
      </c>
      <c r="B3205" s="1" t="n">
        <v>45926</v>
      </c>
      <c r="C3205" s="1" t="n">
        <v>46093</v>
      </c>
      <c r="D3205" t="inlineStr">
        <is>
          <t>ÖSTERGÖTLANDS LÄN</t>
        </is>
      </c>
      <c r="E3205" t="inlineStr">
        <is>
          <t>SÖDERKÖPING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53322-2023</t>
        </is>
      </c>
      <c r="B3206" s="1" t="n">
        <v>45229.61693287037</v>
      </c>
      <c r="C3206" s="1" t="n">
        <v>46093</v>
      </c>
      <c r="D3206" t="inlineStr">
        <is>
          <t>ÖSTERGÖTLANDS LÄN</t>
        </is>
      </c>
      <c r="E3206" t="inlineStr">
        <is>
          <t>MOTALA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46708-2025</t>
        </is>
      </c>
      <c r="B3207" s="1" t="n">
        <v>45926.57173611111</v>
      </c>
      <c r="C3207" s="1" t="n">
        <v>46093</v>
      </c>
      <c r="D3207" t="inlineStr">
        <is>
          <t>ÖSTERGÖTLANDS LÄN</t>
        </is>
      </c>
      <c r="E3207" t="inlineStr">
        <is>
          <t>YDRE</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47875-2021</t>
        </is>
      </c>
      <c r="B3208" s="1" t="n">
        <v>44448</v>
      </c>
      <c r="C3208" s="1" t="n">
        <v>46093</v>
      </c>
      <c r="D3208" t="inlineStr">
        <is>
          <t>ÖSTERGÖTLANDS LÄN</t>
        </is>
      </c>
      <c r="E3208" t="inlineStr">
        <is>
          <t>MOTALA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47895-2021</t>
        </is>
      </c>
      <c r="B3209" s="1" t="n">
        <v>44448</v>
      </c>
      <c r="C3209" s="1" t="n">
        <v>46093</v>
      </c>
      <c r="D3209" t="inlineStr">
        <is>
          <t>ÖSTERGÖTLANDS LÄN</t>
        </is>
      </c>
      <c r="E3209" t="inlineStr">
        <is>
          <t>NORRKÖPING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53411-2023</t>
        </is>
      </c>
      <c r="B3210" s="1" t="n">
        <v>45229.81049768518</v>
      </c>
      <c r="C3210" s="1" t="n">
        <v>46093</v>
      </c>
      <c r="D3210" t="inlineStr">
        <is>
          <t>ÖSTERGÖTLANDS LÄN</t>
        </is>
      </c>
      <c r="E3210" t="inlineStr">
        <is>
          <t>LINKÖPING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8256-2023</t>
        </is>
      </c>
      <c r="B3211" s="1" t="n">
        <v>44974</v>
      </c>
      <c r="C3211" s="1" t="n">
        <v>46093</v>
      </c>
      <c r="D3211" t="inlineStr">
        <is>
          <t>ÖSTERGÖTLANDS LÄN</t>
        </is>
      </c>
      <c r="E3211" t="inlineStr">
        <is>
          <t>ÖDESHÖG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33997-2023</t>
        </is>
      </c>
      <c r="B3212" s="1" t="n">
        <v>45134</v>
      </c>
      <c r="C3212" s="1" t="n">
        <v>46093</v>
      </c>
      <c r="D3212" t="inlineStr">
        <is>
          <t>ÖSTERGÖTLANDS LÄN</t>
        </is>
      </c>
      <c r="E3212" t="inlineStr">
        <is>
          <t>KINDA</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22046-2022</t>
        </is>
      </c>
      <c r="B3213" s="1" t="n">
        <v>44711.66092592593</v>
      </c>
      <c r="C3213" s="1" t="n">
        <v>46093</v>
      </c>
      <c r="D3213" t="inlineStr">
        <is>
          <t>ÖSTERGÖTLANDS LÄN</t>
        </is>
      </c>
      <c r="E3213" t="inlineStr">
        <is>
          <t>BOXHOLM</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46660-2025</t>
        </is>
      </c>
      <c r="B3214" s="1" t="n">
        <v>45925</v>
      </c>
      <c r="C3214" s="1" t="n">
        <v>46093</v>
      </c>
      <c r="D3214" t="inlineStr">
        <is>
          <t>ÖSTERGÖTLANDS LÄN</t>
        </is>
      </c>
      <c r="E3214" t="inlineStr">
        <is>
          <t>YDRE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59799-2023</t>
        </is>
      </c>
      <c r="B3215" s="1" t="n">
        <v>45257</v>
      </c>
      <c r="C3215" s="1" t="n">
        <v>46093</v>
      </c>
      <c r="D3215" t="inlineStr">
        <is>
          <t>ÖSTERGÖTLANDS LÄN</t>
        </is>
      </c>
      <c r="E3215" t="inlineStr">
        <is>
          <t>FINSPÅNG</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46521-2025</t>
        </is>
      </c>
      <c r="B3216" s="1" t="n">
        <v>45926.32668981481</v>
      </c>
      <c r="C3216" s="1" t="n">
        <v>46093</v>
      </c>
      <c r="D3216" t="inlineStr">
        <is>
          <t>ÖSTERGÖTLANDS LÄN</t>
        </is>
      </c>
      <c r="E3216" t="inlineStr">
        <is>
          <t>MJÖLBY</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6004-2025</t>
        </is>
      </c>
      <c r="B3217" s="1" t="n">
        <v>45695.58439814814</v>
      </c>
      <c r="C3217" s="1" t="n">
        <v>46093</v>
      </c>
      <c r="D3217" t="inlineStr">
        <is>
          <t>ÖSTERGÖTLANDS LÄN</t>
        </is>
      </c>
      <c r="E3217" t="inlineStr">
        <is>
          <t>ÅTVIDABERG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47724-2024</t>
        </is>
      </c>
      <c r="B3218" s="1" t="n">
        <v>45588.49065972222</v>
      </c>
      <c r="C3218" s="1" t="n">
        <v>46093</v>
      </c>
      <c r="D3218" t="inlineStr">
        <is>
          <t>ÖSTERGÖTLANDS LÄN</t>
        </is>
      </c>
      <c r="E3218" t="inlineStr">
        <is>
          <t>KINDA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48271-2023</t>
        </is>
      </c>
      <c r="B3219" s="1" t="n">
        <v>45205</v>
      </c>
      <c r="C3219" s="1" t="n">
        <v>46093</v>
      </c>
      <c r="D3219" t="inlineStr">
        <is>
          <t>ÖSTERGÖTLANDS LÄN</t>
        </is>
      </c>
      <c r="E3219" t="inlineStr">
        <is>
          <t>LINKÖPING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56741-2023</t>
        </is>
      </c>
      <c r="B3220" s="1" t="n">
        <v>45244</v>
      </c>
      <c r="C3220" s="1" t="n">
        <v>46093</v>
      </c>
      <c r="D3220" t="inlineStr">
        <is>
          <t>ÖSTERGÖTLANDS LÄN</t>
        </is>
      </c>
      <c r="E3220" t="inlineStr">
        <is>
          <t>LINKÖPING</t>
        </is>
      </c>
      <c r="F3220" t="inlineStr">
        <is>
          <t>Övriga Aktiebolag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46762-2025</t>
        </is>
      </c>
      <c r="B3221" s="1" t="n">
        <v>45926</v>
      </c>
      <c r="C3221" s="1" t="n">
        <v>46093</v>
      </c>
      <c r="D3221" t="inlineStr">
        <is>
          <t>ÖSTERGÖTLANDS LÄN</t>
        </is>
      </c>
      <c r="E3221" t="inlineStr">
        <is>
          <t>VALDEMARSVIK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15459-2024</t>
        </is>
      </c>
      <c r="B3222" s="1" t="n">
        <v>45401.46640046296</v>
      </c>
      <c r="C3222" s="1" t="n">
        <v>46093</v>
      </c>
      <c r="D3222" t="inlineStr">
        <is>
          <t>ÖSTERGÖTLANDS LÄN</t>
        </is>
      </c>
      <c r="E3222" t="inlineStr">
        <is>
          <t>NORRKÖPING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46428-2025</t>
        </is>
      </c>
      <c r="B3223" s="1" t="n">
        <v>45925.60758101852</v>
      </c>
      <c r="C3223" s="1" t="n">
        <v>46093</v>
      </c>
      <c r="D3223" t="inlineStr">
        <is>
          <t>ÖSTERGÖTLANDS LÄN</t>
        </is>
      </c>
      <c r="E3223" t="inlineStr">
        <is>
          <t>LINKÖPING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56792-2023</t>
        </is>
      </c>
      <c r="B3224" s="1" t="n">
        <v>45244</v>
      </c>
      <c r="C3224" s="1" t="n">
        <v>46093</v>
      </c>
      <c r="D3224" t="inlineStr">
        <is>
          <t>ÖSTERGÖTLANDS LÄN</t>
        </is>
      </c>
      <c r="E3224" t="inlineStr">
        <is>
          <t>LINKÖPING</t>
        </is>
      </c>
      <c r="F3224" t="inlineStr">
        <is>
          <t>Övriga Aktiebolag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49931-2024</t>
        </is>
      </c>
      <c r="B3225" s="1" t="n">
        <v>45597.58015046296</v>
      </c>
      <c r="C3225" s="1" t="n">
        <v>46093</v>
      </c>
      <c r="D3225" t="inlineStr">
        <is>
          <t>ÖSTERGÖTLANDS LÄN</t>
        </is>
      </c>
      <c r="E3225" t="inlineStr">
        <is>
          <t>VALDEMARSVIK</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6191-2025</t>
        </is>
      </c>
      <c r="B3226" s="1" t="n">
        <v>45698.46657407407</v>
      </c>
      <c r="C3226" s="1" t="n">
        <v>46093</v>
      </c>
      <c r="D3226" t="inlineStr">
        <is>
          <t>ÖSTERGÖTLANDS LÄN</t>
        </is>
      </c>
      <c r="E3226" t="inlineStr">
        <is>
          <t>FINSPÅNG</t>
        </is>
      </c>
      <c r="F3226" t="inlineStr">
        <is>
          <t>Holmen skog AB</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49983-2024</t>
        </is>
      </c>
      <c r="B3227" s="1" t="n">
        <v>45597.76792824074</v>
      </c>
      <c r="C3227" s="1" t="n">
        <v>46093</v>
      </c>
      <c r="D3227" t="inlineStr">
        <is>
          <t>ÖSTERGÖTLANDS LÄN</t>
        </is>
      </c>
      <c r="E3227" t="inlineStr">
        <is>
          <t>ÅTVIDABERG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46467-2025</t>
        </is>
      </c>
      <c r="B3228" s="1" t="n">
        <v>45925.67975694445</v>
      </c>
      <c r="C3228" s="1" t="n">
        <v>46093</v>
      </c>
      <c r="D3228" t="inlineStr">
        <is>
          <t>ÖSTERGÖTLANDS LÄN</t>
        </is>
      </c>
      <c r="E3228" t="inlineStr">
        <is>
          <t>MJÖLBY</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54507-2022</t>
        </is>
      </c>
      <c r="B3229" s="1" t="n">
        <v>44882</v>
      </c>
      <c r="C3229" s="1" t="n">
        <v>46093</v>
      </c>
      <c r="D3229" t="inlineStr">
        <is>
          <t>ÖSTERGÖTLANDS LÄN</t>
        </is>
      </c>
      <c r="E3229" t="inlineStr">
        <is>
          <t>KINDA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46426-2025</t>
        </is>
      </c>
      <c r="B3230" s="1" t="n">
        <v>45925.6012962963</v>
      </c>
      <c r="C3230" s="1" t="n">
        <v>46093</v>
      </c>
      <c r="D3230" t="inlineStr">
        <is>
          <t>ÖSTERGÖTLANDS LÄN</t>
        </is>
      </c>
      <c r="E3230" t="inlineStr">
        <is>
          <t>LINKÖPING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46520-2025</t>
        </is>
      </c>
      <c r="B3231" s="1" t="n">
        <v>45925</v>
      </c>
      <c r="C3231" s="1" t="n">
        <v>46093</v>
      </c>
      <c r="D3231" t="inlineStr">
        <is>
          <t>ÖSTERGÖTLANDS LÄN</t>
        </is>
      </c>
      <c r="E3231" t="inlineStr">
        <is>
          <t>YDRE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10317-2025</t>
        </is>
      </c>
      <c r="B3232" s="1" t="n">
        <v>45720.46690972222</v>
      </c>
      <c r="C3232" s="1" t="n">
        <v>46093</v>
      </c>
      <c r="D3232" t="inlineStr">
        <is>
          <t>ÖSTERGÖTLANDS LÄN</t>
        </is>
      </c>
      <c r="E3232" t="inlineStr">
        <is>
          <t>BOXHOLM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26087-2022</t>
        </is>
      </c>
      <c r="B3233" s="1" t="n">
        <v>44734</v>
      </c>
      <c r="C3233" s="1" t="n">
        <v>46093</v>
      </c>
      <c r="D3233" t="inlineStr">
        <is>
          <t>ÖSTERGÖTLANDS LÄN</t>
        </is>
      </c>
      <c r="E3233" t="inlineStr">
        <is>
          <t>FINSPÅNG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25420-2022</t>
        </is>
      </c>
      <c r="B3234" s="1" t="n">
        <v>44732</v>
      </c>
      <c r="C3234" s="1" t="n">
        <v>46093</v>
      </c>
      <c r="D3234" t="inlineStr">
        <is>
          <t>ÖSTERGÖTLANDS LÄN</t>
        </is>
      </c>
      <c r="E3234" t="inlineStr">
        <is>
          <t>FINSPÅNG</t>
        </is>
      </c>
      <c r="F3234" t="inlineStr">
        <is>
          <t>Holmen skog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14459-2024</t>
        </is>
      </c>
      <c r="B3235" s="1" t="n">
        <v>45394</v>
      </c>
      <c r="C3235" s="1" t="n">
        <v>46093</v>
      </c>
      <c r="D3235" t="inlineStr">
        <is>
          <t>ÖSTERGÖTLANDS LÄN</t>
        </is>
      </c>
      <c r="E3235" t="inlineStr">
        <is>
          <t>NORRKÖPING</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46722-2025</t>
        </is>
      </c>
      <c r="B3236" s="1" t="n">
        <v>45926.58402777778</v>
      </c>
      <c r="C3236" s="1" t="n">
        <v>46093</v>
      </c>
      <c r="D3236" t="inlineStr">
        <is>
          <t>ÖSTERGÖTLANDS LÄN</t>
        </is>
      </c>
      <c r="E3236" t="inlineStr">
        <is>
          <t>YDRE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46725-2025</t>
        </is>
      </c>
      <c r="B3237" s="1" t="n">
        <v>45926</v>
      </c>
      <c r="C3237" s="1" t="n">
        <v>46093</v>
      </c>
      <c r="D3237" t="inlineStr">
        <is>
          <t>ÖSTERGÖTLANDS LÄN</t>
        </is>
      </c>
      <c r="E3237" t="inlineStr">
        <is>
          <t>SÖDERKÖPING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12825-2024</t>
        </is>
      </c>
      <c r="B3238" s="1" t="n">
        <v>45384.68508101852</v>
      </c>
      <c r="C3238" s="1" t="n">
        <v>46093</v>
      </c>
      <c r="D3238" t="inlineStr">
        <is>
          <t>ÖSTERGÖTLANDS LÄN</t>
        </is>
      </c>
      <c r="E3238" t="inlineStr">
        <is>
          <t>ÅTVIDABERG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46742-2025</t>
        </is>
      </c>
      <c r="B3239" s="1" t="n">
        <v>45926.60870370371</v>
      </c>
      <c r="C3239" s="1" t="n">
        <v>46093</v>
      </c>
      <c r="D3239" t="inlineStr">
        <is>
          <t>ÖSTERGÖTLANDS LÄN</t>
        </is>
      </c>
      <c r="E3239" t="inlineStr">
        <is>
          <t>SÖDERKÖPING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3007-2023</t>
        </is>
      </c>
      <c r="B3240" s="1" t="n">
        <v>44945</v>
      </c>
      <c r="C3240" s="1" t="n">
        <v>46093</v>
      </c>
      <c r="D3240" t="inlineStr">
        <is>
          <t>ÖSTERGÖTLANDS LÄN</t>
        </is>
      </c>
      <c r="E3240" t="inlineStr">
        <is>
          <t>LINKÖPING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40338-2024</t>
        </is>
      </c>
      <c r="B3241" s="1" t="n">
        <v>45555.32940972222</v>
      </c>
      <c r="C3241" s="1" t="n">
        <v>46093</v>
      </c>
      <c r="D3241" t="inlineStr">
        <is>
          <t>ÖSTERGÖTLANDS LÄN</t>
        </is>
      </c>
      <c r="E3241" t="inlineStr">
        <is>
          <t>LINKÖPING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3013-2023</t>
        </is>
      </c>
      <c r="B3242" s="1" t="n">
        <v>44945.8092824074</v>
      </c>
      <c r="C3242" s="1" t="n">
        <v>46093</v>
      </c>
      <c r="D3242" t="inlineStr">
        <is>
          <t>ÖSTERGÖTLANDS LÄN</t>
        </is>
      </c>
      <c r="E3242" t="inlineStr">
        <is>
          <t>LINKÖPING</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46718-2025</t>
        </is>
      </c>
      <c r="B3243" s="1" t="n">
        <v>45926.5803125</v>
      </c>
      <c r="C3243" s="1" t="n">
        <v>46093</v>
      </c>
      <c r="D3243" t="inlineStr">
        <is>
          <t>ÖSTERGÖTLANDS LÄN</t>
        </is>
      </c>
      <c r="E3243" t="inlineStr">
        <is>
          <t>YDRE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17360-2025</t>
        </is>
      </c>
      <c r="B3244" s="1" t="n">
        <v>45756</v>
      </c>
      <c r="C3244" s="1" t="n">
        <v>46093</v>
      </c>
      <c r="D3244" t="inlineStr">
        <is>
          <t>ÖSTERGÖTLANDS LÄN</t>
        </is>
      </c>
      <c r="E3244" t="inlineStr">
        <is>
          <t>SÖDERKÖPING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17361-2025</t>
        </is>
      </c>
      <c r="B3245" s="1" t="n">
        <v>45756</v>
      </c>
      <c r="C3245" s="1" t="n">
        <v>46093</v>
      </c>
      <c r="D3245" t="inlineStr">
        <is>
          <t>ÖSTERGÖTLANDS LÄN</t>
        </is>
      </c>
      <c r="E3245" t="inlineStr">
        <is>
          <t>SÖDERKÖPING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46760-2025</t>
        </is>
      </c>
      <c r="B3246" s="1" t="n">
        <v>45926.62155092593</v>
      </c>
      <c r="C3246" s="1" t="n">
        <v>46093</v>
      </c>
      <c r="D3246" t="inlineStr">
        <is>
          <t>ÖSTERGÖTLANDS LÄN</t>
        </is>
      </c>
      <c r="E3246" t="inlineStr">
        <is>
          <t>SÖDERKÖPING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9155-2025</t>
        </is>
      </c>
      <c r="B3247" s="1" t="n">
        <v>45714.34769675926</v>
      </c>
      <c r="C3247" s="1" t="n">
        <v>46093</v>
      </c>
      <c r="D3247" t="inlineStr">
        <is>
          <t>ÖSTERGÖTLANDS LÄN</t>
        </is>
      </c>
      <c r="E3247" t="inlineStr">
        <is>
          <t>YDRE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55945-2024</t>
        </is>
      </c>
      <c r="B3248" s="1" t="n">
        <v>45623.61754629629</v>
      </c>
      <c r="C3248" s="1" t="n">
        <v>46093</v>
      </c>
      <c r="D3248" t="inlineStr">
        <is>
          <t>ÖSTERGÖTLANDS LÄN</t>
        </is>
      </c>
      <c r="E3248" t="inlineStr">
        <is>
          <t>LINKÖPING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46649-2025</t>
        </is>
      </c>
      <c r="B3249" s="1" t="n">
        <v>45926</v>
      </c>
      <c r="C3249" s="1" t="n">
        <v>46093</v>
      </c>
      <c r="D3249" t="inlineStr">
        <is>
          <t>ÖSTERGÖTLANDS LÄN</t>
        </is>
      </c>
      <c r="E3249" t="inlineStr">
        <is>
          <t>SÖDERKÖPING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7208-2024</t>
        </is>
      </c>
      <c r="B3250" s="1" t="n">
        <v>45344.61145833333</v>
      </c>
      <c r="C3250" s="1" t="n">
        <v>46093</v>
      </c>
      <c r="D3250" t="inlineStr">
        <is>
          <t>ÖSTERGÖTLANDS LÄN</t>
        </is>
      </c>
      <c r="E3250" t="inlineStr">
        <is>
          <t>SÖDERKÖPING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46746-2025</t>
        </is>
      </c>
      <c r="B3251" s="1" t="n">
        <v>45926.61226851852</v>
      </c>
      <c r="C3251" s="1" t="n">
        <v>46093</v>
      </c>
      <c r="D3251" t="inlineStr">
        <is>
          <t>ÖSTERGÖTLANDS LÄN</t>
        </is>
      </c>
      <c r="E3251" t="inlineStr">
        <is>
          <t>NORRKÖPING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46788-2025</t>
        </is>
      </c>
      <c r="B3252" s="1" t="n">
        <v>45926.64662037037</v>
      </c>
      <c r="C3252" s="1" t="n">
        <v>46093</v>
      </c>
      <c r="D3252" t="inlineStr">
        <is>
          <t>ÖSTERGÖTLANDS LÄN</t>
        </is>
      </c>
      <c r="E3252" t="inlineStr">
        <is>
          <t>ÖDESHÖG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46804-2025</t>
        </is>
      </c>
      <c r="B3253" s="1" t="n">
        <v>45926.67751157407</v>
      </c>
      <c r="C3253" s="1" t="n">
        <v>46093</v>
      </c>
      <c r="D3253" t="inlineStr">
        <is>
          <t>ÖSTERGÖTLANDS LÄN</t>
        </is>
      </c>
      <c r="E3253" t="inlineStr">
        <is>
          <t>ÅTVIDABERG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22088-2023</t>
        </is>
      </c>
      <c r="B3254" s="1" t="n">
        <v>45069</v>
      </c>
      <c r="C3254" s="1" t="n">
        <v>46093</v>
      </c>
      <c r="D3254" t="inlineStr">
        <is>
          <t>ÖSTERGÖTLANDS LÄN</t>
        </is>
      </c>
      <c r="E3254" t="inlineStr">
        <is>
          <t>ÖDESHÖG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10135-2025</t>
        </is>
      </c>
      <c r="B3255" s="1" t="n">
        <v>45719.61589120371</v>
      </c>
      <c r="C3255" s="1" t="n">
        <v>46093</v>
      </c>
      <c r="D3255" t="inlineStr">
        <is>
          <t>ÖSTERGÖTLANDS LÄN</t>
        </is>
      </c>
      <c r="E3255" t="inlineStr">
        <is>
          <t>VALDEMARSVIK</t>
        </is>
      </c>
      <c r="G3255" t="n">
        <v>10.3</v>
      </c>
      <c r="H3255" t="n">
        <v>0</v>
      </c>
      <c r="I3255" t="n">
        <v>0</v>
      </c>
      <c r="J3255" t="n">
        <v>0</v>
      </c>
      <c r="K3255" t="n">
        <v>0</v>
      </c>
      <c r="L3255" t="n">
        <v>0</v>
      </c>
      <c r="M3255" t="n">
        <v>0</v>
      </c>
      <c r="N3255" t="n">
        <v>0</v>
      </c>
      <c r="O3255" t="n">
        <v>0</v>
      </c>
      <c r="P3255" t="n">
        <v>0</v>
      </c>
      <c r="Q3255" t="n">
        <v>0</v>
      </c>
      <c r="R3255" s="2" t="inlineStr"/>
    </row>
    <row r="3256" ht="15" customHeight="1">
      <c r="A3256" t="inlineStr">
        <is>
          <t>A 54849-2023</t>
        </is>
      </c>
      <c r="B3256" s="1" t="n">
        <v>45236.58795138889</v>
      </c>
      <c r="C3256" s="1" t="n">
        <v>46093</v>
      </c>
      <c r="D3256" t="inlineStr">
        <is>
          <t>ÖSTERGÖTLANDS LÄN</t>
        </is>
      </c>
      <c r="E3256" t="inlineStr">
        <is>
          <t>VALDEMARSVIK</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10190-2025</t>
        </is>
      </c>
      <c r="B3257" s="1" t="n">
        <v>45719.69598379629</v>
      </c>
      <c r="C3257" s="1" t="n">
        <v>46093</v>
      </c>
      <c r="D3257" t="inlineStr">
        <is>
          <t>ÖSTERGÖTLANDS LÄN</t>
        </is>
      </c>
      <c r="E3257" t="inlineStr">
        <is>
          <t>SÖDERKÖPING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10194-2025</t>
        </is>
      </c>
      <c r="B3258" s="1" t="n">
        <v>45719.69930555556</v>
      </c>
      <c r="C3258" s="1" t="n">
        <v>46093</v>
      </c>
      <c r="D3258" t="inlineStr">
        <is>
          <t>ÖSTERGÖTLANDS LÄN</t>
        </is>
      </c>
      <c r="E3258" t="inlineStr">
        <is>
          <t>SÖDERKÖPING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46713-2025</t>
        </is>
      </c>
      <c r="B3259" s="1" t="n">
        <v>45926.57618055555</v>
      </c>
      <c r="C3259" s="1" t="n">
        <v>46093</v>
      </c>
      <c r="D3259" t="inlineStr">
        <is>
          <t>ÖSTERGÖTLANDS LÄN</t>
        </is>
      </c>
      <c r="E3259" t="inlineStr">
        <is>
          <t>YDRE</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46720-2025</t>
        </is>
      </c>
      <c r="B3260" s="1" t="n">
        <v>45926.58292824074</v>
      </c>
      <c r="C3260" s="1" t="n">
        <v>46093</v>
      </c>
      <c r="D3260" t="inlineStr">
        <is>
          <t>ÖSTERGÖTLANDS LÄN</t>
        </is>
      </c>
      <c r="E3260" t="inlineStr">
        <is>
          <t>NORRKÖPING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44822-2025</t>
        </is>
      </c>
      <c r="B3261" s="1" t="n">
        <v>45918.38497685185</v>
      </c>
      <c r="C3261" s="1" t="n">
        <v>46093</v>
      </c>
      <c r="D3261" t="inlineStr">
        <is>
          <t>ÖSTERGÖTLANDS LÄN</t>
        </is>
      </c>
      <c r="E3261" t="inlineStr">
        <is>
          <t>FINSPÅNG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38717-2025</t>
        </is>
      </c>
      <c r="B3262" s="1" t="n">
        <v>45886</v>
      </c>
      <c r="C3262" s="1" t="n">
        <v>46093</v>
      </c>
      <c r="D3262" t="inlineStr">
        <is>
          <t>ÖSTERGÖTLANDS LÄN</t>
        </is>
      </c>
      <c r="E3262" t="inlineStr">
        <is>
          <t>NORRKÖPING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46774-2025</t>
        </is>
      </c>
      <c r="B3263" s="1" t="n">
        <v>45926.63296296296</v>
      </c>
      <c r="C3263" s="1" t="n">
        <v>46093</v>
      </c>
      <c r="D3263" t="inlineStr">
        <is>
          <t>ÖSTERGÖTLANDS LÄN</t>
        </is>
      </c>
      <c r="E3263" t="inlineStr">
        <is>
          <t>VALDEMARSVIK</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46780-2025</t>
        </is>
      </c>
      <c r="B3264" s="1" t="n">
        <v>45926</v>
      </c>
      <c r="C3264" s="1" t="n">
        <v>46093</v>
      </c>
      <c r="D3264" t="inlineStr">
        <is>
          <t>ÖSTERGÖTLANDS LÄN</t>
        </is>
      </c>
      <c r="E3264" t="inlineStr">
        <is>
          <t>SÖDERKÖPING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46781-2025</t>
        </is>
      </c>
      <c r="B3265" s="1" t="n">
        <v>45926.64165509259</v>
      </c>
      <c r="C3265" s="1" t="n">
        <v>46093</v>
      </c>
      <c r="D3265" t="inlineStr">
        <is>
          <t>ÖSTERGÖTLANDS LÄN</t>
        </is>
      </c>
      <c r="E3265" t="inlineStr">
        <is>
          <t>SÖDERKÖPING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46789-2025</t>
        </is>
      </c>
      <c r="B3266" s="1" t="n">
        <v>45926.64915509259</v>
      </c>
      <c r="C3266" s="1" t="n">
        <v>46093</v>
      </c>
      <c r="D3266" t="inlineStr">
        <is>
          <t>ÖSTERGÖTLANDS LÄN</t>
        </is>
      </c>
      <c r="E3266" t="inlineStr">
        <is>
          <t>SÖDERKÖPING</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46733-2025</t>
        </is>
      </c>
      <c r="B3267" s="1" t="n">
        <v>45926</v>
      </c>
      <c r="C3267" s="1" t="n">
        <v>46093</v>
      </c>
      <c r="D3267" t="inlineStr">
        <is>
          <t>ÖSTERGÖTLANDS LÄN</t>
        </is>
      </c>
      <c r="E3267" t="inlineStr">
        <is>
          <t>SÖDERKÖPING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46763-2025</t>
        </is>
      </c>
      <c r="B3268" s="1" t="n">
        <v>45926.625</v>
      </c>
      <c r="C3268" s="1" t="n">
        <v>46093</v>
      </c>
      <c r="D3268" t="inlineStr">
        <is>
          <t>ÖSTERGÖTLANDS LÄN</t>
        </is>
      </c>
      <c r="E3268" t="inlineStr">
        <is>
          <t>VALDEMARSVIK</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46764-2025</t>
        </is>
      </c>
      <c r="B3269" s="1" t="n">
        <v>45926.62587962963</v>
      </c>
      <c r="C3269" s="1" t="n">
        <v>46093</v>
      </c>
      <c r="D3269" t="inlineStr">
        <is>
          <t>ÖSTERGÖTLANDS LÄN</t>
        </is>
      </c>
      <c r="E3269" t="inlineStr">
        <is>
          <t>SÖDERKÖPING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743-2023</t>
        </is>
      </c>
      <c r="B3270" s="1" t="n">
        <v>44931.33885416666</v>
      </c>
      <c r="C3270" s="1" t="n">
        <v>46093</v>
      </c>
      <c r="D3270" t="inlineStr">
        <is>
          <t>ÖSTERGÖTLANDS LÄN</t>
        </is>
      </c>
      <c r="E3270" t="inlineStr">
        <is>
          <t>ÅTVIDABERG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10315-2025</t>
        </is>
      </c>
      <c r="B3271" s="1" t="n">
        <v>45720.45877314815</v>
      </c>
      <c r="C3271" s="1" t="n">
        <v>46093</v>
      </c>
      <c r="D3271" t="inlineStr">
        <is>
          <t>ÖSTERGÖTLANDS LÄN</t>
        </is>
      </c>
      <c r="E3271" t="inlineStr">
        <is>
          <t>BOXHOLM</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46777-2025</t>
        </is>
      </c>
      <c r="B3272" s="1" t="n">
        <v>45926.63993055555</v>
      </c>
      <c r="C3272" s="1" t="n">
        <v>46093</v>
      </c>
      <c r="D3272" t="inlineStr">
        <is>
          <t>ÖSTERGÖTLANDS LÄN</t>
        </is>
      </c>
      <c r="E3272" t="inlineStr">
        <is>
          <t>SÖDERKÖPING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19267-2025</t>
        </is>
      </c>
      <c r="B3273" s="1" t="n">
        <v>45769.51258101852</v>
      </c>
      <c r="C3273" s="1" t="n">
        <v>46093</v>
      </c>
      <c r="D3273" t="inlineStr">
        <is>
          <t>ÖSTERGÖTLANDS LÄN</t>
        </is>
      </c>
      <c r="E3273" t="inlineStr">
        <is>
          <t>MOTALA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3711-2023</t>
        </is>
      </c>
      <c r="B3274" s="1" t="n">
        <v>44951.33428240741</v>
      </c>
      <c r="C3274" s="1" t="n">
        <v>46093</v>
      </c>
      <c r="D3274" t="inlineStr">
        <is>
          <t>ÖSTERGÖTLANDS LÄN</t>
        </is>
      </c>
      <c r="E3274" t="inlineStr">
        <is>
          <t>MOTALA</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46377-2025</t>
        </is>
      </c>
      <c r="B3275" s="1" t="n">
        <v>45925.51773148148</v>
      </c>
      <c r="C3275" s="1" t="n">
        <v>46093</v>
      </c>
      <c r="D3275" t="inlineStr">
        <is>
          <t>ÖSTERGÖTLANDS LÄN</t>
        </is>
      </c>
      <c r="E3275" t="inlineStr">
        <is>
          <t>LINKÖPING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63417-2023</t>
        </is>
      </c>
      <c r="B3276" s="1" t="n">
        <v>45274</v>
      </c>
      <c r="C3276" s="1" t="n">
        <v>46093</v>
      </c>
      <c r="D3276" t="inlineStr">
        <is>
          <t>ÖSTERGÖTLANDS LÄN</t>
        </is>
      </c>
      <c r="E3276" t="inlineStr">
        <is>
          <t>NORRKÖPING</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46802-2025</t>
        </is>
      </c>
      <c r="B3277" s="1" t="n">
        <v>45926.67387731482</v>
      </c>
      <c r="C3277" s="1" t="n">
        <v>46093</v>
      </c>
      <c r="D3277" t="inlineStr">
        <is>
          <t>ÖSTERGÖTLANDS LÄN</t>
        </is>
      </c>
      <c r="E3277" t="inlineStr">
        <is>
          <t>SÖDERKÖPING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46805-2025</t>
        </is>
      </c>
      <c r="B3278" s="1" t="n">
        <v>45926.67944444445</v>
      </c>
      <c r="C3278" s="1" t="n">
        <v>46093</v>
      </c>
      <c r="D3278" t="inlineStr">
        <is>
          <t>ÖSTERGÖTLANDS LÄN</t>
        </is>
      </c>
      <c r="E3278" t="inlineStr">
        <is>
          <t>ÖDESHÖG</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46807-2025</t>
        </is>
      </c>
      <c r="B3279" s="1" t="n">
        <v>45926.68689814815</v>
      </c>
      <c r="C3279" s="1" t="n">
        <v>46093</v>
      </c>
      <c r="D3279" t="inlineStr">
        <is>
          <t>ÖSTERGÖTLANDS LÄN</t>
        </is>
      </c>
      <c r="E3279" t="inlineStr">
        <is>
          <t>ÅTVIDABERG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23349-2024</t>
        </is>
      </c>
      <c r="B3280" s="1" t="n">
        <v>45453.52299768518</v>
      </c>
      <c r="C3280" s="1" t="n">
        <v>46093</v>
      </c>
      <c r="D3280" t="inlineStr">
        <is>
          <t>ÖSTERGÖTLANDS LÄN</t>
        </is>
      </c>
      <c r="E3280" t="inlineStr">
        <is>
          <t>NORRKÖPING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1993-2023</t>
        </is>
      </c>
      <c r="B3281" s="1" t="n">
        <v>44939</v>
      </c>
      <c r="C3281" s="1" t="n">
        <v>46093</v>
      </c>
      <c r="D3281" t="inlineStr">
        <is>
          <t>ÖSTERGÖTLANDS LÄN</t>
        </is>
      </c>
      <c r="E3281" t="inlineStr">
        <is>
          <t>LINKÖPING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46561-2025</t>
        </is>
      </c>
      <c r="B3282" s="1" t="n">
        <v>45926.35297453704</v>
      </c>
      <c r="C3282" s="1" t="n">
        <v>46093</v>
      </c>
      <c r="D3282" t="inlineStr">
        <is>
          <t>ÖSTERGÖTLANDS LÄN</t>
        </is>
      </c>
      <c r="E3282" t="inlineStr">
        <is>
          <t>MOTALA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46771-2025</t>
        </is>
      </c>
      <c r="B3283" s="1" t="n">
        <v>45926.63214120371</v>
      </c>
      <c r="C3283" s="1" t="n">
        <v>46093</v>
      </c>
      <c r="D3283" t="inlineStr">
        <is>
          <t>ÖSTERGÖTLANDS LÄN</t>
        </is>
      </c>
      <c r="E3283" t="inlineStr">
        <is>
          <t>SÖDERKÖPING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46776-2025</t>
        </is>
      </c>
      <c r="B3284" s="1" t="n">
        <v>45926.6360300926</v>
      </c>
      <c r="C3284" s="1" t="n">
        <v>46093</v>
      </c>
      <c r="D3284" t="inlineStr">
        <is>
          <t>ÖSTERGÖTLANDS LÄN</t>
        </is>
      </c>
      <c r="E3284" t="inlineStr">
        <is>
          <t>SÖDERKÖPING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46778-2025</t>
        </is>
      </c>
      <c r="B3285" s="1" t="n">
        <v>45926.63998842592</v>
      </c>
      <c r="C3285" s="1" t="n">
        <v>46093</v>
      </c>
      <c r="D3285" t="inlineStr">
        <is>
          <t>ÖSTERGÖTLANDS LÄN</t>
        </is>
      </c>
      <c r="E3285" t="inlineStr">
        <is>
          <t>ÖDESHÖG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2618-2023</t>
        </is>
      </c>
      <c r="B3286" s="1" t="n">
        <v>44944.35847222222</v>
      </c>
      <c r="C3286" s="1" t="n">
        <v>46093</v>
      </c>
      <c r="D3286" t="inlineStr">
        <is>
          <t>ÖSTERGÖTLANDS LÄN</t>
        </is>
      </c>
      <c r="E3286" t="inlineStr">
        <is>
          <t>LINKÖPING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59296-2021</t>
        </is>
      </c>
      <c r="B3287" s="1" t="n">
        <v>44490</v>
      </c>
      <c r="C3287" s="1" t="n">
        <v>46093</v>
      </c>
      <c r="D3287" t="inlineStr">
        <is>
          <t>ÖSTERGÖTLANDS LÄN</t>
        </is>
      </c>
      <c r="E3287" t="inlineStr">
        <is>
          <t>YDRE</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10203-2023</t>
        </is>
      </c>
      <c r="B3288" s="1" t="n">
        <v>44986.55711805556</v>
      </c>
      <c r="C3288" s="1" t="n">
        <v>46093</v>
      </c>
      <c r="D3288" t="inlineStr">
        <is>
          <t>ÖSTERGÖTLANDS LÄN</t>
        </is>
      </c>
      <c r="E3288" t="inlineStr">
        <is>
          <t>LINKÖPING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46768-2025</t>
        </is>
      </c>
      <c r="B3289" s="1" t="n">
        <v>45926.62881944444</v>
      </c>
      <c r="C3289" s="1" t="n">
        <v>46093</v>
      </c>
      <c r="D3289" t="inlineStr">
        <is>
          <t>ÖSTERGÖTLANDS LÄN</t>
        </is>
      </c>
      <c r="E3289" t="inlineStr">
        <is>
          <t>SÖDERKÖPING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46785-2025</t>
        </is>
      </c>
      <c r="B3290" s="1" t="n">
        <v>45926.64467592593</v>
      </c>
      <c r="C3290" s="1" t="n">
        <v>46093</v>
      </c>
      <c r="D3290" t="inlineStr">
        <is>
          <t>ÖSTERGÖTLANDS LÄN</t>
        </is>
      </c>
      <c r="E3290" t="inlineStr">
        <is>
          <t>VALDEMARSVIK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46787-2025</t>
        </is>
      </c>
      <c r="B3291" s="1" t="n">
        <v>45926.64569444444</v>
      </c>
      <c r="C3291" s="1" t="n">
        <v>46093</v>
      </c>
      <c r="D3291" t="inlineStr">
        <is>
          <t>ÖSTERGÖTLANDS LÄN</t>
        </is>
      </c>
      <c r="E3291" t="inlineStr">
        <is>
          <t>VALDEMARSVIK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7254-2023</t>
        </is>
      </c>
      <c r="B3292" s="1" t="n">
        <v>44970</v>
      </c>
      <c r="C3292" s="1" t="n">
        <v>46093</v>
      </c>
      <c r="D3292" t="inlineStr">
        <is>
          <t>ÖSTERGÖTLANDS LÄN</t>
        </is>
      </c>
      <c r="E3292" t="inlineStr">
        <is>
          <t>VALDEMARSVIK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7266-2023</t>
        </is>
      </c>
      <c r="B3293" s="1" t="n">
        <v>44970</v>
      </c>
      <c r="C3293" s="1" t="n">
        <v>46093</v>
      </c>
      <c r="D3293" t="inlineStr">
        <is>
          <t>ÖSTERGÖTLANDS LÄN</t>
        </is>
      </c>
      <c r="E3293" t="inlineStr">
        <is>
          <t>VALDEMARSVIK</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2741-2024</t>
        </is>
      </c>
      <c r="B3294" s="1" t="n">
        <v>45314</v>
      </c>
      <c r="C3294" s="1" t="n">
        <v>46093</v>
      </c>
      <c r="D3294" t="inlineStr">
        <is>
          <t>ÖSTERGÖTLANDS LÄN</t>
        </is>
      </c>
      <c r="E3294" t="inlineStr">
        <is>
          <t>FINSPÅNG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36099-2024</t>
        </is>
      </c>
      <c r="B3295" s="1" t="n">
        <v>45533.77303240741</v>
      </c>
      <c r="C3295" s="1" t="n">
        <v>46093</v>
      </c>
      <c r="D3295" t="inlineStr">
        <is>
          <t>ÖSTERGÖTLANDS LÄN</t>
        </is>
      </c>
      <c r="E3295" t="inlineStr">
        <is>
          <t>ÖDESHÖG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47152-2025</t>
        </is>
      </c>
      <c r="B3296" s="1" t="n">
        <v>45929</v>
      </c>
      <c r="C3296" s="1" t="n">
        <v>46093</v>
      </c>
      <c r="D3296" t="inlineStr">
        <is>
          <t>ÖSTERGÖTLANDS LÄN</t>
        </is>
      </c>
      <c r="E3296" t="inlineStr">
        <is>
          <t>FINSPÅNG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55730-2022</t>
        </is>
      </c>
      <c r="B3297" s="1" t="n">
        <v>44888</v>
      </c>
      <c r="C3297" s="1" t="n">
        <v>46093</v>
      </c>
      <c r="D3297" t="inlineStr">
        <is>
          <t>ÖSTERGÖTLANDS LÄN</t>
        </is>
      </c>
      <c r="E3297" t="inlineStr">
        <is>
          <t>MJÖLBY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47202-2025</t>
        </is>
      </c>
      <c r="B3298" s="1" t="n">
        <v>45930.36192129629</v>
      </c>
      <c r="C3298" s="1" t="n">
        <v>46093</v>
      </c>
      <c r="D3298" t="inlineStr">
        <is>
          <t>ÖSTERGÖTLANDS LÄN</t>
        </is>
      </c>
      <c r="E3298" t="inlineStr">
        <is>
          <t>NORRKÖPING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47351-2025</t>
        </is>
      </c>
      <c r="B3299" s="1" t="n">
        <v>45930.57724537037</v>
      </c>
      <c r="C3299" s="1" t="n">
        <v>46093</v>
      </c>
      <c r="D3299" t="inlineStr">
        <is>
          <t>ÖSTERGÖTLANDS LÄN</t>
        </is>
      </c>
      <c r="E3299" t="inlineStr">
        <is>
          <t>MOTALA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47359-2025</t>
        </is>
      </c>
      <c r="B3300" s="1" t="n">
        <v>45930.58170138889</v>
      </c>
      <c r="C3300" s="1" t="n">
        <v>46093</v>
      </c>
      <c r="D3300" t="inlineStr">
        <is>
          <t>ÖSTERGÖTLANDS LÄN</t>
        </is>
      </c>
      <c r="E3300" t="inlineStr">
        <is>
          <t>MOTALA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13266-2025</t>
        </is>
      </c>
      <c r="B3301" s="1" t="n">
        <v>45735.53318287037</v>
      </c>
      <c r="C3301" s="1" t="n">
        <v>46093</v>
      </c>
      <c r="D3301" t="inlineStr">
        <is>
          <t>ÖSTERGÖTLANDS LÄN</t>
        </is>
      </c>
      <c r="E3301" t="inlineStr">
        <is>
          <t>LINKÖPING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15790-2025</t>
        </is>
      </c>
      <c r="B3302" s="1" t="n">
        <v>45748.62765046296</v>
      </c>
      <c r="C3302" s="1" t="n">
        <v>46093</v>
      </c>
      <c r="D3302" t="inlineStr">
        <is>
          <t>ÖSTERGÖTLANDS LÄN</t>
        </is>
      </c>
      <c r="E3302" t="inlineStr">
        <is>
          <t>ÖDESHÖG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34882-2023</t>
        </is>
      </c>
      <c r="B3303" s="1" t="n">
        <v>45141</v>
      </c>
      <c r="C3303" s="1" t="n">
        <v>46093</v>
      </c>
      <c r="D3303" t="inlineStr">
        <is>
          <t>ÖSTERGÖTLANDS LÄN</t>
        </is>
      </c>
      <c r="E3303" t="inlineStr">
        <is>
          <t>KINDA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34889-2023</t>
        </is>
      </c>
      <c r="B3304" s="1" t="n">
        <v>45140</v>
      </c>
      <c r="C3304" s="1" t="n">
        <v>46093</v>
      </c>
      <c r="D3304" t="inlineStr">
        <is>
          <t>ÖSTERGÖTLANDS LÄN</t>
        </is>
      </c>
      <c r="E3304" t="inlineStr">
        <is>
          <t>LINKÖPING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46994-2025</t>
        </is>
      </c>
      <c r="B3305" s="1" t="n">
        <v>45929.54755787037</v>
      </c>
      <c r="C3305" s="1" t="n">
        <v>46093</v>
      </c>
      <c r="D3305" t="inlineStr">
        <is>
          <t>ÖSTERGÖTLANDS LÄN</t>
        </is>
      </c>
      <c r="E3305" t="inlineStr">
        <is>
          <t>MOTALA</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61960-2022</t>
        </is>
      </c>
      <c r="B3306" s="1" t="n">
        <v>44918.34784722222</v>
      </c>
      <c r="C3306" s="1" t="n">
        <v>46093</v>
      </c>
      <c r="D3306" t="inlineStr">
        <is>
          <t>ÖSTERGÖTLANDS LÄN</t>
        </is>
      </c>
      <c r="E3306" t="inlineStr">
        <is>
          <t>KINDA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61998-2022</t>
        </is>
      </c>
      <c r="B3307" s="1" t="n">
        <v>44918.42355324074</v>
      </c>
      <c r="C3307" s="1" t="n">
        <v>46093</v>
      </c>
      <c r="D3307" t="inlineStr">
        <is>
          <t>ÖSTERGÖTLANDS LÄN</t>
        </is>
      </c>
      <c r="E3307" t="inlineStr">
        <is>
          <t>FINSPÅNG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34928-2023</t>
        </is>
      </c>
      <c r="B3308" s="1" t="n">
        <v>45142</v>
      </c>
      <c r="C3308" s="1" t="n">
        <v>46093</v>
      </c>
      <c r="D3308" t="inlineStr">
        <is>
          <t>ÖSTERGÖTLANDS LÄN</t>
        </is>
      </c>
      <c r="E3308" t="inlineStr">
        <is>
          <t>LINKÖPING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43695-2021</t>
        </is>
      </c>
      <c r="B3309" s="1" t="n">
        <v>44433</v>
      </c>
      <c r="C3309" s="1" t="n">
        <v>46093</v>
      </c>
      <c r="D3309" t="inlineStr">
        <is>
          <t>ÖSTERGÖTLANDS LÄN</t>
        </is>
      </c>
      <c r="E3309" t="inlineStr">
        <is>
          <t>MOTALA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37684-2023</t>
        </is>
      </c>
      <c r="B3310" s="1" t="n">
        <v>45159.56690972222</v>
      </c>
      <c r="C3310" s="1" t="n">
        <v>46093</v>
      </c>
      <c r="D3310" t="inlineStr">
        <is>
          <t>ÖSTERGÖTLANDS LÄN</t>
        </is>
      </c>
      <c r="E3310" t="inlineStr">
        <is>
          <t>SÖDERKÖPING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37687-2023</t>
        </is>
      </c>
      <c r="B3311" s="1" t="n">
        <v>45159.56805555556</v>
      </c>
      <c r="C3311" s="1" t="n">
        <v>46093</v>
      </c>
      <c r="D3311" t="inlineStr">
        <is>
          <t>ÖSTERGÖTLANDS LÄN</t>
        </is>
      </c>
      <c r="E3311" t="inlineStr">
        <is>
          <t>SÖDERKÖPING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47304-2025</t>
        </is>
      </c>
      <c r="B3312" s="1" t="n">
        <v>45930.52037037037</v>
      </c>
      <c r="C3312" s="1" t="n">
        <v>46093</v>
      </c>
      <c r="D3312" t="inlineStr">
        <is>
          <t>ÖSTERGÖTLANDS LÄN</t>
        </is>
      </c>
      <c r="E3312" t="inlineStr">
        <is>
          <t>LINKÖPING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47326-2025</t>
        </is>
      </c>
      <c r="B3313" s="1" t="n">
        <v>45930.56010416667</v>
      </c>
      <c r="C3313" s="1" t="n">
        <v>46093</v>
      </c>
      <c r="D3313" t="inlineStr">
        <is>
          <t>ÖSTERGÖTLANDS LÄN</t>
        </is>
      </c>
      <c r="E3313" t="inlineStr">
        <is>
          <t>MOTALA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7484-2025</t>
        </is>
      </c>
      <c r="B3314" s="1" t="n">
        <v>45705</v>
      </c>
      <c r="C3314" s="1" t="n">
        <v>46093</v>
      </c>
      <c r="D3314" t="inlineStr">
        <is>
          <t>ÖSTERGÖTLANDS LÄN</t>
        </is>
      </c>
      <c r="E3314" t="inlineStr">
        <is>
          <t>FINSPÅNG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55359-2023</t>
        </is>
      </c>
      <c r="B3315" s="1" t="n">
        <v>45238.33091435185</v>
      </c>
      <c r="C3315" s="1" t="n">
        <v>46093</v>
      </c>
      <c r="D3315" t="inlineStr">
        <is>
          <t>ÖSTERGÖTLANDS LÄN</t>
        </is>
      </c>
      <c r="E3315" t="inlineStr">
        <is>
          <t>NORRKÖPING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16680-2022</t>
        </is>
      </c>
      <c r="B3316" s="1" t="n">
        <v>44672.99238425926</v>
      </c>
      <c r="C3316" s="1" t="n">
        <v>46093</v>
      </c>
      <c r="D3316" t="inlineStr">
        <is>
          <t>ÖSTERGÖTLANDS LÄN</t>
        </is>
      </c>
      <c r="E3316" t="inlineStr">
        <is>
          <t>FINSPÅNG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6301-2025</t>
        </is>
      </c>
      <c r="B3317" s="1" t="n">
        <v>45698.67719907407</v>
      </c>
      <c r="C3317" s="1" t="n">
        <v>46093</v>
      </c>
      <c r="D3317" t="inlineStr">
        <is>
          <t>ÖSTERGÖTLANDS LÄN</t>
        </is>
      </c>
      <c r="E3317" t="inlineStr">
        <is>
          <t>KINDA</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53163-2023</t>
        </is>
      </c>
      <c r="B3318" s="1" t="n">
        <v>45229</v>
      </c>
      <c r="C3318" s="1" t="n">
        <v>46093</v>
      </c>
      <c r="D3318" t="inlineStr">
        <is>
          <t>ÖSTERGÖTLANDS LÄN</t>
        </is>
      </c>
      <c r="E3318" t="inlineStr">
        <is>
          <t>ÅTVIDABERG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54671-2023</t>
        </is>
      </c>
      <c r="B3319" s="1" t="n">
        <v>45235</v>
      </c>
      <c r="C3319" s="1" t="n">
        <v>46093</v>
      </c>
      <c r="D3319" t="inlineStr">
        <is>
          <t>ÖSTERGÖTLANDS LÄN</t>
        </is>
      </c>
      <c r="E3319" t="inlineStr">
        <is>
          <t>KINDA</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46991-2025</t>
        </is>
      </c>
      <c r="B3320" s="1" t="n">
        <v>45929.54412037037</v>
      </c>
      <c r="C3320" s="1" t="n">
        <v>46093</v>
      </c>
      <c r="D3320" t="inlineStr">
        <is>
          <t>ÖSTERGÖTLANDS LÄN</t>
        </is>
      </c>
      <c r="E3320" t="inlineStr">
        <is>
          <t>MOTALA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51625-2022</t>
        </is>
      </c>
      <c r="B3321" s="1" t="n">
        <v>44872.35686342593</v>
      </c>
      <c r="C3321" s="1" t="n">
        <v>46093</v>
      </c>
      <c r="D3321" t="inlineStr">
        <is>
          <t>ÖSTERGÖTLANDS LÄN</t>
        </is>
      </c>
      <c r="E3321" t="inlineStr">
        <is>
          <t>BOXHOLM</t>
        </is>
      </c>
      <c r="F3321" t="inlineStr">
        <is>
          <t>Övriga Aktiebolag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47233-2025</t>
        </is>
      </c>
      <c r="B3322" s="1" t="n">
        <v>45930.40612268518</v>
      </c>
      <c r="C3322" s="1" t="n">
        <v>46093</v>
      </c>
      <c r="D3322" t="inlineStr">
        <is>
          <t>ÖSTERGÖTLANDS LÄN</t>
        </is>
      </c>
      <c r="E3322" t="inlineStr">
        <is>
          <t>LINKÖPING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44709-2025</t>
        </is>
      </c>
      <c r="B3323" s="1" t="n">
        <v>45917</v>
      </c>
      <c r="C3323" s="1" t="n">
        <v>46093</v>
      </c>
      <c r="D3323" t="inlineStr">
        <is>
          <t>ÖSTERGÖTLANDS LÄN</t>
        </is>
      </c>
      <c r="E3323" t="inlineStr">
        <is>
          <t>BOXHOLM</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46867-2025</t>
        </is>
      </c>
      <c r="B3324" s="1" t="n">
        <v>45929</v>
      </c>
      <c r="C3324" s="1" t="n">
        <v>46093</v>
      </c>
      <c r="D3324" t="inlineStr">
        <is>
          <t>ÖSTERGÖTLANDS LÄN</t>
        </is>
      </c>
      <c r="E3324" t="inlineStr">
        <is>
          <t>BOXHOLM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46890-2025</t>
        </is>
      </c>
      <c r="B3325" s="1" t="n">
        <v>45929</v>
      </c>
      <c r="C3325" s="1" t="n">
        <v>46093</v>
      </c>
      <c r="D3325" t="inlineStr">
        <is>
          <t>ÖSTERGÖTLANDS LÄN</t>
        </is>
      </c>
      <c r="E3325" t="inlineStr">
        <is>
          <t>KINDA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46901-2025</t>
        </is>
      </c>
      <c r="B3326" s="1" t="n">
        <v>45929.39244212963</v>
      </c>
      <c r="C3326" s="1" t="n">
        <v>46093</v>
      </c>
      <c r="D3326" t="inlineStr">
        <is>
          <t>ÖSTERGÖTLANDS LÄN</t>
        </is>
      </c>
      <c r="E3326" t="inlineStr">
        <is>
          <t>KINDA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46947-2025</t>
        </is>
      </c>
      <c r="B3327" s="1" t="n">
        <v>45929.46361111111</v>
      </c>
      <c r="C3327" s="1" t="n">
        <v>46093</v>
      </c>
      <c r="D3327" t="inlineStr">
        <is>
          <t>ÖSTERGÖTLANDS LÄN</t>
        </is>
      </c>
      <c r="E3327" t="inlineStr">
        <is>
          <t>KINDA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46951-2025</t>
        </is>
      </c>
      <c r="B3328" s="1" t="n">
        <v>45929.46962962963</v>
      </c>
      <c r="C3328" s="1" t="n">
        <v>46093</v>
      </c>
      <c r="D3328" t="inlineStr">
        <is>
          <t>ÖSTERGÖTLANDS LÄN</t>
        </is>
      </c>
      <c r="E3328" t="inlineStr">
        <is>
          <t>VALDEMARSVIK</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47156-2025</t>
        </is>
      </c>
      <c r="B3329" s="1" t="n">
        <v>45929</v>
      </c>
      <c r="C3329" s="1" t="n">
        <v>46093</v>
      </c>
      <c r="D3329" t="inlineStr">
        <is>
          <t>ÖSTERGÖTLANDS LÄN</t>
        </is>
      </c>
      <c r="E3329" t="inlineStr">
        <is>
          <t>FINSPÅNG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46519-2025</t>
        </is>
      </c>
      <c r="B3330" s="1" t="n">
        <v>45924</v>
      </c>
      <c r="C3330" s="1" t="n">
        <v>46093</v>
      </c>
      <c r="D3330" t="inlineStr">
        <is>
          <t>ÖSTERGÖTLANDS LÄN</t>
        </is>
      </c>
      <c r="E3330" t="inlineStr">
        <is>
          <t>BOXHOLM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47362-2025</t>
        </is>
      </c>
      <c r="B3331" s="1" t="n">
        <v>45930.58704861111</v>
      </c>
      <c r="C3331" s="1" t="n">
        <v>46093</v>
      </c>
      <c r="D3331" t="inlineStr">
        <is>
          <t>ÖSTERGÖTLANDS LÄN</t>
        </is>
      </c>
      <c r="E3331" t="inlineStr">
        <is>
          <t>MOTALA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47369-2025</t>
        </is>
      </c>
      <c r="B3332" s="1" t="n">
        <v>45930.59270833333</v>
      </c>
      <c r="C3332" s="1" t="n">
        <v>46093</v>
      </c>
      <c r="D3332" t="inlineStr">
        <is>
          <t>ÖSTERGÖTLANDS LÄN</t>
        </is>
      </c>
      <c r="E3332" t="inlineStr">
        <is>
          <t>MOTALA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46919-2025</t>
        </is>
      </c>
      <c r="B3333" s="1" t="n">
        <v>45929.43230324074</v>
      </c>
      <c r="C3333" s="1" t="n">
        <v>46093</v>
      </c>
      <c r="D3333" t="inlineStr">
        <is>
          <t>ÖSTERGÖTLANDS LÄN</t>
        </is>
      </c>
      <c r="E3333" t="inlineStr">
        <is>
          <t>KINDA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46835-2025</t>
        </is>
      </c>
      <c r="B3334" s="1" t="n">
        <v>45927.83253472222</v>
      </c>
      <c r="C3334" s="1" t="n">
        <v>46093</v>
      </c>
      <c r="D3334" t="inlineStr">
        <is>
          <t>ÖSTERGÖTLANDS LÄN</t>
        </is>
      </c>
      <c r="E3334" t="inlineStr">
        <is>
          <t>NORRKÖPING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2047-2024</t>
        </is>
      </c>
      <c r="B3335" s="1" t="n">
        <v>45308.87994212963</v>
      </c>
      <c r="C3335" s="1" t="n">
        <v>46093</v>
      </c>
      <c r="D3335" t="inlineStr">
        <is>
          <t>ÖSTERGÖTLANDS LÄN</t>
        </is>
      </c>
      <c r="E3335" t="inlineStr">
        <is>
          <t>FINSPÅNG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40535-2023</t>
        </is>
      </c>
      <c r="B3336" s="1" t="n">
        <v>45170.43859953704</v>
      </c>
      <c r="C3336" s="1" t="n">
        <v>46093</v>
      </c>
      <c r="D3336" t="inlineStr">
        <is>
          <t>ÖSTERGÖTLANDS LÄN</t>
        </is>
      </c>
      <c r="E3336" t="inlineStr">
        <is>
          <t>ÅTVIDABERG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14736-2024</t>
        </is>
      </c>
      <c r="B3337" s="1" t="n">
        <v>45397</v>
      </c>
      <c r="C3337" s="1" t="n">
        <v>46093</v>
      </c>
      <c r="D3337" t="inlineStr">
        <is>
          <t>ÖSTERGÖTLANDS LÄN</t>
        </is>
      </c>
      <c r="E3337" t="inlineStr">
        <is>
          <t>ÖDESHÖG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12569-2023</t>
        </is>
      </c>
      <c r="B3338" s="1" t="n">
        <v>45000.395</v>
      </c>
      <c r="C3338" s="1" t="n">
        <v>46093</v>
      </c>
      <c r="D3338" t="inlineStr">
        <is>
          <t>ÖSTERGÖTLANDS LÄN</t>
        </is>
      </c>
      <c r="E3338" t="inlineStr">
        <is>
          <t>YDRE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13671-2023</t>
        </is>
      </c>
      <c r="B3339" s="1" t="n">
        <v>45006.8075925926</v>
      </c>
      <c r="C3339" s="1" t="n">
        <v>46093</v>
      </c>
      <c r="D3339" t="inlineStr">
        <is>
          <t>ÖSTERGÖTLANDS LÄN</t>
        </is>
      </c>
      <c r="E3339" t="inlineStr">
        <is>
          <t>FINSPÅNG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14140-2025</t>
        </is>
      </c>
      <c r="B3340" s="1" t="n">
        <v>45740.48041666667</v>
      </c>
      <c r="C3340" s="1" t="n">
        <v>46093</v>
      </c>
      <c r="D3340" t="inlineStr">
        <is>
          <t>ÖSTERGÖTLANDS LÄN</t>
        </is>
      </c>
      <c r="E3340" t="inlineStr">
        <is>
          <t>FINSPÅNG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47446-2025</t>
        </is>
      </c>
      <c r="B3341" s="1" t="n">
        <v>45930.64416666667</v>
      </c>
      <c r="C3341" s="1" t="n">
        <v>46093</v>
      </c>
      <c r="D3341" t="inlineStr">
        <is>
          <t>ÖSTERGÖTLANDS LÄN</t>
        </is>
      </c>
      <c r="E3341" t="inlineStr">
        <is>
          <t>BOXHOLM</t>
        </is>
      </c>
      <c r="F3341" t="inlineStr">
        <is>
          <t>Övriga Aktiebolag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1268-2023</t>
        </is>
      </c>
      <c r="B3342" s="1" t="n">
        <v>44936</v>
      </c>
      <c r="C3342" s="1" t="n">
        <v>46093</v>
      </c>
      <c r="D3342" t="inlineStr">
        <is>
          <t>ÖSTERGÖTLANDS LÄN</t>
        </is>
      </c>
      <c r="E3342" t="inlineStr">
        <is>
          <t>LINKÖPING</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58936-2023</t>
        </is>
      </c>
      <c r="B3343" s="1" t="n">
        <v>45252</v>
      </c>
      <c r="C3343" s="1" t="n">
        <v>46093</v>
      </c>
      <c r="D3343" t="inlineStr">
        <is>
          <t>ÖSTERGÖTLANDS LÄN</t>
        </is>
      </c>
      <c r="E3343" t="inlineStr">
        <is>
          <t>NORRKÖPING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40319-2022</t>
        </is>
      </c>
      <c r="B3344" s="1" t="n">
        <v>44823.31814814815</v>
      </c>
      <c r="C3344" s="1" t="n">
        <v>46093</v>
      </c>
      <c r="D3344" t="inlineStr">
        <is>
          <t>ÖSTERGÖTLANDS LÄN</t>
        </is>
      </c>
      <c r="E3344" t="inlineStr">
        <is>
          <t>FINSPÅNG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37397-2024</t>
        </is>
      </c>
      <c r="B3345" s="1" t="n">
        <v>45540.59917824074</v>
      </c>
      <c r="C3345" s="1" t="n">
        <v>46093</v>
      </c>
      <c r="D3345" t="inlineStr">
        <is>
          <t>ÖSTERGÖTLANDS LÄN</t>
        </is>
      </c>
      <c r="E3345" t="inlineStr">
        <is>
          <t>KINDA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49869-2021</t>
        </is>
      </c>
      <c r="B3346" s="1" t="n">
        <v>44455</v>
      </c>
      <c r="C3346" s="1" t="n">
        <v>46093</v>
      </c>
      <c r="D3346" t="inlineStr">
        <is>
          <t>ÖSTERGÖTLANDS LÄN</t>
        </is>
      </c>
      <c r="E3346" t="inlineStr">
        <is>
          <t>NORRKÖPING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46944-2025</t>
        </is>
      </c>
      <c r="B3347" s="1" t="n">
        <v>45929.45878472222</v>
      </c>
      <c r="C3347" s="1" t="n">
        <v>46093</v>
      </c>
      <c r="D3347" t="inlineStr">
        <is>
          <t>ÖSTERGÖTLANDS LÄN</t>
        </is>
      </c>
      <c r="E3347" t="inlineStr">
        <is>
          <t>KINDA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46948-2025</t>
        </is>
      </c>
      <c r="B3348" s="1" t="n">
        <v>45929.46505787037</v>
      </c>
      <c r="C3348" s="1" t="n">
        <v>46093</v>
      </c>
      <c r="D3348" t="inlineStr">
        <is>
          <t>ÖSTERGÖTLANDS LÄN</t>
        </is>
      </c>
      <c r="E3348" t="inlineStr">
        <is>
          <t>VALDEMARSVIK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25977-2022</t>
        </is>
      </c>
      <c r="B3349" s="1" t="n">
        <v>44734.48049768519</v>
      </c>
      <c r="C3349" s="1" t="n">
        <v>46093</v>
      </c>
      <c r="D3349" t="inlineStr">
        <is>
          <t>ÖSTERGÖTLANDS LÄN</t>
        </is>
      </c>
      <c r="E3349" t="inlineStr">
        <is>
          <t>MOTALA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13782-2023</t>
        </is>
      </c>
      <c r="B3350" s="1" t="n">
        <v>45007</v>
      </c>
      <c r="C3350" s="1" t="n">
        <v>46093</v>
      </c>
      <c r="D3350" t="inlineStr">
        <is>
          <t>ÖSTERGÖTLANDS LÄN</t>
        </is>
      </c>
      <c r="E3350" t="inlineStr">
        <is>
          <t>KINDA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8937-2022</t>
        </is>
      </c>
      <c r="B3351" s="1" t="n">
        <v>44614</v>
      </c>
      <c r="C3351" s="1" t="n">
        <v>46093</v>
      </c>
      <c r="D3351" t="inlineStr">
        <is>
          <t>ÖSTERGÖTLANDS LÄN</t>
        </is>
      </c>
      <c r="E3351" t="inlineStr">
        <is>
          <t>FINSPÅNG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47381-2025</t>
        </is>
      </c>
      <c r="B3352" s="1" t="n">
        <v>45930.5966550926</v>
      </c>
      <c r="C3352" s="1" t="n">
        <v>46093</v>
      </c>
      <c r="D3352" t="inlineStr">
        <is>
          <t>ÖSTERGÖTLANDS LÄN</t>
        </is>
      </c>
      <c r="E3352" t="inlineStr">
        <is>
          <t>MOTALA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53173-2023</t>
        </is>
      </c>
      <c r="B3353" s="1" t="n">
        <v>45229</v>
      </c>
      <c r="C3353" s="1" t="n">
        <v>46093</v>
      </c>
      <c r="D3353" t="inlineStr">
        <is>
          <t>ÖSTERGÖTLANDS LÄN</t>
        </is>
      </c>
      <c r="E3353" t="inlineStr">
        <is>
          <t>ÅTVIDABERG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47158-2025</t>
        </is>
      </c>
      <c r="B3354" s="1" t="n">
        <v>45929</v>
      </c>
      <c r="C3354" s="1" t="n">
        <v>46093</v>
      </c>
      <c r="D3354" t="inlineStr">
        <is>
          <t>ÖSTERGÖTLANDS LÄN</t>
        </is>
      </c>
      <c r="E3354" t="inlineStr">
        <is>
          <t>FINSPÅNG</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60610-2022</t>
        </is>
      </c>
      <c r="B3355" s="1" t="n">
        <v>44911</v>
      </c>
      <c r="C3355" s="1" t="n">
        <v>46093</v>
      </c>
      <c r="D3355" t="inlineStr">
        <is>
          <t>ÖSTERGÖTLANDS LÄN</t>
        </is>
      </c>
      <c r="E3355" t="inlineStr">
        <is>
          <t>MOTALA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14774-2022</t>
        </is>
      </c>
      <c r="B3356" s="1" t="n">
        <v>44656</v>
      </c>
      <c r="C3356" s="1" t="n">
        <v>46093</v>
      </c>
      <c r="D3356" t="inlineStr">
        <is>
          <t>ÖSTERGÖTLANDS LÄN</t>
        </is>
      </c>
      <c r="E3356" t="inlineStr">
        <is>
          <t>ÅTVIDABERG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45075-2023</t>
        </is>
      </c>
      <c r="B3357" s="1" t="n">
        <v>45191.39708333334</v>
      </c>
      <c r="C3357" s="1" t="n">
        <v>46093</v>
      </c>
      <c r="D3357" t="inlineStr">
        <is>
          <t>ÖSTERGÖTLANDS LÄN</t>
        </is>
      </c>
      <c r="E3357" t="inlineStr">
        <is>
          <t>NORRKÖPING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46914-2025</t>
        </is>
      </c>
      <c r="B3358" s="1" t="n">
        <v>45929.41962962963</v>
      </c>
      <c r="C3358" s="1" t="n">
        <v>46093</v>
      </c>
      <c r="D3358" t="inlineStr">
        <is>
          <t>ÖSTERGÖTLANDS LÄN</t>
        </is>
      </c>
      <c r="E3358" t="inlineStr">
        <is>
          <t>KINDA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46916-2025</t>
        </is>
      </c>
      <c r="B3359" s="1" t="n">
        <v>45929.42545138889</v>
      </c>
      <c r="C3359" s="1" t="n">
        <v>46093</v>
      </c>
      <c r="D3359" t="inlineStr">
        <is>
          <t>ÖSTERGÖTLANDS LÄN</t>
        </is>
      </c>
      <c r="E3359" t="inlineStr">
        <is>
          <t>KINDA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46926-2025</t>
        </is>
      </c>
      <c r="B3360" s="1" t="n">
        <v>45929.43957175926</v>
      </c>
      <c r="C3360" s="1" t="n">
        <v>46093</v>
      </c>
      <c r="D3360" t="inlineStr">
        <is>
          <t>ÖSTERGÖTLANDS LÄN</t>
        </is>
      </c>
      <c r="E3360" t="inlineStr">
        <is>
          <t>KINDA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18657-2024</t>
        </is>
      </c>
      <c r="B3361" s="1" t="n">
        <v>45426.26847222223</v>
      </c>
      <c r="C3361" s="1" t="n">
        <v>46093</v>
      </c>
      <c r="D3361" t="inlineStr">
        <is>
          <t>ÖSTERGÖTLANDS LÄN</t>
        </is>
      </c>
      <c r="E3361" t="inlineStr">
        <is>
          <t>FINSPÅNG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46999-2025</t>
        </is>
      </c>
      <c r="B3362" s="1" t="n">
        <v>45929.54858796296</v>
      </c>
      <c r="C3362" s="1" t="n">
        <v>46093</v>
      </c>
      <c r="D3362" t="inlineStr">
        <is>
          <t>ÖSTERGÖTLANDS LÄN</t>
        </is>
      </c>
      <c r="E3362" t="inlineStr">
        <is>
          <t>ÖDESHÖG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47278-2025</t>
        </is>
      </c>
      <c r="B3363" s="1" t="n">
        <v>45930.47261574074</v>
      </c>
      <c r="C3363" s="1" t="n">
        <v>46093</v>
      </c>
      <c r="D3363" t="inlineStr">
        <is>
          <t>ÖSTERGÖTLANDS LÄN</t>
        </is>
      </c>
      <c r="E3363" t="inlineStr">
        <is>
          <t>MOTALA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47282-2025</t>
        </is>
      </c>
      <c r="B3364" s="1" t="n">
        <v>45930.47936342593</v>
      </c>
      <c r="C3364" s="1" t="n">
        <v>46093</v>
      </c>
      <c r="D3364" t="inlineStr">
        <is>
          <t>ÖSTERGÖTLANDS LÄN</t>
        </is>
      </c>
      <c r="E3364" t="inlineStr">
        <is>
          <t>MOTALA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36676-2025</t>
        </is>
      </c>
      <c r="B3365" s="1" t="n">
        <v>45871</v>
      </c>
      <c r="C3365" s="1" t="n">
        <v>46093</v>
      </c>
      <c r="D3365" t="inlineStr">
        <is>
          <t>ÖSTERGÖTLANDS LÄN</t>
        </is>
      </c>
      <c r="E3365" t="inlineStr">
        <is>
          <t>YDRE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14101-2022</t>
        </is>
      </c>
      <c r="B3366" s="1" t="n">
        <v>44651</v>
      </c>
      <c r="C3366" s="1" t="n">
        <v>46093</v>
      </c>
      <c r="D3366" t="inlineStr">
        <is>
          <t>ÖSTERGÖTLANDS LÄN</t>
        </is>
      </c>
      <c r="E3366" t="inlineStr">
        <is>
          <t>YDRE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17821-2025</t>
        </is>
      </c>
      <c r="B3367" s="1" t="n">
        <v>45758.56946759259</v>
      </c>
      <c r="C3367" s="1" t="n">
        <v>46093</v>
      </c>
      <c r="D3367" t="inlineStr">
        <is>
          <t>ÖSTERGÖTLANDS LÄN</t>
        </is>
      </c>
      <c r="E3367" t="inlineStr">
        <is>
          <t>NORRKÖPING</t>
        </is>
      </c>
      <c r="F3367" t="inlineStr">
        <is>
          <t>Holmen skog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46847-2025</t>
        </is>
      </c>
      <c r="B3368" s="1" t="n">
        <v>45928.69971064815</v>
      </c>
      <c r="C3368" s="1" t="n">
        <v>46093</v>
      </c>
      <c r="D3368" t="inlineStr">
        <is>
          <t>ÖSTERGÖTLANDS LÄN</t>
        </is>
      </c>
      <c r="E3368" t="inlineStr">
        <is>
          <t>LINKÖPING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19334-2023</t>
        </is>
      </c>
      <c r="B3369" s="1" t="n">
        <v>45049</v>
      </c>
      <c r="C3369" s="1" t="n">
        <v>46093</v>
      </c>
      <c r="D3369" t="inlineStr">
        <is>
          <t>ÖSTERGÖTLANDS LÄN</t>
        </is>
      </c>
      <c r="E3369" t="inlineStr">
        <is>
          <t>NORRKÖPING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55980-2024</t>
        </is>
      </c>
      <c r="B3370" s="1" t="n">
        <v>45623.659375</v>
      </c>
      <c r="C3370" s="1" t="n">
        <v>46093</v>
      </c>
      <c r="D3370" t="inlineStr">
        <is>
          <t>ÖSTERGÖTLANDS LÄN</t>
        </is>
      </c>
      <c r="E3370" t="inlineStr">
        <is>
          <t>FINSPÅNG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17543-2022</t>
        </is>
      </c>
      <c r="B3371" s="1" t="n">
        <v>44679.62341435185</v>
      </c>
      <c r="C3371" s="1" t="n">
        <v>46093</v>
      </c>
      <c r="D3371" t="inlineStr">
        <is>
          <t>ÖSTERGÖTLANDS LÄN</t>
        </is>
      </c>
      <c r="E3371" t="inlineStr">
        <is>
          <t>MOTALA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17557-2022</t>
        </is>
      </c>
      <c r="B3372" s="1" t="n">
        <v>44679</v>
      </c>
      <c r="C3372" s="1" t="n">
        <v>46093</v>
      </c>
      <c r="D3372" t="inlineStr">
        <is>
          <t>ÖSTERGÖTLANDS LÄN</t>
        </is>
      </c>
      <c r="E3372" t="inlineStr">
        <is>
          <t>FINSPÅNG</t>
        </is>
      </c>
      <c r="F3372" t="inlineStr">
        <is>
          <t>Övriga Aktiebolag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59964-2023</t>
        </is>
      </c>
      <c r="B3373" s="1" t="n">
        <v>45254</v>
      </c>
      <c r="C3373" s="1" t="n">
        <v>46093</v>
      </c>
      <c r="D3373" t="inlineStr">
        <is>
          <t>ÖSTERGÖTLANDS LÄN</t>
        </is>
      </c>
      <c r="E3373" t="inlineStr">
        <is>
          <t>NORRKÖPING</t>
        </is>
      </c>
      <c r="F3373" t="inlineStr">
        <is>
          <t>Allmännings- och besparingsskogar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47628-2025</t>
        </is>
      </c>
      <c r="B3374" s="1" t="n">
        <v>45931.4877662037</v>
      </c>
      <c r="C3374" s="1" t="n">
        <v>46093</v>
      </c>
      <c r="D3374" t="inlineStr">
        <is>
          <t>ÖSTERGÖTLANDS LÄN</t>
        </is>
      </c>
      <c r="E3374" t="inlineStr">
        <is>
          <t>MOTALA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47625-2025</t>
        </is>
      </c>
      <c r="B3375" s="1" t="n">
        <v>45931.48486111111</v>
      </c>
      <c r="C3375" s="1" t="n">
        <v>46093</v>
      </c>
      <c r="D3375" t="inlineStr">
        <is>
          <t>ÖSTERGÖTLANDS LÄN</t>
        </is>
      </c>
      <c r="E3375" t="inlineStr">
        <is>
          <t>MOTALA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24192-2022</t>
        </is>
      </c>
      <c r="B3376" s="1" t="n">
        <v>44725.56457175926</v>
      </c>
      <c r="C3376" s="1" t="n">
        <v>46093</v>
      </c>
      <c r="D3376" t="inlineStr">
        <is>
          <t>ÖSTERGÖTLANDS LÄN</t>
        </is>
      </c>
      <c r="E3376" t="inlineStr">
        <is>
          <t>FINSPÅNG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27170-2022</t>
        </is>
      </c>
      <c r="B3377" s="1" t="n">
        <v>44741</v>
      </c>
      <c r="C3377" s="1" t="n">
        <v>46093</v>
      </c>
      <c r="D3377" t="inlineStr">
        <is>
          <t>ÖSTERGÖTLANDS LÄN</t>
        </is>
      </c>
      <c r="E3377" t="inlineStr">
        <is>
          <t>ÅTVIDABERG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51435-2024</t>
        </is>
      </c>
      <c r="B3378" s="1" t="n">
        <v>45604.47024305556</v>
      </c>
      <c r="C3378" s="1" t="n">
        <v>46093</v>
      </c>
      <c r="D3378" t="inlineStr">
        <is>
          <t>ÖSTERGÖTLANDS LÄN</t>
        </is>
      </c>
      <c r="E3378" t="inlineStr">
        <is>
          <t>FINSPÅNG</t>
        </is>
      </c>
      <c r="F3378" t="inlineStr">
        <is>
          <t>Holmen skog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2545-2023</t>
        </is>
      </c>
      <c r="B3379" s="1" t="n">
        <v>44943</v>
      </c>
      <c r="C3379" s="1" t="n">
        <v>46093</v>
      </c>
      <c r="D3379" t="inlineStr">
        <is>
          <t>ÖSTERGÖTLANDS LÄN</t>
        </is>
      </c>
      <c r="E3379" t="inlineStr">
        <is>
          <t>NORRKÖPING</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48343-2025</t>
        </is>
      </c>
      <c r="B3380" s="1" t="n">
        <v>45932</v>
      </c>
      <c r="C3380" s="1" t="n">
        <v>46093</v>
      </c>
      <c r="D3380" t="inlineStr">
        <is>
          <t>ÖSTERGÖTLANDS LÄN</t>
        </is>
      </c>
      <c r="E3380" t="inlineStr">
        <is>
          <t>LINKÖPING</t>
        </is>
      </c>
      <c r="F3380" t="inlineStr">
        <is>
          <t>Övriga Aktiebolag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63830-2023</t>
        </is>
      </c>
      <c r="B3381" s="1" t="n">
        <v>45278</v>
      </c>
      <c r="C3381" s="1" t="n">
        <v>46093</v>
      </c>
      <c r="D3381" t="inlineStr">
        <is>
          <t>ÖSTERGÖTLANDS LÄN</t>
        </is>
      </c>
      <c r="E3381" t="inlineStr">
        <is>
          <t>YDRE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47958-2025</t>
        </is>
      </c>
      <c r="B3382" s="1" t="n">
        <v>45932.59138888889</v>
      </c>
      <c r="C3382" s="1" t="n">
        <v>46093</v>
      </c>
      <c r="D3382" t="inlineStr">
        <is>
          <t>ÖSTERGÖTLANDS LÄN</t>
        </is>
      </c>
      <c r="E3382" t="inlineStr">
        <is>
          <t>KINDA</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47964-2025</t>
        </is>
      </c>
      <c r="B3383" s="1" t="n">
        <v>45932.59591435185</v>
      </c>
      <c r="C3383" s="1" t="n">
        <v>46093</v>
      </c>
      <c r="D3383" t="inlineStr">
        <is>
          <t>ÖSTERGÖTLANDS LÄN</t>
        </is>
      </c>
      <c r="E3383" t="inlineStr">
        <is>
          <t>ÅTVIDABERG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47515-2025</t>
        </is>
      </c>
      <c r="B3384" s="1" t="n">
        <v>45931.25571759259</v>
      </c>
      <c r="C3384" s="1" t="n">
        <v>46093</v>
      </c>
      <c r="D3384" t="inlineStr">
        <is>
          <t>ÖSTERGÖTLANDS LÄN</t>
        </is>
      </c>
      <c r="E3384" t="inlineStr">
        <is>
          <t>YDRE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60001-2022</t>
        </is>
      </c>
      <c r="B3385" s="1" t="n">
        <v>44909.47087962963</v>
      </c>
      <c r="C3385" s="1" t="n">
        <v>46093</v>
      </c>
      <c r="D3385" t="inlineStr">
        <is>
          <t>ÖSTERGÖTLANDS LÄN</t>
        </is>
      </c>
      <c r="E3385" t="inlineStr">
        <is>
          <t>LINKÖPING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11592-2025</t>
        </is>
      </c>
      <c r="B3386" s="1" t="n">
        <v>45727.41440972222</v>
      </c>
      <c r="C3386" s="1" t="n">
        <v>46093</v>
      </c>
      <c r="D3386" t="inlineStr">
        <is>
          <t>ÖSTERGÖTLANDS LÄN</t>
        </is>
      </c>
      <c r="E3386" t="inlineStr">
        <is>
          <t>ÅTVIDABERG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49747-2024</t>
        </is>
      </c>
      <c r="B3387" s="1" t="n">
        <v>45596</v>
      </c>
      <c r="C3387" s="1" t="n">
        <v>46093</v>
      </c>
      <c r="D3387" t="inlineStr">
        <is>
          <t>ÖSTERGÖTLANDS LÄN</t>
        </is>
      </c>
      <c r="E3387" t="inlineStr">
        <is>
          <t>LINKÖPING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47606-2025</t>
        </is>
      </c>
      <c r="B3388" s="1" t="n">
        <v>45931.46402777778</v>
      </c>
      <c r="C3388" s="1" t="n">
        <v>46093</v>
      </c>
      <c r="D3388" t="inlineStr">
        <is>
          <t>ÖSTERGÖTLANDS LÄN</t>
        </is>
      </c>
      <c r="E3388" t="inlineStr">
        <is>
          <t>LINKÖPING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57029-2022</t>
        </is>
      </c>
      <c r="B3389" s="1" t="n">
        <v>44895.30123842593</v>
      </c>
      <c r="C3389" s="1" t="n">
        <v>46093</v>
      </c>
      <c r="D3389" t="inlineStr">
        <is>
          <t>ÖSTERGÖTLANDS LÄN</t>
        </is>
      </c>
      <c r="E3389" t="inlineStr">
        <is>
          <t>ÅTVIDABERG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47514-2025</t>
        </is>
      </c>
      <c r="B3390" s="1" t="n">
        <v>45931.24472222223</v>
      </c>
      <c r="C3390" s="1" t="n">
        <v>46093</v>
      </c>
      <c r="D3390" t="inlineStr">
        <is>
          <t>ÖSTERGÖTLANDS LÄN</t>
        </is>
      </c>
      <c r="E3390" t="inlineStr">
        <is>
          <t>YDRE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18867-2025</t>
        </is>
      </c>
      <c r="B3391" s="1" t="n">
        <v>45764.43002314815</v>
      </c>
      <c r="C3391" s="1" t="n">
        <v>46093</v>
      </c>
      <c r="D3391" t="inlineStr">
        <is>
          <t>ÖSTERGÖTLANDS LÄN</t>
        </is>
      </c>
      <c r="E3391" t="inlineStr">
        <is>
          <t>NORRKÖPING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47567-2025</t>
        </is>
      </c>
      <c r="B3392" s="1" t="n">
        <v>45931.39234953704</v>
      </c>
      <c r="C3392" s="1" t="n">
        <v>46093</v>
      </c>
      <c r="D3392" t="inlineStr">
        <is>
          <t>ÖSTERGÖTLANDS LÄN</t>
        </is>
      </c>
      <c r="E3392" t="inlineStr">
        <is>
          <t>FINSPÅNG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53123-2021</t>
        </is>
      </c>
      <c r="B3393" s="1" t="n">
        <v>44467.94783564815</v>
      </c>
      <c r="C3393" s="1" t="n">
        <v>46093</v>
      </c>
      <c r="D3393" t="inlineStr">
        <is>
          <t>ÖSTERGÖTLANDS LÄN</t>
        </is>
      </c>
      <c r="E3393" t="inlineStr">
        <is>
          <t>FINSPÅNG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15491-2024</t>
        </is>
      </c>
      <c r="B3394" s="1" t="n">
        <v>45401.51510416667</v>
      </c>
      <c r="C3394" s="1" t="n">
        <v>46093</v>
      </c>
      <c r="D3394" t="inlineStr">
        <is>
          <t>ÖSTERGÖTLANDS LÄN</t>
        </is>
      </c>
      <c r="E3394" t="inlineStr">
        <is>
          <t>MJÖLBY</t>
        </is>
      </c>
      <c r="F3394" t="inlineStr">
        <is>
          <t>Sveaskog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2952-2024</t>
        </is>
      </c>
      <c r="B3395" s="1" t="n">
        <v>45315</v>
      </c>
      <c r="C3395" s="1" t="n">
        <v>46093</v>
      </c>
      <c r="D3395" t="inlineStr">
        <is>
          <t>ÖSTERGÖTLANDS LÄN</t>
        </is>
      </c>
      <c r="E3395" t="inlineStr">
        <is>
          <t>KINDA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47956-2025</t>
        </is>
      </c>
      <c r="B3396" s="1" t="n">
        <v>45932.59002314815</v>
      </c>
      <c r="C3396" s="1" t="n">
        <v>46093</v>
      </c>
      <c r="D3396" t="inlineStr">
        <is>
          <t>ÖSTERGÖTLANDS LÄN</t>
        </is>
      </c>
      <c r="E3396" t="inlineStr">
        <is>
          <t>KINDA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27415-2022</t>
        </is>
      </c>
      <c r="B3397" s="1" t="n">
        <v>44742</v>
      </c>
      <c r="C3397" s="1" t="n">
        <v>46093</v>
      </c>
      <c r="D3397" t="inlineStr">
        <is>
          <t>ÖSTERGÖTLANDS LÄN</t>
        </is>
      </c>
      <c r="E3397" t="inlineStr">
        <is>
          <t>ÅTVIDABERG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57680-2022</t>
        </is>
      </c>
      <c r="B3398" s="1" t="n">
        <v>44897</v>
      </c>
      <c r="C3398" s="1" t="n">
        <v>46093</v>
      </c>
      <c r="D3398" t="inlineStr">
        <is>
          <t>ÖSTERGÖTLANDS LÄN</t>
        </is>
      </c>
      <c r="E3398" t="inlineStr">
        <is>
          <t>VALDEMARSVIK</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48026-2025</t>
        </is>
      </c>
      <c r="B3399" s="1" t="n">
        <v>45932.65119212963</v>
      </c>
      <c r="C3399" s="1" t="n">
        <v>46093</v>
      </c>
      <c r="D3399" t="inlineStr">
        <is>
          <t>ÖSTERGÖTLANDS LÄN</t>
        </is>
      </c>
      <c r="E3399" t="inlineStr">
        <is>
          <t>YDRE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20232-2022</t>
        </is>
      </c>
      <c r="B3400" s="1" t="n">
        <v>44698</v>
      </c>
      <c r="C3400" s="1" t="n">
        <v>46093</v>
      </c>
      <c r="D3400" t="inlineStr">
        <is>
          <t>ÖSTERGÖTLANDS LÄN</t>
        </is>
      </c>
      <c r="E3400" t="inlineStr">
        <is>
          <t>ÖDESHÖG</t>
        </is>
      </c>
      <c r="F3400" t="inlineStr">
        <is>
          <t>Allmännings- och besparingsskogar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48063-2025</t>
        </is>
      </c>
      <c r="B3401" s="1" t="n">
        <v>45932.68246527778</v>
      </c>
      <c r="C3401" s="1" t="n">
        <v>46093</v>
      </c>
      <c r="D3401" t="inlineStr">
        <is>
          <t>ÖSTERGÖTLANDS LÄN</t>
        </is>
      </c>
      <c r="E3401" t="inlineStr">
        <is>
          <t>ÖDESHÖG</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48065-2025</t>
        </is>
      </c>
      <c r="B3402" s="1" t="n">
        <v>45932.68950231482</v>
      </c>
      <c r="C3402" s="1" t="n">
        <v>46093</v>
      </c>
      <c r="D3402" t="inlineStr">
        <is>
          <t>ÖSTERGÖTLANDS LÄN</t>
        </is>
      </c>
      <c r="E3402" t="inlineStr">
        <is>
          <t>FINSPÅNG</t>
        </is>
      </c>
      <c r="F3402" t="inlineStr">
        <is>
          <t>Holmen skog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26977-2023</t>
        </is>
      </c>
      <c r="B3403" s="1" t="n">
        <v>45091</v>
      </c>
      <c r="C3403" s="1" t="n">
        <v>46093</v>
      </c>
      <c r="D3403" t="inlineStr">
        <is>
          <t>ÖSTERGÖTLANDS LÄN</t>
        </is>
      </c>
      <c r="E3403" t="inlineStr">
        <is>
          <t>NORRKÖPING</t>
        </is>
      </c>
      <c r="F3403" t="inlineStr">
        <is>
          <t>Allmännings- och besparingsskogar</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47895-2025</t>
        </is>
      </c>
      <c r="B3404" s="1" t="n">
        <v>45932.48122685185</v>
      </c>
      <c r="C3404" s="1" t="n">
        <v>46093</v>
      </c>
      <c r="D3404" t="inlineStr">
        <is>
          <t>ÖSTERGÖTLANDS LÄN</t>
        </is>
      </c>
      <c r="E3404" t="inlineStr">
        <is>
          <t>MOTALA</t>
        </is>
      </c>
      <c r="F3404" t="inlineStr">
        <is>
          <t>Allmännings- och besparingsskogar</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1657-2024</t>
        </is>
      </c>
      <c r="B3405" s="1" t="n">
        <v>45306.82501157407</v>
      </c>
      <c r="C3405" s="1" t="n">
        <v>46093</v>
      </c>
      <c r="D3405" t="inlineStr">
        <is>
          <t>ÖSTERGÖTLANDS LÄN</t>
        </is>
      </c>
      <c r="E3405" t="inlineStr">
        <is>
          <t>LINKÖPING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31725-2022</t>
        </is>
      </c>
      <c r="B3406" s="1" t="n">
        <v>44776.48541666667</v>
      </c>
      <c r="C3406" s="1" t="n">
        <v>46093</v>
      </c>
      <c r="D3406" t="inlineStr">
        <is>
          <t>ÖSTERGÖTLANDS LÄN</t>
        </is>
      </c>
      <c r="E3406" t="inlineStr">
        <is>
          <t>LINKÖPING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5888-2025</t>
        </is>
      </c>
      <c r="B3407" s="1" t="n">
        <v>45695.3799074074</v>
      </c>
      <c r="C3407" s="1" t="n">
        <v>46093</v>
      </c>
      <c r="D3407" t="inlineStr">
        <is>
          <t>ÖSTERGÖTLANDS LÄN</t>
        </is>
      </c>
      <c r="E3407" t="inlineStr">
        <is>
          <t>MOTALA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48023-2025</t>
        </is>
      </c>
      <c r="B3408" s="1" t="n">
        <v>45932.65006944445</v>
      </c>
      <c r="C3408" s="1" t="n">
        <v>46093</v>
      </c>
      <c r="D3408" t="inlineStr">
        <is>
          <t>ÖSTERGÖTLANDS LÄN</t>
        </is>
      </c>
      <c r="E3408" t="inlineStr">
        <is>
          <t>YDRE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57492-2023</t>
        </is>
      </c>
      <c r="B3409" s="1" t="n">
        <v>45246.41627314815</v>
      </c>
      <c r="C3409" s="1" t="n">
        <v>46093</v>
      </c>
      <c r="D3409" t="inlineStr">
        <is>
          <t>ÖSTERGÖTLANDS LÄN</t>
        </is>
      </c>
      <c r="E3409" t="inlineStr">
        <is>
          <t>NORRKÖPING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57496-2023</t>
        </is>
      </c>
      <c r="B3410" s="1" t="n">
        <v>45246</v>
      </c>
      <c r="C3410" s="1" t="n">
        <v>46093</v>
      </c>
      <c r="D3410" t="inlineStr">
        <is>
          <t>ÖSTERGÖTLANDS LÄN</t>
        </is>
      </c>
      <c r="E3410" t="inlineStr">
        <is>
          <t>NORRKÖPING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57342-2023</t>
        </is>
      </c>
      <c r="B3411" s="1" t="n">
        <v>45245.67082175926</v>
      </c>
      <c r="C3411" s="1" t="n">
        <v>46093</v>
      </c>
      <c r="D3411" t="inlineStr">
        <is>
          <t>ÖSTERGÖTLANDS LÄN</t>
        </is>
      </c>
      <c r="E3411" t="inlineStr">
        <is>
          <t>KINDA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12669-2025</t>
        </is>
      </c>
      <c r="B3412" s="1" t="n">
        <v>45733.42899305555</v>
      </c>
      <c r="C3412" s="1" t="n">
        <v>46093</v>
      </c>
      <c r="D3412" t="inlineStr">
        <is>
          <t>ÖSTERGÖTLANDS LÄN</t>
        </is>
      </c>
      <c r="E3412" t="inlineStr">
        <is>
          <t>YDRE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20829-2022</t>
        </is>
      </c>
      <c r="B3413" s="1" t="n">
        <v>44701</v>
      </c>
      <c r="C3413" s="1" t="n">
        <v>46093</v>
      </c>
      <c r="D3413" t="inlineStr">
        <is>
          <t>ÖSTERGÖTLANDS LÄN</t>
        </is>
      </c>
      <c r="E3413" t="inlineStr">
        <is>
          <t>KINDA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37843-2023</t>
        </is>
      </c>
      <c r="B3414" s="1" t="n">
        <v>45160.37083333333</v>
      </c>
      <c r="C3414" s="1" t="n">
        <v>46093</v>
      </c>
      <c r="D3414" t="inlineStr">
        <is>
          <t>ÖSTERGÖTLANDS LÄN</t>
        </is>
      </c>
      <c r="E3414" t="inlineStr">
        <is>
          <t>ÖDESHÖG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48254-2025</t>
        </is>
      </c>
      <c r="B3415" s="1" t="n">
        <v>45932</v>
      </c>
      <c r="C3415" s="1" t="n">
        <v>46093</v>
      </c>
      <c r="D3415" t="inlineStr">
        <is>
          <t>ÖSTERGÖTLANDS LÄN</t>
        </is>
      </c>
      <c r="E3415" t="inlineStr">
        <is>
          <t>LINKÖPING</t>
        </is>
      </c>
      <c r="F3415" t="inlineStr">
        <is>
          <t>Övriga Aktiebolag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48266-2025</t>
        </is>
      </c>
      <c r="B3416" s="1" t="n">
        <v>45932</v>
      </c>
      <c r="C3416" s="1" t="n">
        <v>46093</v>
      </c>
      <c r="D3416" t="inlineStr">
        <is>
          <t>ÖSTERGÖTLANDS LÄN</t>
        </is>
      </c>
      <c r="E3416" t="inlineStr">
        <is>
          <t>LINKÖPING</t>
        </is>
      </c>
      <c r="F3416" t="inlineStr">
        <is>
          <t>Övriga Aktiebolag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47936-2025</t>
        </is>
      </c>
      <c r="B3417" s="1" t="n">
        <v>45932.55936342593</v>
      </c>
      <c r="C3417" s="1" t="n">
        <v>46093</v>
      </c>
      <c r="D3417" t="inlineStr">
        <is>
          <t>ÖSTERGÖTLANDS LÄN</t>
        </is>
      </c>
      <c r="E3417" t="inlineStr">
        <is>
          <t>KINDA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14454-2022</t>
        </is>
      </c>
      <c r="B3418" s="1" t="n">
        <v>44653.50954861111</v>
      </c>
      <c r="C3418" s="1" t="n">
        <v>46093</v>
      </c>
      <c r="D3418" t="inlineStr">
        <is>
          <t>ÖSTERGÖTLANDS LÄN</t>
        </is>
      </c>
      <c r="E3418" t="inlineStr">
        <is>
          <t>FINSPÅNG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31862-2022</t>
        </is>
      </c>
      <c r="B3419" s="1" t="n">
        <v>44777</v>
      </c>
      <c r="C3419" s="1" t="n">
        <v>46093</v>
      </c>
      <c r="D3419" t="inlineStr">
        <is>
          <t>ÖSTERGÖTLANDS LÄN</t>
        </is>
      </c>
      <c r="E3419" t="inlineStr">
        <is>
          <t>VALDEMARSVIK</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48047-2025</t>
        </is>
      </c>
      <c r="B3420" s="1" t="n">
        <v>45932.67384259259</v>
      </c>
      <c r="C3420" s="1" t="n">
        <v>46093</v>
      </c>
      <c r="D3420" t="inlineStr">
        <is>
          <t>ÖSTERGÖTLANDS LÄN</t>
        </is>
      </c>
      <c r="E3420" t="inlineStr">
        <is>
          <t>FINSPÅNG</t>
        </is>
      </c>
      <c r="F3420" t="inlineStr">
        <is>
          <t>Holmen skog AB</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58691-2023</t>
        </is>
      </c>
      <c r="B3421" s="1" t="n">
        <v>45251</v>
      </c>
      <c r="C3421" s="1" t="n">
        <v>46093</v>
      </c>
      <c r="D3421" t="inlineStr">
        <is>
          <t>ÖSTERGÖTLANDS LÄN</t>
        </is>
      </c>
      <c r="E3421" t="inlineStr">
        <is>
          <t>YDRE</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19525-2025</t>
        </is>
      </c>
      <c r="B3422" s="1" t="n">
        <v>45770.46248842592</v>
      </c>
      <c r="C3422" s="1" t="n">
        <v>46093</v>
      </c>
      <c r="D3422" t="inlineStr">
        <is>
          <t>ÖSTERGÖTLANDS LÄN</t>
        </is>
      </c>
      <c r="E3422" t="inlineStr">
        <is>
          <t>FINSPÅNG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40812-2024</t>
        </is>
      </c>
      <c r="B3423" s="1" t="n">
        <v>45558.54422453704</v>
      </c>
      <c r="C3423" s="1" t="n">
        <v>46093</v>
      </c>
      <c r="D3423" t="inlineStr">
        <is>
          <t>ÖSTERGÖTLANDS LÄN</t>
        </is>
      </c>
      <c r="E3423" t="inlineStr">
        <is>
          <t>NORRKÖPING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49882-2021</t>
        </is>
      </c>
      <c r="B3424" s="1" t="n">
        <v>44455.68550925926</v>
      </c>
      <c r="C3424" s="1" t="n">
        <v>46093</v>
      </c>
      <c r="D3424" t="inlineStr">
        <is>
          <t>ÖSTERGÖTLANDS LÄN</t>
        </is>
      </c>
      <c r="E3424" t="inlineStr">
        <is>
          <t>NORRKÖPING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38613-2022</t>
        </is>
      </c>
      <c r="B3425" s="1" t="n">
        <v>44813</v>
      </c>
      <c r="C3425" s="1" t="n">
        <v>46093</v>
      </c>
      <c r="D3425" t="inlineStr">
        <is>
          <t>ÖSTERGÖTLANDS LÄN</t>
        </is>
      </c>
      <c r="E3425" t="inlineStr">
        <is>
          <t>FINSPÅNG</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29660-2022</t>
        </is>
      </c>
      <c r="B3426" s="1" t="n">
        <v>44754.7230787037</v>
      </c>
      <c r="C3426" s="1" t="n">
        <v>46093</v>
      </c>
      <c r="D3426" t="inlineStr">
        <is>
          <t>ÖSTERGÖTLANDS LÄN</t>
        </is>
      </c>
      <c r="E3426" t="inlineStr">
        <is>
          <t>SÖDERKÖPING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43051-2022</t>
        </is>
      </c>
      <c r="B3427" s="1" t="n">
        <v>44833</v>
      </c>
      <c r="C3427" s="1" t="n">
        <v>46093</v>
      </c>
      <c r="D3427" t="inlineStr">
        <is>
          <t>ÖSTERGÖTLANDS LÄN</t>
        </is>
      </c>
      <c r="E3427" t="inlineStr">
        <is>
          <t>FINSPÅNG</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30784-2023</t>
        </is>
      </c>
      <c r="B3428" s="1" t="n">
        <v>45112</v>
      </c>
      <c r="C3428" s="1" t="n">
        <v>46093</v>
      </c>
      <c r="D3428" t="inlineStr">
        <is>
          <t>ÖSTERGÖTLANDS LÄN</t>
        </is>
      </c>
      <c r="E3428" t="inlineStr">
        <is>
          <t>NORRKÖPING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35662-2022</t>
        </is>
      </c>
      <c r="B3429" s="1" t="n">
        <v>44799.58758101852</v>
      </c>
      <c r="C3429" s="1" t="n">
        <v>46093</v>
      </c>
      <c r="D3429" t="inlineStr">
        <is>
          <t>ÖSTERGÖTLANDS LÄN</t>
        </is>
      </c>
      <c r="E3429" t="inlineStr">
        <is>
          <t>KINDA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47648-2025</t>
        </is>
      </c>
      <c r="B3430" s="1" t="n">
        <v>45931.52583333333</v>
      </c>
      <c r="C3430" s="1" t="n">
        <v>46093</v>
      </c>
      <c r="D3430" t="inlineStr">
        <is>
          <t>ÖSTERGÖTLANDS LÄN</t>
        </is>
      </c>
      <c r="E3430" t="inlineStr">
        <is>
          <t>ÖDESHÖG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47657-2025</t>
        </is>
      </c>
      <c r="B3431" s="1" t="n">
        <v>45931.55253472222</v>
      </c>
      <c r="C3431" s="1" t="n">
        <v>46093</v>
      </c>
      <c r="D3431" t="inlineStr">
        <is>
          <t>ÖSTERGÖTLANDS LÄN</t>
        </is>
      </c>
      <c r="E3431" t="inlineStr">
        <is>
          <t>MOTALA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26195-2024</t>
        </is>
      </c>
      <c r="B3432" s="1" t="n">
        <v>45468.57454861111</v>
      </c>
      <c r="C3432" s="1" t="n">
        <v>46093</v>
      </c>
      <c r="D3432" t="inlineStr">
        <is>
          <t>ÖSTERGÖTLANDS LÄN</t>
        </is>
      </c>
      <c r="E3432" t="inlineStr">
        <is>
          <t>FINSPÅNG</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11566-2023</t>
        </is>
      </c>
      <c r="B3433" s="1" t="n">
        <v>44994</v>
      </c>
      <c r="C3433" s="1" t="n">
        <v>46093</v>
      </c>
      <c r="D3433" t="inlineStr">
        <is>
          <t>ÖSTERGÖTLANDS LÄN</t>
        </is>
      </c>
      <c r="E3433" t="inlineStr">
        <is>
          <t>YDRE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11567-2023</t>
        </is>
      </c>
      <c r="B3434" s="1" t="n">
        <v>44994</v>
      </c>
      <c r="C3434" s="1" t="n">
        <v>46093</v>
      </c>
      <c r="D3434" t="inlineStr">
        <is>
          <t>ÖSTERGÖTLANDS LÄN</t>
        </is>
      </c>
      <c r="E3434" t="inlineStr">
        <is>
          <t>YDRE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11673-2023</t>
        </is>
      </c>
      <c r="B3435" s="1" t="n">
        <v>44994.48273148148</v>
      </c>
      <c r="C3435" s="1" t="n">
        <v>46093</v>
      </c>
      <c r="D3435" t="inlineStr">
        <is>
          <t>ÖSTERGÖTLANDS LÄN</t>
        </is>
      </c>
      <c r="E3435" t="inlineStr">
        <is>
          <t>SÖDERKÖPING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16635-2022</t>
        </is>
      </c>
      <c r="B3436" s="1" t="n">
        <v>44672</v>
      </c>
      <c r="C3436" s="1" t="n">
        <v>46093</v>
      </c>
      <c r="D3436" t="inlineStr">
        <is>
          <t>ÖSTERGÖTLANDS LÄN</t>
        </is>
      </c>
      <c r="E3436" t="inlineStr">
        <is>
          <t>BOXHOLM</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26240-2024</t>
        </is>
      </c>
      <c r="B3437" s="1" t="n">
        <v>45468</v>
      </c>
      <c r="C3437" s="1" t="n">
        <v>46093</v>
      </c>
      <c r="D3437" t="inlineStr">
        <is>
          <t>ÖSTERGÖTLANDS LÄN</t>
        </is>
      </c>
      <c r="E3437" t="inlineStr">
        <is>
          <t>ÅTVIDABERG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11766-2023</t>
        </is>
      </c>
      <c r="B3438" s="1" t="n">
        <v>44994</v>
      </c>
      <c r="C3438" s="1" t="n">
        <v>46093</v>
      </c>
      <c r="D3438" t="inlineStr">
        <is>
          <t>ÖSTERGÖTLANDS LÄN</t>
        </is>
      </c>
      <c r="E3438" t="inlineStr">
        <is>
          <t>ÅTVIDABERG</t>
        </is>
      </c>
      <c r="F3438" t="inlineStr">
        <is>
          <t>Övriga Aktiebolag</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11788-2023</t>
        </is>
      </c>
      <c r="B3439" s="1" t="n">
        <v>44994.65835648148</v>
      </c>
      <c r="C3439" s="1" t="n">
        <v>46093</v>
      </c>
      <c r="D3439" t="inlineStr">
        <is>
          <t>ÖSTERGÖTLANDS LÄN</t>
        </is>
      </c>
      <c r="E3439" t="inlineStr">
        <is>
          <t>YDRE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29923-2023</t>
        </is>
      </c>
      <c r="B3440" s="1" t="n">
        <v>45107</v>
      </c>
      <c r="C3440" s="1" t="n">
        <v>46093</v>
      </c>
      <c r="D3440" t="inlineStr">
        <is>
          <t>ÖSTERGÖTLANDS LÄN</t>
        </is>
      </c>
      <c r="E3440" t="inlineStr">
        <is>
          <t>FINSPÅNG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48428-2025</t>
        </is>
      </c>
      <c r="B3441" s="1" t="n">
        <v>45934.78538194444</v>
      </c>
      <c r="C3441" s="1" t="n">
        <v>46093</v>
      </c>
      <c r="D3441" t="inlineStr">
        <is>
          <t>ÖSTERGÖTLANDS LÄN</t>
        </is>
      </c>
      <c r="E3441" t="inlineStr">
        <is>
          <t>VALDEMARSVIK</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17578-2024</t>
        </is>
      </c>
      <c r="B3442" s="1" t="n">
        <v>45415.83293981481</v>
      </c>
      <c r="C3442" s="1" t="n">
        <v>46093</v>
      </c>
      <c r="D3442" t="inlineStr">
        <is>
          <t>ÖSTERGÖTLANDS LÄN</t>
        </is>
      </c>
      <c r="E3442" t="inlineStr">
        <is>
          <t>FINSPÅNG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48451-2025</t>
        </is>
      </c>
      <c r="B3443" s="1" t="n">
        <v>45935.78858796296</v>
      </c>
      <c r="C3443" s="1" t="n">
        <v>46093</v>
      </c>
      <c r="D3443" t="inlineStr">
        <is>
          <t>ÖSTERGÖTLANDS LÄN</t>
        </is>
      </c>
      <c r="E3443" t="inlineStr">
        <is>
          <t>FINSPÅNG</t>
        </is>
      </c>
      <c r="F3443" t="inlineStr">
        <is>
          <t>Övriga Aktiebolag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4460-2023</t>
        </is>
      </c>
      <c r="B3444" s="1" t="n">
        <v>44956</v>
      </c>
      <c r="C3444" s="1" t="n">
        <v>46093</v>
      </c>
      <c r="D3444" t="inlineStr">
        <is>
          <t>ÖSTERGÖTLANDS LÄN</t>
        </is>
      </c>
      <c r="E3444" t="inlineStr">
        <is>
          <t>NORRKÖPING</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10003-2025</t>
        </is>
      </c>
      <c r="B3445" s="1" t="n">
        <v>45719.4522337963</v>
      </c>
      <c r="C3445" s="1" t="n">
        <v>46093</v>
      </c>
      <c r="D3445" t="inlineStr">
        <is>
          <t>ÖSTERGÖTLANDS LÄN</t>
        </is>
      </c>
      <c r="E3445" t="inlineStr">
        <is>
          <t>NORRKÖPING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17138-2022</t>
        </is>
      </c>
      <c r="B3446" s="1" t="n">
        <v>44677</v>
      </c>
      <c r="C3446" s="1" t="n">
        <v>46093</v>
      </c>
      <c r="D3446" t="inlineStr">
        <is>
          <t>ÖSTERGÖTLANDS LÄN</t>
        </is>
      </c>
      <c r="E3446" t="inlineStr">
        <is>
          <t>NORRKÖPING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17172-2022</t>
        </is>
      </c>
      <c r="B3447" s="1" t="n">
        <v>44677</v>
      </c>
      <c r="C3447" s="1" t="n">
        <v>46093</v>
      </c>
      <c r="D3447" t="inlineStr">
        <is>
          <t>ÖSTERGÖTLANDS LÄN</t>
        </is>
      </c>
      <c r="E3447" t="inlineStr">
        <is>
          <t>KINDA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4089-2023</t>
        </is>
      </c>
      <c r="B3448" s="1" t="n">
        <v>44952</v>
      </c>
      <c r="C3448" s="1" t="n">
        <v>46093</v>
      </c>
      <c r="D3448" t="inlineStr">
        <is>
          <t>ÖSTERGÖTLANDS LÄN</t>
        </is>
      </c>
      <c r="E3448" t="inlineStr">
        <is>
          <t>ÅTVIDABERG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10026-2025</t>
        </is>
      </c>
      <c r="B3449" s="1" t="n">
        <v>45719.49042824074</v>
      </c>
      <c r="C3449" s="1" t="n">
        <v>46093</v>
      </c>
      <c r="D3449" t="inlineStr">
        <is>
          <t>ÖSTERGÖTLANDS LÄN</t>
        </is>
      </c>
      <c r="E3449" t="inlineStr">
        <is>
          <t>FINSPÅNG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17428-2024</t>
        </is>
      </c>
      <c r="B3450" s="1" t="n">
        <v>45415.31837962963</v>
      </c>
      <c r="C3450" s="1" t="n">
        <v>46093</v>
      </c>
      <c r="D3450" t="inlineStr">
        <is>
          <t>ÖSTERGÖTLANDS LÄN</t>
        </is>
      </c>
      <c r="E3450" t="inlineStr">
        <is>
          <t>ÅTVIDABERG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17431-2024</t>
        </is>
      </c>
      <c r="B3451" s="1" t="n">
        <v>45415.32329861111</v>
      </c>
      <c r="C3451" s="1" t="n">
        <v>46093</v>
      </c>
      <c r="D3451" t="inlineStr">
        <is>
          <t>ÖSTERGÖTLANDS LÄN</t>
        </is>
      </c>
      <c r="E3451" t="inlineStr">
        <is>
          <t>ÅTVIDABERG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4546-2023</t>
        </is>
      </c>
      <c r="B3452" s="1" t="n">
        <v>44956</v>
      </c>
      <c r="C3452" s="1" t="n">
        <v>46093</v>
      </c>
      <c r="D3452" t="inlineStr">
        <is>
          <t>ÖSTERGÖTLANDS LÄN</t>
        </is>
      </c>
      <c r="E3452" t="inlineStr">
        <is>
          <t>NORRKÖPING</t>
        </is>
      </c>
      <c r="F3452" t="inlineStr">
        <is>
          <t>Holmen skog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45199-2024</t>
        </is>
      </c>
      <c r="B3453" s="1" t="n">
        <v>45575.68791666667</v>
      </c>
      <c r="C3453" s="1" t="n">
        <v>46093</v>
      </c>
      <c r="D3453" t="inlineStr">
        <is>
          <t>ÖSTERGÖTLANDS LÄN</t>
        </is>
      </c>
      <c r="E3453" t="inlineStr">
        <is>
          <t>YDRE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1739-2024</t>
        </is>
      </c>
      <c r="B3454" s="1" t="n">
        <v>45307.44446759259</v>
      </c>
      <c r="C3454" s="1" t="n">
        <v>46093</v>
      </c>
      <c r="D3454" t="inlineStr">
        <is>
          <t>ÖSTERGÖTLANDS LÄN</t>
        </is>
      </c>
      <c r="E3454" t="inlineStr">
        <is>
          <t>KINDA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50041-2023</t>
        </is>
      </c>
      <c r="B3455" s="1" t="n">
        <v>45215.49336805556</v>
      </c>
      <c r="C3455" s="1" t="n">
        <v>46093</v>
      </c>
      <c r="D3455" t="inlineStr">
        <is>
          <t>ÖSTERGÖTLANDS LÄN</t>
        </is>
      </c>
      <c r="E3455" t="inlineStr">
        <is>
          <t>VALDEMARSVIK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22437-2023</t>
        </is>
      </c>
      <c r="B3456" s="1" t="n">
        <v>45070</v>
      </c>
      <c r="C3456" s="1" t="n">
        <v>46093</v>
      </c>
      <c r="D3456" t="inlineStr">
        <is>
          <t>ÖSTERGÖTLANDS LÄN</t>
        </is>
      </c>
      <c r="E3456" t="inlineStr">
        <is>
          <t>FINSPÅNG</t>
        </is>
      </c>
      <c r="F3456" t="inlineStr">
        <is>
          <t>Holmen skog AB</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13096-2021</t>
        </is>
      </c>
      <c r="B3457" s="1" t="n">
        <v>44271</v>
      </c>
      <c r="C3457" s="1" t="n">
        <v>46093</v>
      </c>
      <c r="D3457" t="inlineStr">
        <is>
          <t>ÖSTERGÖTLANDS LÄN</t>
        </is>
      </c>
      <c r="E3457" t="inlineStr">
        <is>
          <t>MOTALA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48372-2025</t>
        </is>
      </c>
      <c r="B3458" s="1" t="n">
        <v>45933.68805555555</v>
      </c>
      <c r="C3458" s="1" t="n">
        <v>46093</v>
      </c>
      <c r="D3458" t="inlineStr">
        <is>
          <t>ÖSTERGÖTLANDS LÄN</t>
        </is>
      </c>
      <c r="E3458" t="inlineStr">
        <is>
          <t>SÖDERKÖPING</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9746-2025</t>
        </is>
      </c>
      <c r="B3459" s="1" t="n">
        <v>45716.45121527778</v>
      </c>
      <c r="C3459" s="1" t="n">
        <v>46093</v>
      </c>
      <c r="D3459" t="inlineStr">
        <is>
          <t>ÖSTERGÖTLANDS LÄN</t>
        </is>
      </c>
      <c r="E3459" t="inlineStr">
        <is>
          <t>NORRKÖPING</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59077-2023</t>
        </is>
      </c>
      <c r="B3460" s="1" t="n">
        <v>45252.91344907408</v>
      </c>
      <c r="C3460" s="1" t="n">
        <v>46093</v>
      </c>
      <c r="D3460" t="inlineStr">
        <is>
          <t>ÖSTERGÖTLANDS LÄN</t>
        </is>
      </c>
      <c r="E3460" t="inlineStr">
        <is>
          <t>NORRKÖPING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48355-2025</t>
        </is>
      </c>
      <c r="B3461" s="1" t="n">
        <v>45933.65831018519</v>
      </c>
      <c r="C3461" s="1" t="n">
        <v>46093</v>
      </c>
      <c r="D3461" t="inlineStr">
        <is>
          <t>ÖSTERGÖTLANDS LÄN</t>
        </is>
      </c>
      <c r="E3461" t="inlineStr">
        <is>
          <t>NORRKÖPING</t>
        </is>
      </c>
      <c r="F3461" t="inlineStr">
        <is>
          <t>Allmännings- och besparingsskogar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47056-2022</t>
        </is>
      </c>
      <c r="B3462" s="1" t="n">
        <v>44852</v>
      </c>
      <c r="C3462" s="1" t="n">
        <v>46093</v>
      </c>
      <c r="D3462" t="inlineStr">
        <is>
          <t>ÖSTERGÖTLANDS LÄN</t>
        </is>
      </c>
      <c r="E3462" t="inlineStr">
        <is>
          <t>KINDA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62875-2023</t>
        </is>
      </c>
      <c r="B3463" s="1" t="n">
        <v>45272</v>
      </c>
      <c r="C3463" s="1" t="n">
        <v>46093</v>
      </c>
      <c r="D3463" t="inlineStr">
        <is>
          <t>ÖSTERGÖTLANDS LÄN</t>
        </is>
      </c>
      <c r="E3463" t="inlineStr">
        <is>
          <t>NORRKÖPING</t>
        </is>
      </c>
      <c r="F3463" t="inlineStr">
        <is>
          <t>Holmen skog AB</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21700-2023</t>
        </is>
      </c>
      <c r="B3464" s="1" t="n">
        <v>45062</v>
      </c>
      <c r="C3464" s="1" t="n">
        <v>46093</v>
      </c>
      <c r="D3464" t="inlineStr">
        <is>
          <t>ÖSTERGÖTLANDS LÄN</t>
        </is>
      </c>
      <c r="E3464" t="inlineStr">
        <is>
          <t>KINDA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19182-2025</t>
        </is>
      </c>
      <c r="B3465" s="1" t="n">
        <v>45769.40231481481</v>
      </c>
      <c r="C3465" s="1" t="n">
        <v>46093</v>
      </c>
      <c r="D3465" t="inlineStr">
        <is>
          <t>ÖSTERGÖTLANDS LÄN</t>
        </is>
      </c>
      <c r="E3465" t="inlineStr">
        <is>
          <t>NORRKÖPING</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2389-2023</t>
        </is>
      </c>
      <c r="B3466" s="1" t="n">
        <v>44942</v>
      </c>
      <c r="C3466" s="1" t="n">
        <v>46093</v>
      </c>
      <c r="D3466" t="inlineStr">
        <is>
          <t>ÖSTERGÖTLANDS LÄN</t>
        </is>
      </c>
      <c r="E3466" t="inlineStr">
        <is>
          <t>LINKÖPING</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48248-2025</t>
        </is>
      </c>
      <c r="B3467" s="1" t="n">
        <v>45933.55230324074</v>
      </c>
      <c r="C3467" s="1" t="n">
        <v>46093</v>
      </c>
      <c r="D3467" t="inlineStr">
        <is>
          <t>ÖSTERGÖTLANDS LÄN</t>
        </is>
      </c>
      <c r="E3467" t="inlineStr">
        <is>
          <t>MOTALA</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48194-2025</t>
        </is>
      </c>
      <c r="B3468" s="1" t="n">
        <v>45933.47111111111</v>
      </c>
      <c r="C3468" s="1" t="n">
        <v>46093</v>
      </c>
      <c r="D3468" t="inlineStr">
        <is>
          <t>ÖSTERGÖTLANDS LÄN</t>
        </is>
      </c>
      <c r="E3468" t="inlineStr">
        <is>
          <t>KINDA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14185-2023</t>
        </is>
      </c>
      <c r="B3469" s="1" t="n">
        <v>45009.55140046297</v>
      </c>
      <c r="C3469" s="1" t="n">
        <v>46093</v>
      </c>
      <c r="D3469" t="inlineStr">
        <is>
          <t>ÖSTERGÖTLANDS LÄN</t>
        </is>
      </c>
      <c r="E3469" t="inlineStr">
        <is>
          <t>ÖDESHÖG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50356-2024</t>
        </is>
      </c>
      <c r="B3470" s="1" t="n">
        <v>45600</v>
      </c>
      <c r="C3470" s="1" t="n">
        <v>46093</v>
      </c>
      <c r="D3470" t="inlineStr">
        <is>
          <t>ÖSTERGÖTLANDS LÄN</t>
        </is>
      </c>
      <c r="E3470" t="inlineStr">
        <is>
          <t>FINSPÅNG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50606-2024</t>
        </is>
      </c>
      <c r="B3471" s="1" t="n">
        <v>45601.62434027778</v>
      </c>
      <c r="C3471" s="1" t="n">
        <v>46093</v>
      </c>
      <c r="D3471" t="inlineStr">
        <is>
          <t>ÖSTERGÖTLANDS LÄN</t>
        </is>
      </c>
      <c r="E3471" t="inlineStr">
        <is>
          <t>VALDEMARSVIK</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8245-2023</t>
        </is>
      </c>
      <c r="B3472" s="1" t="n">
        <v>44974</v>
      </c>
      <c r="C3472" s="1" t="n">
        <v>46093</v>
      </c>
      <c r="D3472" t="inlineStr">
        <is>
          <t>ÖSTERGÖTLANDS LÄN</t>
        </is>
      </c>
      <c r="E3472" t="inlineStr">
        <is>
          <t>NORRKÖPING</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14943-2024</t>
        </is>
      </c>
      <c r="B3473" s="1" t="n">
        <v>45398.69101851852</v>
      </c>
      <c r="C3473" s="1" t="n">
        <v>46093</v>
      </c>
      <c r="D3473" t="inlineStr">
        <is>
          <t>ÖSTERGÖTLANDS LÄN</t>
        </is>
      </c>
      <c r="E3473" t="inlineStr">
        <is>
          <t>KINDA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1247-2022</t>
        </is>
      </c>
      <c r="B3474" s="1" t="n">
        <v>44572</v>
      </c>
      <c r="C3474" s="1" t="n">
        <v>46093</v>
      </c>
      <c r="D3474" t="inlineStr">
        <is>
          <t>ÖSTERGÖTLANDS LÄN</t>
        </is>
      </c>
      <c r="E3474" t="inlineStr">
        <is>
          <t>SÖDERKÖPING</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23269-2024</t>
        </is>
      </c>
      <c r="B3475" s="1" t="n">
        <v>45453</v>
      </c>
      <c r="C3475" s="1" t="n">
        <v>46093</v>
      </c>
      <c r="D3475" t="inlineStr">
        <is>
          <t>ÖSTERGÖTLANDS LÄN</t>
        </is>
      </c>
      <c r="E3475" t="inlineStr">
        <is>
          <t>MOTALA</t>
        </is>
      </c>
      <c r="F3475" t="inlineStr">
        <is>
          <t>Allmännings- och besparingsskogar</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48575-2025</t>
        </is>
      </c>
      <c r="B3476" s="1" t="n">
        <v>45936.45259259259</v>
      </c>
      <c r="C3476" s="1" t="n">
        <v>46093</v>
      </c>
      <c r="D3476" t="inlineStr">
        <is>
          <t>ÖSTERGÖTLANDS LÄN</t>
        </is>
      </c>
      <c r="E3476" t="inlineStr">
        <is>
          <t>ÖDESHÖG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48258-2025</t>
        </is>
      </c>
      <c r="B3477" s="1" t="n">
        <v>45933.55594907407</v>
      </c>
      <c r="C3477" s="1" t="n">
        <v>46093</v>
      </c>
      <c r="D3477" t="inlineStr">
        <is>
          <t>ÖSTERGÖTLANDS LÄN</t>
        </is>
      </c>
      <c r="E3477" t="inlineStr">
        <is>
          <t>MOTALA</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44868-2024</t>
        </is>
      </c>
      <c r="B3478" s="1" t="n">
        <v>45575.33030092593</v>
      </c>
      <c r="C3478" s="1" t="n">
        <v>46093</v>
      </c>
      <c r="D3478" t="inlineStr">
        <is>
          <t>ÖSTERGÖTLANDS LÄN</t>
        </is>
      </c>
      <c r="E3478" t="inlineStr">
        <is>
          <t>MOTALA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64103-2023</t>
        </is>
      </c>
      <c r="B3479" s="1" t="n">
        <v>45279.46747685185</v>
      </c>
      <c r="C3479" s="1" t="n">
        <v>46093</v>
      </c>
      <c r="D3479" t="inlineStr">
        <is>
          <t>ÖSTERGÖTLANDS LÄN</t>
        </is>
      </c>
      <c r="E3479" t="inlineStr">
        <is>
          <t>FINSPÅNG</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26432-2022</t>
        </is>
      </c>
      <c r="B3480" s="1" t="n">
        <v>44736.4803587963</v>
      </c>
      <c r="C3480" s="1" t="n">
        <v>46093</v>
      </c>
      <c r="D3480" t="inlineStr">
        <is>
          <t>ÖSTERGÖTLANDS LÄN</t>
        </is>
      </c>
      <c r="E3480" t="inlineStr">
        <is>
          <t>SÖDERKÖPING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3627-2023</t>
        </is>
      </c>
      <c r="B3481" s="1" t="n">
        <v>44950.64782407408</v>
      </c>
      <c r="C3481" s="1" t="n">
        <v>46093</v>
      </c>
      <c r="D3481" t="inlineStr">
        <is>
          <t>ÖSTERGÖTLANDS LÄN</t>
        </is>
      </c>
      <c r="E3481" t="inlineStr">
        <is>
          <t>LINKÖPING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14230-2025</t>
        </is>
      </c>
      <c r="B3482" s="1" t="n">
        <v>45740.59944444444</v>
      </c>
      <c r="C3482" s="1" t="n">
        <v>46093</v>
      </c>
      <c r="D3482" t="inlineStr">
        <is>
          <t>ÖSTERGÖTLANDS LÄN</t>
        </is>
      </c>
      <c r="E3482" t="inlineStr">
        <is>
          <t>MOTALA</t>
        </is>
      </c>
      <c r="F3482" t="inlineStr">
        <is>
          <t>Sveaskog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48455-2025</t>
        </is>
      </c>
      <c r="B3483" s="1" t="n">
        <v>45935.81170138889</v>
      </c>
      <c r="C3483" s="1" t="n">
        <v>46093</v>
      </c>
      <c r="D3483" t="inlineStr">
        <is>
          <t>ÖSTERGÖTLANDS LÄN</t>
        </is>
      </c>
      <c r="E3483" t="inlineStr">
        <is>
          <t>FINSPÅNG</t>
        </is>
      </c>
      <c r="F3483" t="inlineStr">
        <is>
          <t>Övriga Aktiebolag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62687-2023</t>
        </is>
      </c>
      <c r="B3484" s="1" t="n">
        <v>45271</v>
      </c>
      <c r="C3484" s="1" t="n">
        <v>46093</v>
      </c>
      <c r="D3484" t="inlineStr">
        <is>
          <t>ÖSTERGÖTLANDS LÄN</t>
        </is>
      </c>
      <c r="E3484" t="inlineStr">
        <is>
          <t>LINKÖPING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18261-2024</t>
        </is>
      </c>
      <c r="B3485" s="1" t="n">
        <v>45421.53177083333</v>
      </c>
      <c r="C3485" s="1" t="n">
        <v>46093</v>
      </c>
      <c r="D3485" t="inlineStr">
        <is>
          <t>ÖSTERGÖTLANDS LÄN</t>
        </is>
      </c>
      <c r="E3485" t="inlineStr">
        <is>
          <t>FINSPÅNG</t>
        </is>
      </c>
      <c r="F3485" t="inlineStr">
        <is>
          <t>Holmen skog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48256-2025</t>
        </is>
      </c>
      <c r="B3486" s="1" t="n">
        <v>45933.55480324074</v>
      </c>
      <c r="C3486" s="1" t="n">
        <v>46093</v>
      </c>
      <c r="D3486" t="inlineStr">
        <is>
          <t>ÖSTERGÖTLANDS LÄN</t>
        </is>
      </c>
      <c r="E3486" t="inlineStr">
        <is>
          <t>MOTALA</t>
        </is>
      </c>
      <c r="F3486" t="inlineStr">
        <is>
          <t>Sveaskog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30976-2022</t>
        </is>
      </c>
      <c r="B3487" s="1" t="n">
        <v>44768</v>
      </c>
      <c r="C3487" s="1" t="n">
        <v>46093</v>
      </c>
      <c r="D3487" t="inlineStr">
        <is>
          <t>ÖSTERGÖTLANDS LÄN</t>
        </is>
      </c>
      <c r="E3487" t="inlineStr">
        <is>
          <t>LINKÖPING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42401-2022</t>
        </is>
      </c>
      <c r="B3488" s="1" t="n">
        <v>44830</v>
      </c>
      <c r="C3488" s="1" t="n">
        <v>46093</v>
      </c>
      <c r="D3488" t="inlineStr">
        <is>
          <t>ÖSTERGÖTLANDS LÄN</t>
        </is>
      </c>
      <c r="E3488" t="inlineStr">
        <is>
          <t>VALDEMARSVIK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3569-2024</t>
        </is>
      </c>
      <c r="B3489" s="1" t="n">
        <v>45320</v>
      </c>
      <c r="C3489" s="1" t="n">
        <v>46093</v>
      </c>
      <c r="D3489" t="inlineStr">
        <is>
          <t>ÖSTERGÖTLANDS LÄN</t>
        </is>
      </c>
      <c r="E3489" t="inlineStr">
        <is>
          <t>BOXHOLM</t>
        </is>
      </c>
      <c r="F3489" t="inlineStr">
        <is>
          <t>Övriga Aktiebolag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50530-2024</t>
        </is>
      </c>
      <c r="B3490" s="1" t="n">
        <v>45601.56424768519</v>
      </c>
      <c r="C3490" s="1" t="n">
        <v>46093</v>
      </c>
      <c r="D3490" t="inlineStr">
        <is>
          <t>ÖSTERGÖTLANDS LÄN</t>
        </is>
      </c>
      <c r="E3490" t="inlineStr">
        <is>
          <t>VADSTENA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2176-2023</t>
        </is>
      </c>
      <c r="B3491" s="1" t="n">
        <v>44942</v>
      </c>
      <c r="C3491" s="1" t="n">
        <v>46093</v>
      </c>
      <c r="D3491" t="inlineStr">
        <is>
          <t>ÖSTERGÖTLANDS LÄN</t>
        </is>
      </c>
      <c r="E3491" t="inlineStr">
        <is>
          <t>ÅTVIDABERG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48500-2025</t>
        </is>
      </c>
      <c r="B3492" s="1" t="n">
        <v>45936.3762037037</v>
      </c>
      <c r="C3492" s="1" t="n">
        <v>46093</v>
      </c>
      <c r="D3492" t="inlineStr">
        <is>
          <t>ÖSTERGÖTLANDS LÄN</t>
        </is>
      </c>
      <c r="E3492" t="inlineStr">
        <is>
          <t>NORRKÖPING</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2198-2023</t>
        </is>
      </c>
      <c r="B3493" s="1" t="n">
        <v>44942</v>
      </c>
      <c r="C3493" s="1" t="n">
        <v>46093</v>
      </c>
      <c r="D3493" t="inlineStr">
        <is>
          <t>ÖSTERGÖTLANDS LÄN</t>
        </is>
      </c>
      <c r="E3493" t="inlineStr">
        <is>
          <t>BOXHOLM</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399-2024</t>
        </is>
      </c>
      <c r="B3494" s="1" t="n">
        <v>45296</v>
      </c>
      <c r="C3494" s="1" t="n">
        <v>46093</v>
      </c>
      <c r="D3494" t="inlineStr">
        <is>
          <t>ÖSTERGÖTLANDS LÄN</t>
        </is>
      </c>
      <c r="E3494" t="inlineStr">
        <is>
          <t>ÅTVIDABERG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458-2024</t>
        </is>
      </c>
      <c r="B3495" s="1" t="n">
        <v>45297</v>
      </c>
      <c r="C3495" s="1" t="n">
        <v>46093</v>
      </c>
      <c r="D3495" t="inlineStr">
        <is>
          <t>ÖSTERGÖTLANDS LÄN</t>
        </is>
      </c>
      <c r="E3495" t="inlineStr">
        <is>
          <t>SÖDERKÖPING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43322-2022</t>
        </is>
      </c>
      <c r="B3496" s="1" t="n">
        <v>44834</v>
      </c>
      <c r="C3496" s="1" t="n">
        <v>46093</v>
      </c>
      <c r="D3496" t="inlineStr">
        <is>
          <t>ÖSTERGÖTLANDS LÄN</t>
        </is>
      </c>
      <c r="E3496" t="inlineStr">
        <is>
          <t>NORRKÖPING</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64930-2023</t>
        </is>
      </c>
      <c r="B3497" s="1" t="n">
        <v>45282</v>
      </c>
      <c r="C3497" s="1" t="n">
        <v>46093</v>
      </c>
      <c r="D3497" t="inlineStr">
        <is>
          <t>ÖSTERGÖTLANDS LÄN</t>
        </is>
      </c>
      <c r="E3497" t="inlineStr">
        <is>
          <t>MJÖLBY</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47219-2022</t>
        </is>
      </c>
      <c r="B3498" s="1" t="n">
        <v>44852</v>
      </c>
      <c r="C3498" s="1" t="n">
        <v>46093</v>
      </c>
      <c r="D3498" t="inlineStr">
        <is>
          <t>ÖSTERGÖTLANDS LÄN</t>
        </is>
      </c>
      <c r="E3498" t="inlineStr">
        <is>
          <t>VALDEMARSVIK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48361-2025</t>
        </is>
      </c>
      <c r="B3499" s="1" t="n">
        <v>45933.66274305555</v>
      </c>
      <c r="C3499" s="1" t="n">
        <v>46093</v>
      </c>
      <c r="D3499" t="inlineStr">
        <is>
          <t>ÖSTERGÖTLANDS LÄN</t>
        </is>
      </c>
      <c r="E3499" t="inlineStr">
        <is>
          <t>NORRKÖPING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6465-2025</t>
        </is>
      </c>
      <c r="B3500" s="1" t="n">
        <v>45699.57212962963</v>
      </c>
      <c r="C3500" s="1" t="n">
        <v>46093</v>
      </c>
      <c r="D3500" t="inlineStr">
        <is>
          <t>ÖSTERGÖTLANDS LÄN</t>
        </is>
      </c>
      <c r="E3500" t="inlineStr">
        <is>
          <t>ÖDESHÖG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2951-2024</t>
        </is>
      </c>
      <c r="B3501" s="1" t="n">
        <v>45315</v>
      </c>
      <c r="C3501" s="1" t="n">
        <v>46093</v>
      </c>
      <c r="D3501" t="inlineStr">
        <is>
          <t>ÖSTERGÖTLANDS LÄN</t>
        </is>
      </c>
      <c r="E3501" t="inlineStr">
        <is>
          <t>SÖDERKÖPING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7269-2024</t>
        </is>
      </c>
      <c r="B3502" s="1" t="n">
        <v>45344</v>
      </c>
      <c r="C3502" s="1" t="n">
        <v>46093</v>
      </c>
      <c r="D3502" t="inlineStr">
        <is>
          <t>ÖSTERGÖTLANDS LÄN</t>
        </is>
      </c>
      <c r="E3502" t="inlineStr">
        <is>
          <t>FINSPÅNG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17526-2024</t>
        </is>
      </c>
      <c r="B3503" s="1" t="n">
        <v>45415.60461805556</v>
      </c>
      <c r="C3503" s="1" t="n">
        <v>46093</v>
      </c>
      <c r="D3503" t="inlineStr">
        <is>
          <t>ÖSTERGÖTLANDS LÄN</t>
        </is>
      </c>
      <c r="E3503" t="inlineStr">
        <is>
          <t>YDRE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48453-2025</t>
        </is>
      </c>
      <c r="B3504" s="1" t="n">
        <v>45935.79518518518</v>
      </c>
      <c r="C3504" s="1" t="n">
        <v>46093</v>
      </c>
      <c r="D3504" t="inlineStr">
        <is>
          <t>ÖSTERGÖTLANDS LÄN</t>
        </is>
      </c>
      <c r="E3504" t="inlineStr">
        <is>
          <t>FINSPÅNG</t>
        </is>
      </c>
      <c r="F3504" t="inlineStr">
        <is>
          <t>Övriga Aktiebolag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12483-2024</t>
        </is>
      </c>
      <c r="B3505" s="1" t="n">
        <v>45379.54880787037</v>
      </c>
      <c r="C3505" s="1" t="n">
        <v>46093</v>
      </c>
      <c r="D3505" t="inlineStr">
        <is>
          <t>ÖSTERGÖTLANDS LÄN</t>
        </is>
      </c>
      <c r="E3505" t="inlineStr">
        <is>
          <t>FINSPÅNG</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24866-2023</t>
        </is>
      </c>
      <c r="B3506" s="1" t="n">
        <v>45085.39561342593</v>
      </c>
      <c r="C3506" s="1" t="n">
        <v>46093</v>
      </c>
      <c r="D3506" t="inlineStr">
        <is>
          <t>ÖSTERGÖTLANDS LÄN</t>
        </is>
      </c>
      <c r="E3506" t="inlineStr">
        <is>
          <t>MJÖLBY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24878-2023</t>
        </is>
      </c>
      <c r="B3507" s="1" t="n">
        <v>45085.4334837963</v>
      </c>
      <c r="C3507" s="1" t="n">
        <v>46093</v>
      </c>
      <c r="D3507" t="inlineStr">
        <is>
          <t>ÖSTERGÖTLANDS LÄN</t>
        </is>
      </c>
      <c r="E3507" t="inlineStr">
        <is>
          <t>VALDEMARSVIK</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2145-2024</t>
        </is>
      </c>
      <c r="B3508" s="1" t="n">
        <v>45309.56436342592</v>
      </c>
      <c r="C3508" s="1" t="n">
        <v>46093</v>
      </c>
      <c r="D3508" t="inlineStr">
        <is>
          <t>ÖSTERGÖTLANDS LÄN</t>
        </is>
      </c>
      <c r="E3508" t="inlineStr">
        <is>
          <t>FINSPÅNG</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51727-2024</t>
        </is>
      </c>
      <c r="B3509" s="1" t="n">
        <v>45607.38569444444</v>
      </c>
      <c r="C3509" s="1" t="n">
        <v>46093</v>
      </c>
      <c r="D3509" t="inlineStr">
        <is>
          <t>ÖSTERGÖTLANDS LÄN</t>
        </is>
      </c>
      <c r="E3509" t="inlineStr">
        <is>
          <t>ÖDESHÖG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51762-2024</t>
        </is>
      </c>
      <c r="B3510" s="1" t="n">
        <v>45607.44199074074</v>
      </c>
      <c r="C3510" s="1" t="n">
        <v>46093</v>
      </c>
      <c r="D3510" t="inlineStr">
        <is>
          <t>ÖSTERGÖTLANDS LÄN</t>
        </is>
      </c>
      <c r="E3510" t="inlineStr">
        <is>
          <t>MOTALA</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2152-2024</t>
        </is>
      </c>
      <c r="B3511" s="1" t="n">
        <v>45309.58428240741</v>
      </c>
      <c r="C3511" s="1" t="n">
        <v>46093</v>
      </c>
      <c r="D3511" t="inlineStr">
        <is>
          <t>ÖSTERGÖTLANDS LÄN</t>
        </is>
      </c>
      <c r="E3511" t="inlineStr">
        <is>
          <t>FINSPÅNG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2164-2024</t>
        </is>
      </c>
      <c r="B3512" s="1" t="n">
        <v>45309.60451388889</v>
      </c>
      <c r="C3512" s="1" t="n">
        <v>46093</v>
      </c>
      <c r="D3512" t="inlineStr">
        <is>
          <t>ÖSTERGÖTLANDS LÄN</t>
        </is>
      </c>
      <c r="E3512" t="inlineStr">
        <is>
          <t>FINSPÅNG</t>
        </is>
      </c>
      <c r="G3512" t="n">
        <v>15.1</v>
      </c>
      <c r="H3512" t="n">
        <v>0</v>
      </c>
      <c r="I3512" t="n">
        <v>0</v>
      </c>
      <c r="J3512" t="n">
        <v>0</v>
      </c>
      <c r="K3512" t="n">
        <v>0</v>
      </c>
      <c r="L3512" t="n">
        <v>0</v>
      </c>
      <c r="M3512" t="n">
        <v>0</v>
      </c>
      <c r="N3512" t="n">
        <v>0</v>
      </c>
      <c r="O3512" t="n">
        <v>0</v>
      </c>
      <c r="P3512" t="n">
        <v>0</v>
      </c>
      <c r="Q3512" t="n">
        <v>0</v>
      </c>
      <c r="R3512" s="2" t="inlineStr"/>
    </row>
    <row r="3513" ht="15" customHeight="1">
      <c r="A3513" t="inlineStr">
        <is>
          <t>A 48193-2025</t>
        </is>
      </c>
      <c r="B3513" s="1" t="n">
        <v>45933.46984953704</v>
      </c>
      <c r="C3513" s="1" t="n">
        <v>46093</v>
      </c>
      <c r="D3513" t="inlineStr">
        <is>
          <t>ÖSTERGÖTLANDS LÄN</t>
        </is>
      </c>
      <c r="E3513" t="inlineStr">
        <is>
          <t>KINDA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30860-2022</t>
        </is>
      </c>
      <c r="B3514" s="1" t="n">
        <v>44767</v>
      </c>
      <c r="C3514" s="1" t="n">
        <v>46093</v>
      </c>
      <c r="D3514" t="inlineStr">
        <is>
          <t>ÖSTERGÖTLANDS LÄN</t>
        </is>
      </c>
      <c r="E3514" t="inlineStr">
        <is>
          <t>LINKÖPING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30891-2022</t>
        </is>
      </c>
      <c r="B3515" s="1" t="n">
        <v>44767</v>
      </c>
      <c r="C3515" s="1" t="n">
        <v>46093</v>
      </c>
      <c r="D3515" t="inlineStr">
        <is>
          <t>ÖSTERGÖTLANDS LÄN</t>
        </is>
      </c>
      <c r="E3515" t="inlineStr">
        <is>
          <t>ÅTVIDABERG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75-2024</t>
        </is>
      </c>
      <c r="B3516" s="1" t="n">
        <v>45293.68796296296</v>
      </c>
      <c r="C3516" s="1" t="n">
        <v>46093</v>
      </c>
      <c r="D3516" t="inlineStr">
        <is>
          <t>ÖSTERGÖTLANDS LÄN</t>
        </is>
      </c>
      <c r="E3516" t="inlineStr">
        <is>
          <t>SÖDERKÖPING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48592-2025</t>
        </is>
      </c>
      <c r="B3517" s="1" t="n">
        <v>45935</v>
      </c>
      <c r="C3517" s="1" t="n">
        <v>46093</v>
      </c>
      <c r="D3517" t="inlineStr">
        <is>
          <t>ÖSTERGÖTLANDS LÄN</t>
        </is>
      </c>
      <c r="E3517" t="inlineStr">
        <is>
          <t>KINDA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3247-2024</t>
        </is>
      </c>
      <c r="B3518" s="1" t="n">
        <v>45317</v>
      </c>
      <c r="C3518" s="1" t="n">
        <v>46093</v>
      </c>
      <c r="D3518" t="inlineStr">
        <is>
          <t>ÖSTERGÖTLANDS LÄN</t>
        </is>
      </c>
      <c r="E3518" t="inlineStr">
        <is>
          <t>NORRKÖPING</t>
        </is>
      </c>
      <c r="F3518" t="inlineStr">
        <is>
          <t>Holmen skog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62065-2023</t>
        </is>
      </c>
      <c r="B3519" s="1" t="n">
        <v>45266</v>
      </c>
      <c r="C3519" s="1" t="n">
        <v>46093</v>
      </c>
      <c r="D3519" t="inlineStr">
        <is>
          <t>ÖSTERGÖTLANDS LÄN</t>
        </is>
      </c>
      <c r="E3519" t="inlineStr">
        <is>
          <t>MOTALA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48611-2025</t>
        </is>
      </c>
      <c r="B3520" s="1" t="n">
        <v>45936.48025462963</v>
      </c>
      <c r="C3520" s="1" t="n">
        <v>46093</v>
      </c>
      <c r="D3520" t="inlineStr">
        <is>
          <t>ÖSTERGÖTLANDS LÄN</t>
        </is>
      </c>
      <c r="E3520" t="inlineStr">
        <is>
          <t>ÖDESHÖG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48614-2025</t>
        </is>
      </c>
      <c r="B3521" s="1" t="n">
        <v>45936.48396990741</v>
      </c>
      <c r="C3521" s="1" t="n">
        <v>46093</v>
      </c>
      <c r="D3521" t="inlineStr">
        <is>
          <t>ÖSTERGÖTLANDS LÄN</t>
        </is>
      </c>
      <c r="E3521" t="inlineStr">
        <is>
          <t>ÖDESHÖG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48186-2022</t>
        </is>
      </c>
      <c r="B3522" s="1" t="n">
        <v>44858</v>
      </c>
      <c r="C3522" s="1" t="n">
        <v>46093</v>
      </c>
      <c r="D3522" t="inlineStr">
        <is>
          <t>ÖSTERGÖTLANDS LÄN</t>
        </is>
      </c>
      <c r="E3522" t="inlineStr">
        <is>
          <t>LINKÖPING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4415-2024</t>
        </is>
      </c>
      <c r="B3523" s="1" t="n">
        <v>45327</v>
      </c>
      <c r="C3523" s="1" t="n">
        <v>46093</v>
      </c>
      <c r="D3523" t="inlineStr">
        <is>
          <t>ÖSTERGÖTLANDS LÄN</t>
        </is>
      </c>
      <c r="E3523" t="inlineStr">
        <is>
          <t>BOXHOLM</t>
        </is>
      </c>
      <c r="F3523" t="inlineStr">
        <is>
          <t>Allmännings- och besparingsskogar</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36824-2022</t>
        </is>
      </c>
      <c r="B3524" s="1" t="n">
        <v>44805.55975694444</v>
      </c>
      <c r="C3524" s="1" t="n">
        <v>46093</v>
      </c>
      <c r="D3524" t="inlineStr">
        <is>
          <t>ÖSTERGÖTLANDS LÄN</t>
        </is>
      </c>
      <c r="E3524" t="inlineStr">
        <is>
          <t>KINDA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18891-2022</t>
        </is>
      </c>
      <c r="B3525" s="1" t="n">
        <v>44690</v>
      </c>
      <c r="C3525" s="1" t="n">
        <v>46093</v>
      </c>
      <c r="D3525" t="inlineStr">
        <is>
          <t>ÖSTERGÖTLANDS LÄN</t>
        </is>
      </c>
      <c r="E3525" t="inlineStr">
        <is>
          <t>LINKÖPING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27040-2022</t>
        </is>
      </c>
      <c r="B3526" s="1" t="n">
        <v>44741</v>
      </c>
      <c r="C3526" s="1" t="n">
        <v>46093</v>
      </c>
      <c r="D3526" t="inlineStr">
        <is>
          <t>ÖSTERGÖTLANDS LÄN</t>
        </is>
      </c>
      <c r="E3526" t="inlineStr">
        <is>
          <t>NORRKÖPING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42298-2023</t>
        </is>
      </c>
      <c r="B3527" s="1" t="n">
        <v>45180.44695601852</v>
      </c>
      <c r="C3527" s="1" t="n">
        <v>46093</v>
      </c>
      <c r="D3527" t="inlineStr">
        <is>
          <t>ÖSTERGÖTLANDS LÄN</t>
        </is>
      </c>
      <c r="E3527" t="inlineStr">
        <is>
          <t>MOTALA</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13606-2025</t>
        </is>
      </c>
      <c r="B3528" s="1" t="n">
        <v>45736.61449074074</v>
      </c>
      <c r="C3528" s="1" t="n">
        <v>46093</v>
      </c>
      <c r="D3528" t="inlineStr">
        <is>
          <t>ÖSTERGÖTLANDS LÄN</t>
        </is>
      </c>
      <c r="E3528" t="inlineStr">
        <is>
          <t>SÖDERKÖPING</t>
        </is>
      </c>
      <c r="F3528" t="inlineStr">
        <is>
          <t>Holmen skog AB</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59471-2023</t>
        </is>
      </c>
      <c r="B3529" s="1" t="n">
        <v>45254</v>
      </c>
      <c r="C3529" s="1" t="n">
        <v>46093</v>
      </c>
      <c r="D3529" t="inlineStr">
        <is>
          <t>ÖSTERGÖTLANDS LÄN</t>
        </is>
      </c>
      <c r="E3529" t="inlineStr">
        <is>
          <t>SÖDERKÖPING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59795-2023</t>
        </is>
      </c>
      <c r="B3530" s="1" t="n">
        <v>45257.45836805556</v>
      </c>
      <c r="C3530" s="1" t="n">
        <v>46093</v>
      </c>
      <c r="D3530" t="inlineStr">
        <is>
          <t>ÖSTERGÖTLANDS LÄN</t>
        </is>
      </c>
      <c r="E3530" t="inlineStr">
        <is>
          <t>FINSPÅNG</t>
        </is>
      </c>
      <c r="F3530" t="inlineStr">
        <is>
          <t>Holmen skog AB</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15029-2024</t>
        </is>
      </c>
      <c r="B3531" s="1" t="n">
        <v>45399.46633101852</v>
      </c>
      <c r="C3531" s="1" t="n">
        <v>46093</v>
      </c>
      <c r="D3531" t="inlineStr">
        <is>
          <t>ÖSTERGÖTLANDS LÄN</t>
        </is>
      </c>
      <c r="E3531" t="inlineStr">
        <is>
          <t>KINDA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15082-2024</t>
        </is>
      </c>
      <c r="B3532" s="1" t="n">
        <v>45399.62587962963</v>
      </c>
      <c r="C3532" s="1" t="n">
        <v>46093</v>
      </c>
      <c r="D3532" t="inlineStr">
        <is>
          <t>ÖSTERGÖTLANDS LÄN</t>
        </is>
      </c>
      <c r="E3532" t="inlineStr">
        <is>
          <t>NORRKÖPING</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48860-2025</t>
        </is>
      </c>
      <c r="B3533" s="1" t="n">
        <v>45937.44017361111</v>
      </c>
      <c r="C3533" s="1" t="n">
        <v>46093</v>
      </c>
      <c r="D3533" t="inlineStr">
        <is>
          <t>ÖSTERGÖTLANDS LÄN</t>
        </is>
      </c>
      <c r="E3533" t="inlineStr">
        <is>
          <t>ÖDESHÖG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36750-2025</t>
        </is>
      </c>
      <c r="B3534" s="1" t="n">
        <v>45873</v>
      </c>
      <c r="C3534" s="1" t="n">
        <v>46093</v>
      </c>
      <c r="D3534" t="inlineStr">
        <is>
          <t>ÖSTERGÖTLANDS LÄN</t>
        </is>
      </c>
      <c r="E3534" t="inlineStr">
        <is>
          <t>NORRKÖPING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49605-2025</t>
        </is>
      </c>
      <c r="B3535" s="1" t="n">
        <v>45938</v>
      </c>
      <c r="C3535" s="1" t="n">
        <v>46093</v>
      </c>
      <c r="D3535" t="inlineStr">
        <is>
          <t>ÖSTERGÖTLANDS LÄN</t>
        </is>
      </c>
      <c r="E3535" t="inlineStr">
        <is>
          <t>LINKÖPING</t>
        </is>
      </c>
      <c r="F3535" t="inlineStr">
        <is>
          <t>Övriga Aktiebolag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28266-2024</t>
        </is>
      </c>
      <c r="B3536" s="1" t="n">
        <v>45477.43600694444</v>
      </c>
      <c r="C3536" s="1" t="n">
        <v>46093</v>
      </c>
      <c r="D3536" t="inlineStr">
        <is>
          <t>ÖSTERGÖTLANDS LÄN</t>
        </is>
      </c>
      <c r="E3536" t="inlineStr">
        <is>
          <t>LINKÖPING</t>
        </is>
      </c>
      <c r="F3536" t="inlineStr">
        <is>
          <t>Sveaskog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14166-2023</t>
        </is>
      </c>
      <c r="B3537" s="1" t="n">
        <v>45009.50450231481</v>
      </c>
      <c r="C3537" s="1" t="n">
        <v>46093</v>
      </c>
      <c r="D3537" t="inlineStr">
        <is>
          <t>ÖSTERGÖTLANDS LÄN</t>
        </is>
      </c>
      <c r="E3537" t="inlineStr">
        <is>
          <t>ÖDESHÖG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35572-2024</t>
        </is>
      </c>
      <c r="B3538" s="1" t="n">
        <v>45531.64358796296</v>
      </c>
      <c r="C3538" s="1" t="n">
        <v>46093</v>
      </c>
      <c r="D3538" t="inlineStr">
        <is>
          <t>ÖSTERGÖTLANDS LÄN</t>
        </is>
      </c>
      <c r="E3538" t="inlineStr">
        <is>
          <t>KINDA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14044-2023</t>
        </is>
      </c>
      <c r="B3539" s="1" t="n">
        <v>45008.66204861111</v>
      </c>
      <c r="C3539" s="1" t="n">
        <v>46093</v>
      </c>
      <c r="D3539" t="inlineStr">
        <is>
          <t>ÖSTERGÖTLANDS LÄN</t>
        </is>
      </c>
      <c r="E3539" t="inlineStr">
        <is>
          <t>NORRKÖPING</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59838-2023</t>
        </is>
      </c>
      <c r="B3540" s="1" t="n">
        <v>45257</v>
      </c>
      <c r="C3540" s="1" t="n">
        <v>46093</v>
      </c>
      <c r="D3540" t="inlineStr">
        <is>
          <t>ÖSTERGÖTLANDS LÄN</t>
        </is>
      </c>
      <c r="E3540" t="inlineStr">
        <is>
          <t>FINSPÅNG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48917-2025</t>
        </is>
      </c>
      <c r="B3541" s="1" t="n">
        <v>45937.49260416667</v>
      </c>
      <c r="C3541" s="1" t="n">
        <v>46093</v>
      </c>
      <c r="D3541" t="inlineStr">
        <is>
          <t>ÖSTERGÖTLANDS LÄN</t>
        </is>
      </c>
      <c r="E3541" t="inlineStr">
        <is>
          <t>ÅTVIDABERG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48734-2025</t>
        </is>
      </c>
      <c r="B3542" s="1" t="n">
        <v>45936</v>
      </c>
      <c r="C3542" s="1" t="n">
        <v>46093</v>
      </c>
      <c r="D3542" t="inlineStr">
        <is>
          <t>ÖSTERGÖTLANDS LÄN</t>
        </is>
      </c>
      <c r="E3542" t="inlineStr">
        <is>
          <t>NORRKÖPING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8143-2023</t>
        </is>
      </c>
      <c r="B3543" s="1" t="n">
        <v>44974</v>
      </c>
      <c r="C3543" s="1" t="n">
        <v>46093</v>
      </c>
      <c r="D3543" t="inlineStr">
        <is>
          <t>ÖSTERGÖTLANDS LÄN</t>
        </is>
      </c>
      <c r="E3543" t="inlineStr">
        <is>
          <t>VALDEMARSVIK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8156-2023</t>
        </is>
      </c>
      <c r="B3544" s="1" t="n">
        <v>44974.46912037037</v>
      </c>
      <c r="C3544" s="1" t="n">
        <v>46093</v>
      </c>
      <c r="D3544" t="inlineStr">
        <is>
          <t>ÖSTERGÖTLANDS LÄN</t>
        </is>
      </c>
      <c r="E3544" t="inlineStr">
        <is>
          <t>SÖDERKÖPING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981-2024</t>
        </is>
      </c>
      <c r="B3545" s="1" t="n">
        <v>45301</v>
      </c>
      <c r="C3545" s="1" t="n">
        <v>46093</v>
      </c>
      <c r="D3545" t="inlineStr">
        <is>
          <t>ÖSTERGÖTLANDS LÄN</t>
        </is>
      </c>
      <c r="E3545" t="inlineStr">
        <is>
          <t>FINSPÅNG</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3263-2024</t>
        </is>
      </c>
      <c r="B3546" s="1" t="n">
        <v>45317</v>
      </c>
      <c r="C3546" s="1" t="n">
        <v>46093</v>
      </c>
      <c r="D3546" t="inlineStr">
        <is>
          <t>ÖSTERGÖTLANDS LÄN</t>
        </is>
      </c>
      <c r="E3546" t="inlineStr">
        <is>
          <t>NORRKÖPING</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1137-2024</t>
        </is>
      </c>
      <c r="B3547" s="1" t="n">
        <v>45302.48125</v>
      </c>
      <c r="C3547" s="1" t="n">
        <v>46093</v>
      </c>
      <c r="D3547" t="inlineStr">
        <is>
          <t>ÖSTERGÖTLANDS LÄN</t>
        </is>
      </c>
      <c r="E3547" t="inlineStr">
        <is>
          <t>FINSPÅNG</t>
        </is>
      </c>
      <c r="F3547" t="inlineStr">
        <is>
          <t>Holmen skog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48735-2025</t>
        </is>
      </c>
      <c r="B3548" s="1" t="n">
        <v>45936</v>
      </c>
      <c r="C3548" s="1" t="n">
        <v>46093</v>
      </c>
      <c r="D3548" t="inlineStr">
        <is>
          <t>ÖSTERGÖTLANDS LÄN</t>
        </is>
      </c>
      <c r="E3548" t="inlineStr">
        <is>
          <t>NORRKÖPING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19350-2023</t>
        </is>
      </c>
      <c r="B3549" s="1" t="n">
        <v>45049</v>
      </c>
      <c r="C3549" s="1" t="n">
        <v>46093</v>
      </c>
      <c r="D3549" t="inlineStr">
        <is>
          <t>ÖSTERGÖTLANDS LÄN</t>
        </is>
      </c>
      <c r="E3549" t="inlineStr">
        <is>
          <t>ÖDESHÖG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19121-2025</t>
        </is>
      </c>
      <c r="B3550" s="1" t="n">
        <v>45768.82865740741</v>
      </c>
      <c r="C3550" s="1" t="n">
        <v>46093</v>
      </c>
      <c r="D3550" t="inlineStr">
        <is>
          <t>ÖSTERGÖTLANDS LÄN</t>
        </is>
      </c>
      <c r="E3550" t="inlineStr">
        <is>
          <t>MOTALA</t>
        </is>
      </c>
      <c r="F3550" t="inlineStr">
        <is>
          <t>Allmännings- och besparingsskogar</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49647-2025</t>
        </is>
      </c>
      <c r="B3551" s="1" t="n">
        <v>45938</v>
      </c>
      <c r="C3551" s="1" t="n">
        <v>46093</v>
      </c>
      <c r="D3551" t="inlineStr">
        <is>
          <t>ÖSTERGÖTLANDS LÄN</t>
        </is>
      </c>
      <c r="E3551" t="inlineStr">
        <is>
          <t>LINKÖPING</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1666-2025</t>
        </is>
      </c>
      <c r="B3552" s="1" t="n">
        <v>45670.67089120371</v>
      </c>
      <c r="C3552" s="1" t="n">
        <v>46093</v>
      </c>
      <c r="D3552" t="inlineStr">
        <is>
          <t>ÖSTERGÖTLANDS LÄN</t>
        </is>
      </c>
      <c r="E3552" t="inlineStr">
        <is>
          <t>BOXHOLM</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49147-2025</t>
        </is>
      </c>
      <c r="B3553" s="1" t="n">
        <v>45938.33863425926</v>
      </c>
      <c r="C3553" s="1" t="n">
        <v>46093</v>
      </c>
      <c r="D3553" t="inlineStr">
        <is>
          <t>ÖSTERGÖTLANDS LÄN</t>
        </is>
      </c>
      <c r="E3553" t="inlineStr">
        <is>
          <t>MOTALA</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49149-2025</t>
        </is>
      </c>
      <c r="B3554" s="1" t="n">
        <v>45938.33969907407</v>
      </c>
      <c r="C3554" s="1" t="n">
        <v>46093</v>
      </c>
      <c r="D3554" t="inlineStr">
        <is>
          <t>ÖSTERGÖTLANDS LÄN</t>
        </is>
      </c>
      <c r="E3554" t="inlineStr">
        <is>
          <t>MOTALA</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50810-2023</t>
        </is>
      </c>
      <c r="B3555" s="1" t="n">
        <v>45217</v>
      </c>
      <c r="C3555" s="1" t="n">
        <v>46093</v>
      </c>
      <c r="D3555" t="inlineStr">
        <is>
          <t>ÖSTERGÖTLANDS LÄN</t>
        </is>
      </c>
      <c r="E3555" t="inlineStr">
        <is>
          <t>ÅTVIDABERG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48845-2025</t>
        </is>
      </c>
      <c r="B3556" s="1" t="n">
        <v>45937.42811342593</v>
      </c>
      <c r="C3556" s="1" t="n">
        <v>46093</v>
      </c>
      <c r="D3556" t="inlineStr">
        <is>
          <t>ÖSTERGÖTLANDS LÄN</t>
        </is>
      </c>
      <c r="E3556" t="inlineStr">
        <is>
          <t>MOTALA</t>
        </is>
      </c>
      <c r="F3556" t="inlineStr">
        <is>
          <t>Allmännings- och besparingsskogar</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6731-2023</t>
        </is>
      </c>
      <c r="B3557" s="1" t="n">
        <v>44966</v>
      </c>
      <c r="C3557" s="1" t="n">
        <v>46093</v>
      </c>
      <c r="D3557" t="inlineStr">
        <is>
          <t>ÖSTERGÖTLANDS LÄN</t>
        </is>
      </c>
      <c r="E3557" t="inlineStr">
        <is>
          <t>FINSPÅNG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6738-2023</t>
        </is>
      </c>
      <c r="B3558" s="1" t="n">
        <v>44966.74954861111</v>
      </c>
      <c r="C3558" s="1" t="n">
        <v>46093</v>
      </c>
      <c r="D3558" t="inlineStr">
        <is>
          <t>ÖSTERGÖTLANDS LÄN</t>
        </is>
      </c>
      <c r="E3558" t="inlineStr">
        <is>
          <t>FINSPÅNG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12412-2025</t>
        </is>
      </c>
      <c r="B3559" s="1" t="n">
        <v>45730.43697916667</v>
      </c>
      <c r="C3559" s="1" t="n">
        <v>46093</v>
      </c>
      <c r="D3559" t="inlineStr">
        <is>
          <t>ÖSTERGÖTLANDS LÄN</t>
        </is>
      </c>
      <c r="E3559" t="inlineStr">
        <is>
          <t>MJÖLBY</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59741-2023</t>
        </is>
      </c>
      <c r="B3560" s="1" t="n">
        <v>45257</v>
      </c>
      <c r="C3560" s="1" t="n">
        <v>46093</v>
      </c>
      <c r="D3560" t="inlineStr">
        <is>
          <t>ÖSTERGÖTLANDS LÄN</t>
        </is>
      </c>
      <c r="E3560" t="inlineStr">
        <is>
          <t>VALDEMARSVIK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49633-2025</t>
        </is>
      </c>
      <c r="B3561" s="1" t="n">
        <v>45938</v>
      </c>
      <c r="C3561" s="1" t="n">
        <v>46093</v>
      </c>
      <c r="D3561" t="inlineStr">
        <is>
          <t>ÖSTERGÖTLANDS LÄN</t>
        </is>
      </c>
      <c r="E3561" t="inlineStr">
        <is>
          <t>LINKÖPING</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49658-2025</t>
        </is>
      </c>
      <c r="B3562" s="1" t="n">
        <v>45938</v>
      </c>
      <c r="C3562" s="1" t="n">
        <v>46093</v>
      </c>
      <c r="D3562" t="inlineStr">
        <is>
          <t>ÖSTERGÖTLANDS LÄN</t>
        </is>
      </c>
      <c r="E3562" t="inlineStr">
        <is>
          <t>ÅTVIDABERG</t>
        </is>
      </c>
      <c r="F3562" t="inlineStr">
        <is>
          <t>Övriga Aktiebolag</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49663-2025</t>
        </is>
      </c>
      <c r="B3563" s="1" t="n">
        <v>45938</v>
      </c>
      <c r="C3563" s="1" t="n">
        <v>46093</v>
      </c>
      <c r="D3563" t="inlineStr">
        <is>
          <t>ÖSTERGÖTLANDS LÄN</t>
        </is>
      </c>
      <c r="E3563" t="inlineStr">
        <is>
          <t>LINKÖPING</t>
        </is>
      </c>
      <c r="F3563" t="inlineStr">
        <is>
          <t>Övriga Aktiebolag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11728-2025</t>
        </is>
      </c>
      <c r="B3564" s="1" t="n">
        <v>45727.61766203704</v>
      </c>
      <c r="C3564" s="1" t="n">
        <v>46093</v>
      </c>
      <c r="D3564" t="inlineStr">
        <is>
          <t>ÖSTERGÖTLANDS LÄN</t>
        </is>
      </c>
      <c r="E3564" t="inlineStr">
        <is>
          <t>FINSPÅNG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26620-2023</t>
        </is>
      </c>
      <c r="B3565" s="1" t="n">
        <v>45092.70390046296</v>
      </c>
      <c r="C3565" s="1" t="n">
        <v>46093</v>
      </c>
      <c r="D3565" t="inlineStr">
        <is>
          <t>ÖSTERGÖTLANDS LÄN</t>
        </is>
      </c>
      <c r="E3565" t="inlineStr">
        <is>
          <t>LINKÖPING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8590-2024</t>
        </is>
      </c>
      <c r="B3566" s="1" t="n">
        <v>45352</v>
      </c>
      <c r="C3566" s="1" t="n">
        <v>46093</v>
      </c>
      <c r="D3566" t="inlineStr">
        <is>
          <t>ÖSTERGÖTLANDS LÄN</t>
        </is>
      </c>
      <c r="E3566" t="inlineStr">
        <is>
          <t>KINDA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31548-2022</t>
        </is>
      </c>
      <c r="B3567" s="1" t="n">
        <v>44775.39832175926</v>
      </c>
      <c r="C3567" s="1" t="n">
        <v>46093</v>
      </c>
      <c r="D3567" t="inlineStr">
        <is>
          <t>ÖSTERGÖTLANDS LÄN</t>
        </is>
      </c>
      <c r="E3567" t="inlineStr">
        <is>
          <t>LINKÖPING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49119-2025</t>
        </is>
      </c>
      <c r="B3568" s="1" t="n">
        <v>45937.82136574074</v>
      </c>
      <c r="C3568" s="1" t="n">
        <v>46093</v>
      </c>
      <c r="D3568" t="inlineStr">
        <is>
          <t>ÖSTERGÖTLANDS LÄN</t>
        </is>
      </c>
      <c r="E3568" t="inlineStr">
        <is>
          <t>BOXHOLM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8064-2024</t>
        </is>
      </c>
      <c r="B3569" s="1" t="n">
        <v>45351.40523148148</v>
      </c>
      <c r="C3569" s="1" t="n">
        <v>46093</v>
      </c>
      <c r="D3569" t="inlineStr">
        <is>
          <t>ÖSTERGÖTLANDS LÄN</t>
        </is>
      </c>
      <c r="E3569" t="inlineStr">
        <is>
          <t>KINDA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49455-2025</t>
        </is>
      </c>
      <c r="B3570" s="1" t="n">
        <v>45938</v>
      </c>
      <c r="C3570" s="1" t="n">
        <v>46093</v>
      </c>
      <c r="D3570" t="inlineStr">
        <is>
          <t>ÖSTERGÖTLANDS LÄN</t>
        </is>
      </c>
      <c r="E3570" t="inlineStr">
        <is>
          <t>LINKÖPING</t>
        </is>
      </c>
      <c r="F3570" t="inlineStr">
        <is>
          <t>Övriga Aktiebolag</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36725-2022</t>
        </is>
      </c>
      <c r="B3571" s="1" t="n">
        <v>44804</v>
      </c>
      <c r="C3571" s="1" t="n">
        <v>46093</v>
      </c>
      <c r="D3571" t="inlineStr">
        <is>
          <t>ÖSTERGÖTLANDS LÄN</t>
        </is>
      </c>
      <c r="E3571" t="inlineStr">
        <is>
          <t>MOTALA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34417-2025</t>
        </is>
      </c>
      <c r="B3572" s="1" t="n">
        <v>45846</v>
      </c>
      <c r="C3572" s="1" t="n">
        <v>46093</v>
      </c>
      <c r="D3572" t="inlineStr">
        <is>
          <t>ÖSTERGÖTLANDS LÄN</t>
        </is>
      </c>
      <c r="E3572" t="inlineStr">
        <is>
          <t>FINSPÅNG</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1020-2024</t>
        </is>
      </c>
      <c r="B3573" s="1" t="n">
        <v>45301</v>
      </c>
      <c r="C3573" s="1" t="n">
        <v>46093</v>
      </c>
      <c r="D3573" t="inlineStr">
        <is>
          <t>ÖSTERGÖTLANDS LÄN</t>
        </is>
      </c>
      <c r="E3573" t="inlineStr">
        <is>
          <t>FINSPÅNG</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5649-2023</t>
        </is>
      </c>
      <c r="B3574" s="1" t="n">
        <v>44960</v>
      </c>
      <c r="C3574" s="1" t="n">
        <v>46093</v>
      </c>
      <c r="D3574" t="inlineStr">
        <is>
          <t>ÖSTERGÖTLANDS LÄN</t>
        </is>
      </c>
      <c r="E3574" t="inlineStr">
        <is>
          <t>KINDA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18391-2025</t>
        </is>
      </c>
      <c r="B3575" s="1" t="n">
        <v>45762.59148148148</v>
      </c>
      <c r="C3575" s="1" t="n">
        <v>46093</v>
      </c>
      <c r="D3575" t="inlineStr">
        <is>
          <t>ÖSTERGÖTLANDS LÄN</t>
        </is>
      </c>
      <c r="E3575" t="inlineStr">
        <is>
          <t>MOTALA</t>
        </is>
      </c>
      <c r="F3575" t="inlineStr">
        <is>
          <t>Sveaskog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6261-2023</t>
        </is>
      </c>
      <c r="B3576" s="1" t="n">
        <v>44965</v>
      </c>
      <c r="C3576" s="1" t="n">
        <v>46093</v>
      </c>
      <c r="D3576" t="inlineStr">
        <is>
          <t>ÖSTERGÖTLANDS LÄN</t>
        </is>
      </c>
      <c r="E3576" t="inlineStr">
        <is>
          <t>NORRKÖPING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21982-2022</t>
        </is>
      </c>
      <c r="B3577" s="1" t="n">
        <v>44711.55232638889</v>
      </c>
      <c r="C3577" s="1" t="n">
        <v>46093</v>
      </c>
      <c r="D3577" t="inlineStr">
        <is>
          <t>ÖSTERGÖTLANDS LÄN</t>
        </is>
      </c>
      <c r="E3577" t="inlineStr">
        <is>
          <t>YDRE</t>
        </is>
      </c>
      <c r="F3577" t="inlineStr">
        <is>
          <t>Övriga Aktiebolag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5528-2025</t>
        </is>
      </c>
      <c r="B3578" s="1" t="n">
        <v>45693.43223379629</v>
      </c>
      <c r="C3578" s="1" t="n">
        <v>46093</v>
      </c>
      <c r="D3578" t="inlineStr">
        <is>
          <t>ÖSTERGÖTLANDS LÄN</t>
        </is>
      </c>
      <c r="E3578" t="inlineStr">
        <is>
          <t>MOTALA</t>
        </is>
      </c>
      <c r="F3578" t="inlineStr">
        <is>
          <t>Allmännings- och besparingsskogar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27513-2023</t>
        </is>
      </c>
      <c r="B3579" s="1" t="n">
        <v>45097</v>
      </c>
      <c r="C3579" s="1" t="n">
        <v>46093</v>
      </c>
      <c r="D3579" t="inlineStr">
        <is>
          <t>ÖSTERGÖTLANDS LÄN</t>
        </is>
      </c>
      <c r="E3579" t="inlineStr">
        <is>
          <t>ÅTVIDABERG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49652-2025</t>
        </is>
      </c>
      <c r="B3580" s="1" t="n">
        <v>45938</v>
      </c>
      <c r="C3580" s="1" t="n">
        <v>46093</v>
      </c>
      <c r="D3580" t="inlineStr">
        <is>
          <t>ÖSTERGÖTLANDS LÄN</t>
        </is>
      </c>
      <c r="E3580" t="inlineStr">
        <is>
          <t>LINKÖPING</t>
        </is>
      </c>
      <c r="F3580" t="inlineStr">
        <is>
          <t>Övriga Aktiebolag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49654-2025</t>
        </is>
      </c>
      <c r="B3581" s="1" t="n">
        <v>45938</v>
      </c>
      <c r="C3581" s="1" t="n">
        <v>46093</v>
      </c>
      <c r="D3581" t="inlineStr">
        <is>
          <t>ÖSTERGÖTLANDS LÄN</t>
        </is>
      </c>
      <c r="E3581" t="inlineStr">
        <is>
          <t>LINKÖPING</t>
        </is>
      </c>
      <c r="F3581" t="inlineStr">
        <is>
          <t>Övriga Aktiebolag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63242-2023</t>
        </is>
      </c>
      <c r="B3582" s="1" t="n">
        <v>45273.66292824074</v>
      </c>
      <c r="C3582" s="1" t="n">
        <v>46093</v>
      </c>
      <c r="D3582" t="inlineStr">
        <is>
          <t>ÖSTERGÖTLANDS LÄN</t>
        </is>
      </c>
      <c r="E3582" t="inlineStr">
        <is>
          <t>YDRE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1211-2023</t>
        </is>
      </c>
      <c r="B3583" s="1" t="n">
        <v>44930</v>
      </c>
      <c r="C3583" s="1" t="n">
        <v>46093</v>
      </c>
      <c r="D3583" t="inlineStr">
        <is>
          <t>ÖSTERGÖTLANDS LÄN</t>
        </is>
      </c>
      <c r="E3583" t="inlineStr">
        <is>
          <t>LINKÖPING</t>
        </is>
      </c>
      <c r="F3583" t="inlineStr">
        <is>
          <t>Övriga statliga verk och myndigheter</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46093</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16289-2022</t>
        </is>
      </c>
      <c r="B3585" s="1" t="n">
        <v>44670</v>
      </c>
      <c r="C3585" s="1" t="n">
        <v>46093</v>
      </c>
      <c r="D3585" t="inlineStr">
        <is>
          <t>ÖSTERGÖTLANDS LÄN</t>
        </is>
      </c>
      <c r="E3585" t="inlineStr">
        <is>
          <t>YDRE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14899-2023</t>
        </is>
      </c>
      <c r="B3586" s="1" t="n">
        <v>45014</v>
      </c>
      <c r="C3586" s="1" t="n">
        <v>46093</v>
      </c>
      <c r="D3586" t="inlineStr">
        <is>
          <t>ÖSTERGÖTLANDS LÄN</t>
        </is>
      </c>
      <c r="E3586" t="inlineStr">
        <is>
          <t>NORRKÖPING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49619-2025</t>
        </is>
      </c>
      <c r="B3587" s="1" t="n">
        <v>45938</v>
      </c>
      <c r="C3587" s="1" t="n">
        <v>46093</v>
      </c>
      <c r="D3587" t="inlineStr">
        <is>
          <t>ÖSTERGÖTLANDS LÄN</t>
        </is>
      </c>
      <c r="E3587" t="inlineStr">
        <is>
          <t>LINKÖPING</t>
        </is>
      </c>
      <c r="F3587" t="inlineStr">
        <is>
          <t>Övriga Aktiebolag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49629-2025</t>
        </is>
      </c>
      <c r="B3588" s="1" t="n">
        <v>45938</v>
      </c>
      <c r="C3588" s="1" t="n">
        <v>46093</v>
      </c>
      <c r="D3588" t="inlineStr">
        <is>
          <t>ÖSTERGÖTLANDS LÄN</t>
        </is>
      </c>
      <c r="E3588" t="inlineStr">
        <is>
          <t>LINKÖPING</t>
        </is>
      </c>
      <c r="F3588" t="inlineStr">
        <is>
          <t>Övriga Aktiebolag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49650-2025</t>
        </is>
      </c>
      <c r="B3589" s="1" t="n">
        <v>45938</v>
      </c>
      <c r="C3589" s="1" t="n">
        <v>46093</v>
      </c>
      <c r="D3589" t="inlineStr">
        <is>
          <t>ÖSTERGÖTLANDS LÄN</t>
        </is>
      </c>
      <c r="E3589" t="inlineStr">
        <is>
          <t>LINKÖPING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61514-2023</t>
        </is>
      </c>
      <c r="B3590" s="1" t="n">
        <v>45265</v>
      </c>
      <c r="C3590" s="1" t="n">
        <v>46093</v>
      </c>
      <c r="D3590" t="inlineStr">
        <is>
          <t>ÖSTERGÖTLANDS LÄN</t>
        </is>
      </c>
      <c r="E3590" t="inlineStr">
        <is>
          <t>SÖDERKÖPING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51191-2022</t>
        </is>
      </c>
      <c r="B3591" s="1" t="n">
        <v>44865</v>
      </c>
      <c r="C3591" s="1" t="n">
        <v>46093</v>
      </c>
      <c r="D3591" t="inlineStr">
        <is>
          <t>ÖSTERGÖTLANDS LÄN</t>
        </is>
      </c>
      <c r="E3591" t="inlineStr">
        <is>
          <t>LINKÖPING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2030-2024</t>
        </is>
      </c>
      <c r="B3592" s="1" t="n">
        <v>45308.76549768518</v>
      </c>
      <c r="C3592" s="1" t="n">
        <v>46093</v>
      </c>
      <c r="D3592" t="inlineStr">
        <is>
          <t>ÖSTERGÖTLANDS LÄN</t>
        </is>
      </c>
      <c r="E3592" t="inlineStr">
        <is>
          <t>ÅTVIDABERG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49632-2025</t>
        </is>
      </c>
      <c r="B3593" s="1" t="n">
        <v>45938</v>
      </c>
      <c r="C3593" s="1" t="n">
        <v>46093</v>
      </c>
      <c r="D3593" t="inlineStr">
        <is>
          <t>ÖSTERGÖTLANDS LÄN</t>
        </is>
      </c>
      <c r="E3593" t="inlineStr">
        <is>
          <t>LINKÖPING</t>
        </is>
      </c>
      <c r="F3593" t="inlineStr">
        <is>
          <t>Övriga Aktiebolag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24254-2022</t>
        </is>
      </c>
      <c r="B3594" s="1" t="n">
        <v>44725.680625</v>
      </c>
      <c r="C3594" s="1" t="n">
        <v>46093</v>
      </c>
      <c r="D3594" t="inlineStr">
        <is>
          <t>ÖSTERGÖTLANDS LÄN</t>
        </is>
      </c>
      <c r="E3594" t="inlineStr">
        <is>
          <t>MOTALA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49615-2025</t>
        </is>
      </c>
      <c r="B3595" s="1" t="n">
        <v>45938</v>
      </c>
      <c r="C3595" s="1" t="n">
        <v>46093</v>
      </c>
      <c r="D3595" t="inlineStr">
        <is>
          <t>ÖSTERGÖTLANDS LÄN</t>
        </is>
      </c>
      <c r="E3595" t="inlineStr">
        <is>
          <t>LINKÖPING</t>
        </is>
      </c>
      <c r="F3595" t="inlineStr">
        <is>
          <t>Övriga Aktiebolag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27892-2023</t>
        </is>
      </c>
      <c r="B3596" s="1" t="n">
        <v>45095</v>
      </c>
      <c r="C3596" s="1" t="n">
        <v>46093</v>
      </c>
      <c r="D3596" t="inlineStr">
        <is>
          <t>ÖSTERGÖTLANDS LÄN</t>
        </is>
      </c>
      <c r="E3596" t="inlineStr">
        <is>
          <t>FINSPÅNG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12568-2025</t>
        </is>
      </c>
      <c r="B3597" s="1" t="n">
        <v>45731.65049768519</v>
      </c>
      <c r="C3597" s="1" t="n">
        <v>46093</v>
      </c>
      <c r="D3597" t="inlineStr">
        <is>
          <t>ÖSTERGÖTLANDS LÄN</t>
        </is>
      </c>
      <c r="E3597" t="inlineStr">
        <is>
          <t>KINDA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49785-2025</t>
        </is>
      </c>
      <c r="B3598" s="1" t="n">
        <v>45940.39841435185</v>
      </c>
      <c r="C3598" s="1" t="n">
        <v>46093</v>
      </c>
      <c r="D3598" t="inlineStr">
        <is>
          <t>ÖSTERGÖTLANDS LÄN</t>
        </is>
      </c>
      <c r="E3598" t="inlineStr">
        <is>
          <t>NORRKÖPING</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4494-2023</t>
        </is>
      </c>
      <c r="B3599" s="1" t="n">
        <v>44956.54967592593</v>
      </c>
      <c r="C3599" s="1" t="n">
        <v>46093</v>
      </c>
      <c r="D3599" t="inlineStr">
        <is>
          <t>ÖSTERGÖTLANDS LÄN</t>
        </is>
      </c>
      <c r="E3599" t="inlineStr">
        <is>
          <t>NORRKÖPING</t>
        </is>
      </c>
      <c r="F3599" t="inlineStr">
        <is>
          <t>Holmen skog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4498-2023</t>
        </is>
      </c>
      <c r="B3600" s="1" t="n">
        <v>44956.55607638889</v>
      </c>
      <c r="C3600" s="1" t="n">
        <v>46093</v>
      </c>
      <c r="D3600" t="inlineStr">
        <is>
          <t>ÖSTERGÖTLANDS LÄN</t>
        </is>
      </c>
      <c r="E3600" t="inlineStr">
        <is>
          <t>SÖDERKÖPING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56140-2024</t>
        </is>
      </c>
      <c r="B3601" s="1" t="n">
        <v>45624</v>
      </c>
      <c r="C3601" s="1" t="n">
        <v>46093</v>
      </c>
      <c r="D3601" t="inlineStr">
        <is>
          <t>ÖSTERGÖTLANDS LÄN</t>
        </is>
      </c>
      <c r="E3601" t="inlineStr">
        <is>
          <t>KINDA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56180-2024</t>
        </is>
      </c>
      <c r="B3602" s="1" t="n">
        <v>45624.56611111111</v>
      </c>
      <c r="C3602" s="1" t="n">
        <v>46093</v>
      </c>
      <c r="D3602" t="inlineStr">
        <is>
          <t>ÖSTERGÖTLANDS LÄN</t>
        </is>
      </c>
      <c r="E3602" t="inlineStr">
        <is>
          <t>LINKÖPING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3486-2023</t>
        </is>
      </c>
      <c r="B3603" s="1" t="n">
        <v>44949.73369212963</v>
      </c>
      <c r="C3603" s="1" t="n">
        <v>46093</v>
      </c>
      <c r="D3603" t="inlineStr">
        <is>
          <t>ÖSTERGÖTLANDS LÄN</t>
        </is>
      </c>
      <c r="E3603" t="inlineStr">
        <is>
          <t>KINDA</t>
        </is>
      </c>
      <c r="F3603" t="inlineStr">
        <is>
          <t>Kyrkan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49883-2025</t>
        </is>
      </c>
      <c r="B3604" s="1" t="n">
        <v>45940.56829861111</v>
      </c>
      <c r="C3604" s="1" t="n">
        <v>46093</v>
      </c>
      <c r="D3604" t="inlineStr">
        <is>
          <t>ÖSTERGÖTLANDS LÄN</t>
        </is>
      </c>
      <c r="E3604" t="inlineStr">
        <is>
          <t>YDRE</t>
        </is>
      </c>
      <c r="F3604" t="inlineStr">
        <is>
          <t>Kyrkan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49778-2022</t>
        </is>
      </c>
      <c r="B3605" s="1" t="n">
        <v>44862</v>
      </c>
      <c r="C3605" s="1" t="n">
        <v>46093</v>
      </c>
      <c r="D3605" t="inlineStr">
        <is>
          <t>ÖSTERGÖTLANDS LÄN</t>
        </is>
      </c>
      <c r="E3605" t="inlineStr">
        <is>
          <t>NORRKÖPING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33540-2023</t>
        </is>
      </c>
      <c r="B3606" s="1" t="n">
        <v>45118</v>
      </c>
      <c r="C3606" s="1" t="n">
        <v>46093</v>
      </c>
      <c r="D3606" t="inlineStr">
        <is>
          <t>ÖSTERGÖTLANDS LÄN</t>
        </is>
      </c>
      <c r="E3606" t="inlineStr">
        <is>
          <t>ÅTVIDABERG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30922-2022</t>
        </is>
      </c>
      <c r="B3607" s="1" t="n">
        <v>44767</v>
      </c>
      <c r="C3607" s="1" t="n">
        <v>46093</v>
      </c>
      <c r="D3607" t="inlineStr">
        <is>
          <t>ÖSTERGÖTLANDS LÄN</t>
        </is>
      </c>
      <c r="E3607" t="inlineStr">
        <is>
          <t>FINSPÅNG</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17711-2025</t>
        </is>
      </c>
      <c r="B3608" s="1" t="n">
        <v>45758.44194444444</v>
      </c>
      <c r="C3608" s="1" t="n">
        <v>46093</v>
      </c>
      <c r="D3608" t="inlineStr">
        <is>
          <t>ÖSTERGÖTLANDS LÄN</t>
        </is>
      </c>
      <c r="E3608" t="inlineStr">
        <is>
          <t>VALDEMARSVIK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17728-2025</t>
        </is>
      </c>
      <c r="B3609" s="1" t="n">
        <v>45758.4608912037</v>
      </c>
      <c r="C3609" s="1" t="n">
        <v>46093</v>
      </c>
      <c r="D3609" t="inlineStr">
        <is>
          <t>ÖSTERGÖTLANDS LÄN</t>
        </is>
      </c>
      <c r="E3609" t="inlineStr">
        <is>
          <t>BOXHOLM</t>
        </is>
      </c>
      <c r="F3609" t="inlineStr">
        <is>
          <t>Övriga Aktiebolag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46806-2024</t>
        </is>
      </c>
      <c r="B3610" s="1" t="n">
        <v>45583.55850694444</v>
      </c>
      <c r="C3610" s="1" t="n">
        <v>46093</v>
      </c>
      <c r="D3610" t="inlineStr">
        <is>
          <t>ÖSTERGÖTLANDS LÄN</t>
        </is>
      </c>
      <c r="E3610" t="inlineStr">
        <is>
          <t>NORRKÖPING</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8805-2024</t>
        </is>
      </c>
      <c r="B3611" s="1" t="n">
        <v>45356.64724537037</v>
      </c>
      <c r="C3611" s="1" t="n">
        <v>46093</v>
      </c>
      <c r="D3611" t="inlineStr">
        <is>
          <t>ÖSTERGÖTLANDS LÄN</t>
        </is>
      </c>
      <c r="E3611" t="inlineStr">
        <is>
          <t>NORRKÖPING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1674-2023</t>
        </is>
      </c>
      <c r="B3612" s="1" t="n">
        <v>44938.38943287037</v>
      </c>
      <c r="C3612" s="1" t="n">
        <v>46093</v>
      </c>
      <c r="D3612" t="inlineStr">
        <is>
          <t>ÖSTERGÖTLANDS LÄN</t>
        </is>
      </c>
      <c r="E3612" t="inlineStr">
        <is>
          <t>ÖDESHÖG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49895-2025</t>
        </is>
      </c>
      <c r="B3613" s="1" t="n">
        <v>45940.58193287037</v>
      </c>
      <c r="C3613" s="1" t="n">
        <v>46093</v>
      </c>
      <c r="D3613" t="inlineStr">
        <is>
          <t>ÖSTERGÖTLANDS LÄN</t>
        </is>
      </c>
      <c r="E3613" t="inlineStr">
        <is>
          <t>YDRE</t>
        </is>
      </c>
      <c r="F3613" t="inlineStr">
        <is>
          <t>Kyrkan</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9576-2024</t>
        </is>
      </c>
      <c r="B3614" s="1" t="n">
        <v>45360.41204861111</v>
      </c>
      <c r="C3614" s="1" t="n">
        <v>46093</v>
      </c>
      <c r="D3614" t="inlineStr">
        <is>
          <t>ÖSTERGÖTLANDS LÄN</t>
        </is>
      </c>
      <c r="E3614" t="inlineStr">
        <is>
          <t>KINDA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9600-2024</t>
        </is>
      </c>
      <c r="B3615" s="1" t="n">
        <v>45361.37284722222</v>
      </c>
      <c r="C3615" s="1" t="n">
        <v>46093</v>
      </c>
      <c r="D3615" t="inlineStr">
        <is>
          <t>ÖSTERGÖTLANDS LÄN</t>
        </is>
      </c>
      <c r="E3615" t="inlineStr">
        <is>
          <t>KINDA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1680-2023</t>
        </is>
      </c>
      <c r="B3616" s="1" t="n">
        <v>44938.39666666667</v>
      </c>
      <c r="C3616" s="1" t="n">
        <v>46093</v>
      </c>
      <c r="D3616" t="inlineStr">
        <is>
          <t>ÖSTERGÖTLANDS LÄN</t>
        </is>
      </c>
      <c r="E3616" t="inlineStr">
        <is>
          <t>ÅTVIDABERG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49451-2025</t>
        </is>
      </c>
      <c r="B3617" s="1" t="n">
        <v>45938.97168981482</v>
      </c>
      <c r="C3617" s="1" t="n">
        <v>46093</v>
      </c>
      <c r="D3617" t="inlineStr">
        <is>
          <t>ÖSTERGÖTLANDS LÄN</t>
        </is>
      </c>
      <c r="E3617" t="inlineStr">
        <is>
          <t>YDRE</t>
        </is>
      </c>
      <c r="F3617" t="inlineStr">
        <is>
          <t>Övriga Aktiebolag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49452-2025</t>
        </is>
      </c>
      <c r="B3618" s="1" t="n">
        <v>45938.97212962963</v>
      </c>
      <c r="C3618" s="1" t="n">
        <v>46093</v>
      </c>
      <c r="D3618" t="inlineStr">
        <is>
          <t>ÖSTERGÖTLANDS LÄN</t>
        </is>
      </c>
      <c r="E3618" t="inlineStr">
        <is>
          <t>YDRE</t>
        </is>
      </c>
      <c r="F3618" t="inlineStr">
        <is>
          <t>Övriga Aktiebolag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52567-2024</t>
        </is>
      </c>
      <c r="B3619" s="1" t="n">
        <v>45609.65891203703</v>
      </c>
      <c r="C3619" s="1" t="n">
        <v>46093</v>
      </c>
      <c r="D3619" t="inlineStr">
        <is>
          <t>ÖSTERGÖTLANDS LÄN</t>
        </is>
      </c>
      <c r="E3619" t="inlineStr">
        <is>
          <t>FINSPÅNG</t>
        </is>
      </c>
      <c r="F3619" t="inlineStr">
        <is>
          <t>Holmen skog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49450-2025</t>
        </is>
      </c>
      <c r="B3620" s="1" t="n">
        <v>45938.97099537037</v>
      </c>
      <c r="C3620" s="1" t="n">
        <v>46093</v>
      </c>
      <c r="D3620" t="inlineStr">
        <is>
          <t>ÖSTERGÖTLANDS LÄN</t>
        </is>
      </c>
      <c r="E3620" t="inlineStr">
        <is>
          <t>YDRE</t>
        </is>
      </c>
      <c r="F3620" t="inlineStr">
        <is>
          <t>Övriga Aktiebolag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17660-2025</t>
        </is>
      </c>
      <c r="B3621" s="1" t="n">
        <v>45758.35732638889</v>
      </c>
      <c r="C3621" s="1" t="n">
        <v>46093</v>
      </c>
      <c r="D3621" t="inlineStr">
        <is>
          <t>ÖSTERGÖTLANDS LÄN</t>
        </is>
      </c>
      <c r="E3621" t="inlineStr">
        <is>
          <t>NORRKÖPING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17671-2025</t>
        </is>
      </c>
      <c r="B3622" s="1" t="n">
        <v>45758.36788194445</v>
      </c>
      <c r="C3622" s="1" t="n">
        <v>46093</v>
      </c>
      <c r="D3622" t="inlineStr">
        <is>
          <t>ÖSTERGÖTLANDS LÄN</t>
        </is>
      </c>
      <c r="E3622" t="inlineStr">
        <is>
          <t>KINDA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34961-2022</t>
        </is>
      </c>
      <c r="B3623" s="1" t="n">
        <v>44796</v>
      </c>
      <c r="C3623" s="1" t="n">
        <v>46093</v>
      </c>
      <c r="D3623" t="inlineStr">
        <is>
          <t>ÖSTERGÖTLANDS LÄN</t>
        </is>
      </c>
      <c r="E3623" t="inlineStr">
        <is>
          <t>ÖDESHÖG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49456-2025</t>
        </is>
      </c>
      <c r="B3624" s="1" t="n">
        <v>45939.27697916667</v>
      </c>
      <c r="C3624" s="1" t="n">
        <v>46093</v>
      </c>
      <c r="D3624" t="inlineStr">
        <is>
          <t>ÖSTERGÖTLANDS LÄN</t>
        </is>
      </c>
      <c r="E3624" t="inlineStr">
        <is>
          <t>MOTALA</t>
        </is>
      </c>
      <c r="F3624" t="inlineStr">
        <is>
          <t>Sveaskog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16162-2023</t>
        </is>
      </c>
      <c r="B3625" s="1" t="n">
        <v>45027</v>
      </c>
      <c r="C3625" s="1" t="n">
        <v>46093</v>
      </c>
      <c r="D3625" t="inlineStr">
        <is>
          <t>ÖSTERGÖTLANDS LÄN</t>
        </is>
      </c>
      <c r="E3625" t="inlineStr">
        <is>
          <t>ÖDESHÖG</t>
        </is>
      </c>
      <c r="F3625" t="inlineStr">
        <is>
          <t>Allmännings- och besparingsskogar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9696-2025</t>
        </is>
      </c>
      <c r="B3626" s="1" t="n">
        <v>45716.37259259259</v>
      </c>
      <c r="C3626" s="1" t="n">
        <v>46093</v>
      </c>
      <c r="D3626" t="inlineStr">
        <is>
          <t>ÖSTERGÖTLANDS LÄN</t>
        </is>
      </c>
      <c r="E3626" t="inlineStr">
        <is>
          <t>NORRKÖPING</t>
        </is>
      </c>
      <c r="F3626" t="inlineStr">
        <is>
          <t>Holmen skog AB</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49781-2025</t>
        </is>
      </c>
      <c r="B3627" s="1" t="n">
        <v>45940.39386574074</v>
      </c>
      <c r="C3627" s="1" t="n">
        <v>46093</v>
      </c>
      <c r="D3627" t="inlineStr">
        <is>
          <t>ÖSTERGÖTLANDS LÄN</t>
        </is>
      </c>
      <c r="E3627" t="inlineStr">
        <is>
          <t>NORRKÖPING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938-2023</t>
        </is>
      </c>
      <c r="B3628" s="1" t="n">
        <v>44933</v>
      </c>
      <c r="C3628" s="1" t="n">
        <v>46093</v>
      </c>
      <c r="D3628" t="inlineStr">
        <is>
          <t>ÖSTERGÖTLANDS LÄN</t>
        </is>
      </c>
      <c r="E3628" t="inlineStr">
        <is>
          <t>LINKÖPING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49890-2025</t>
        </is>
      </c>
      <c r="B3629" s="1" t="n">
        <v>45940.57583333334</v>
      </c>
      <c r="C3629" s="1" t="n">
        <v>46093</v>
      </c>
      <c r="D3629" t="inlineStr">
        <is>
          <t>ÖSTERGÖTLANDS LÄN</t>
        </is>
      </c>
      <c r="E3629" t="inlineStr">
        <is>
          <t>YDRE</t>
        </is>
      </c>
      <c r="F3629" t="inlineStr">
        <is>
          <t>Kyrkan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55632-2022</t>
        </is>
      </c>
      <c r="B3630" s="1" t="n">
        <v>44888</v>
      </c>
      <c r="C3630" s="1" t="n">
        <v>46093</v>
      </c>
      <c r="D3630" t="inlineStr">
        <is>
          <t>ÖSTERGÖTLANDS LÄN</t>
        </is>
      </c>
      <c r="E3630" t="inlineStr">
        <is>
          <t>LINKÖPING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1016-2023</t>
        </is>
      </c>
      <c r="B3631" s="1" t="n">
        <v>44935</v>
      </c>
      <c r="C3631" s="1" t="n">
        <v>46093</v>
      </c>
      <c r="D3631" t="inlineStr">
        <is>
          <t>ÖSTERGÖTLANDS LÄN</t>
        </is>
      </c>
      <c r="E3631" t="inlineStr">
        <is>
          <t>ÅTVIDABERG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6104-2022</t>
        </is>
      </c>
      <c r="B3632" s="1" t="n">
        <v>44599</v>
      </c>
      <c r="C3632" s="1" t="n">
        <v>46093</v>
      </c>
      <c r="D3632" t="inlineStr">
        <is>
          <t>ÖSTERGÖTLANDS LÄN</t>
        </is>
      </c>
      <c r="E3632" t="inlineStr">
        <is>
          <t>KINDA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62033-2023</t>
        </is>
      </c>
      <c r="B3633" s="1" t="n">
        <v>45266.66998842593</v>
      </c>
      <c r="C3633" s="1" t="n">
        <v>46093</v>
      </c>
      <c r="D3633" t="inlineStr">
        <is>
          <t>ÖSTERGÖTLANDS LÄN</t>
        </is>
      </c>
      <c r="E3633" t="inlineStr">
        <is>
          <t>NORRKÖPING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49732-2025</t>
        </is>
      </c>
      <c r="B3634" s="1" t="n">
        <v>45939.98322916667</v>
      </c>
      <c r="C3634" s="1" t="n">
        <v>46093</v>
      </c>
      <c r="D3634" t="inlineStr">
        <is>
          <t>ÖSTERGÖTLANDS LÄN</t>
        </is>
      </c>
      <c r="E3634" t="inlineStr">
        <is>
          <t>MOTALA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5615-2023</t>
        </is>
      </c>
      <c r="B3635" s="1" t="n">
        <v>44958</v>
      </c>
      <c r="C3635" s="1" t="n">
        <v>46093</v>
      </c>
      <c r="D3635" t="inlineStr">
        <is>
          <t>ÖSTERGÖTLANDS LÄN</t>
        </is>
      </c>
      <c r="E3635" t="inlineStr">
        <is>
          <t>SÖDERKÖPING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49499-2025</t>
        </is>
      </c>
      <c r="B3636" s="1" t="n">
        <v>45939.36716435185</v>
      </c>
      <c r="C3636" s="1" t="n">
        <v>46093</v>
      </c>
      <c r="D3636" t="inlineStr">
        <is>
          <t>ÖSTERGÖTLANDS LÄN</t>
        </is>
      </c>
      <c r="E3636" t="inlineStr">
        <is>
          <t>ÅTVIDABERG</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48958-2025</t>
        </is>
      </c>
      <c r="B3637" s="1" t="n">
        <v>45937</v>
      </c>
      <c r="C3637" s="1" t="n">
        <v>46093</v>
      </c>
      <c r="D3637" t="inlineStr">
        <is>
          <t>ÖSTERGÖTLANDS LÄN</t>
        </is>
      </c>
      <c r="E3637" t="inlineStr">
        <is>
          <t>ÖDESHÖG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25418-2023</t>
        </is>
      </c>
      <c r="B3638" s="1" t="n">
        <v>45089</v>
      </c>
      <c r="C3638" s="1" t="n">
        <v>46093</v>
      </c>
      <c r="D3638" t="inlineStr">
        <is>
          <t>ÖSTERGÖTLANDS LÄN</t>
        </is>
      </c>
      <c r="E3638" t="inlineStr">
        <is>
          <t>LINKÖPING</t>
        </is>
      </c>
      <c r="F3638" t="inlineStr">
        <is>
          <t>Övriga Aktiebolag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1222-2024</t>
        </is>
      </c>
      <c r="B3639" s="1" t="n">
        <v>45302.66826388889</v>
      </c>
      <c r="C3639" s="1" t="n">
        <v>46093</v>
      </c>
      <c r="D3639" t="inlineStr">
        <is>
          <t>ÖSTERGÖTLANDS LÄN</t>
        </is>
      </c>
      <c r="E3639" t="inlineStr">
        <is>
          <t>YDRE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29909-2023</t>
        </is>
      </c>
      <c r="B3640" s="1" t="n">
        <v>45107.66479166667</v>
      </c>
      <c r="C3640" s="1" t="n">
        <v>46093</v>
      </c>
      <c r="D3640" t="inlineStr">
        <is>
          <t>ÖSTERGÖTLANDS LÄN</t>
        </is>
      </c>
      <c r="E3640" t="inlineStr">
        <is>
          <t>ÅTVIDABERG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5073-2023</t>
        </is>
      </c>
      <c r="B3641" s="1" t="n">
        <v>44958</v>
      </c>
      <c r="C3641" s="1" t="n">
        <v>46093</v>
      </c>
      <c r="D3641" t="inlineStr">
        <is>
          <t>ÖSTERGÖTLANDS LÄN</t>
        </is>
      </c>
      <c r="E3641" t="inlineStr">
        <is>
          <t>MOTALA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60007-2022</t>
        </is>
      </c>
      <c r="B3642" s="1" t="n">
        <v>44909.47282407407</v>
      </c>
      <c r="C3642" s="1" t="n">
        <v>46093</v>
      </c>
      <c r="D3642" t="inlineStr">
        <is>
          <t>ÖSTERGÖTLANDS LÄN</t>
        </is>
      </c>
      <c r="E3642" t="inlineStr">
        <is>
          <t>LINKÖPING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25431-2023</t>
        </is>
      </c>
      <c r="B3643" s="1" t="n">
        <v>45089.41094907407</v>
      </c>
      <c r="C3643" s="1" t="n">
        <v>46093</v>
      </c>
      <c r="D3643" t="inlineStr">
        <is>
          <t>ÖSTERGÖTLANDS LÄN</t>
        </is>
      </c>
      <c r="E3643" t="inlineStr">
        <is>
          <t>BOXHOLM</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4007-2024</t>
        </is>
      </c>
      <c r="B3644" s="1" t="n">
        <v>45323</v>
      </c>
      <c r="C3644" s="1" t="n">
        <v>46093</v>
      </c>
      <c r="D3644" t="inlineStr">
        <is>
          <t>ÖSTERGÖTLANDS LÄN</t>
        </is>
      </c>
      <c r="E3644" t="inlineStr">
        <is>
          <t>ÅTVIDABERG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49922-2025</t>
        </is>
      </c>
      <c r="B3645" s="1" t="n">
        <v>45940.6375</v>
      </c>
      <c r="C3645" s="1" t="n">
        <v>46093</v>
      </c>
      <c r="D3645" t="inlineStr">
        <is>
          <t>ÖSTERGÖTLANDS LÄN</t>
        </is>
      </c>
      <c r="E3645" t="inlineStr">
        <is>
          <t>BOXHOLM</t>
        </is>
      </c>
      <c r="F3645" t="inlineStr">
        <is>
          <t>Övriga Aktiebolag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56303-2024</t>
        </is>
      </c>
      <c r="B3646" s="1" t="n">
        <v>45624.6911574074</v>
      </c>
      <c r="C3646" s="1" t="n">
        <v>46093</v>
      </c>
      <c r="D3646" t="inlineStr">
        <is>
          <t>ÖSTERGÖTLANDS LÄN</t>
        </is>
      </c>
      <c r="E3646" t="inlineStr">
        <is>
          <t>VALDEMARSVIK</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2347-2024</t>
        </is>
      </c>
      <c r="B3647" s="1" t="n">
        <v>45310.58267361111</v>
      </c>
      <c r="C3647" s="1" t="n">
        <v>46093</v>
      </c>
      <c r="D3647" t="inlineStr">
        <is>
          <t>ÖSTERGÖTLANDS LÄN</t>
        </is>
      </c>
      <c r="E3647" t="inlineStr">
        <is>
          <t>YDRE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3087-2023</t>
        </is>
      </c>
      <c r="B3648" s="1" t="n">
        <v>44946.43795138889</v>
      </c>
      <c r="C3648" s="1" t="n">
        <v>46093</v>
      </c>
      <c r="D3648" t="inlineStr">
        <is>
          <t>ÖSTERGÖTLANDS LÄN</t>
        </is>
      </c>
      <c r="E3648" t="inlineStr">
        <is>
          <t>MJÖLBY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48811-2024</t>
        </is>
      </c>
      <c r="B3649" s="1" t="n">
        <v>45593.66861111111</v>
      </c>
      <c r="C3649" s="1" t="n">
        <v>46093</v>
      </c>
      <c r="D3649" t="inlineStr">
        <is>
          <t>ÖSTERGÖTLANDS LÄN</t>
        </is>
      </c>
      <c r="E3649" t="inlineStr">
        <is>
          <t>KINDA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48786-2022</t>
        </is>
      </c>
      <c r="B3650" s="1" t="n">
        <v>44859</v>
      </c>
      <c r="C3650" s="1" t="n">
        <v>46093</v>
      </c>
      <c r="D3650" t="inlineStr">
        <is>
          <t>ÖSTERGÖTLANDS LÄN</t>
        </is>
      </c>
      <c r="E3650" t="inlineStr">
        <is>
          <t>NORRKÖPING</t>
        </is>
      </c>
      <c r="F3650" t="inlineStr">
        <is>
          <t>Holmen skog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58889-2024</t>
        </is>
      </c>
      <c r="B3651" s="1" t="n">
        <v>45636.45989583333</v>
      </c>
      <c r="C3651" s="1" t="n">
        <v>46093</v>
      </c>
      <c r="D3651" t="inlineStr">
        <is>
          <t>ÖSTERGÖTLANDS LÄN</t>
        </is>
      </c>
      <c r="E3651" t="inlineStr">
        <is>
          <t>NORRKÖPING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49834-2025</t>
        </is>
      </c>
      <c r="B3652" s="1" t="n">
        <v>45940.46385416666</v>
      </c>
      <c r="C3652" s="1" t="n">
        <v>46093</v>
      </c>
      <c r="D3652" t="inlineStr">
        <is>
          <t>ÖSTERGÖTLANDS LÄN</t>
        </is>
      </c>
      <c r="E3652" t="inlineStr">
        <is>
          <t>KINDA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25184-2023</t>
        </is>
      </c>
      <c r="B3653" s="1" t="n">
        <v>45086.56109953704</v>
      </c>
      <c r="C3653" s="1" t="n">
        <v>46093</v>
      </c>
      <c r="D3653" t="inlineStr">
        <is>
          <t>ÖSTERGÖTLANDS LÄN</t>
        </is>
      </c>
      <c r="E3653" t="inlineStr">
        <is>
          <t>FINSPÅNG</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53899-2021</t>
        </is>
      </c>
      <c r="B3654" s="1" t="n">
        <v>44469</v>
      </c>
      <c r="C3654" s="1" t="n">
        <v>46093</v>
      </c>
      <c r="D3654" t="inlineStr">
        <is>
          <t>ÖSTERGÖTLANDS LÄN</t>
        </is>
      </c>
      <c r="E3654" t="inlineStr">
        <is>
          <t>NORRKÖPING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15476-2023</t>
        </is>
      </c>
      <c r="B3655" s="1" t="n">
        <v>45020.45096064815</v>
      </c>
      <c r="C3655" s="1" t="n">
        <v>46093</v>
      </c>
      <c r="D3655" t="inlineStr">
        <is>
          <t>ÖSTERGÖTLANDS LÄN</t>
        </is>
      </c>
      <c r="E3655" t="inlineStr">
        <is>
          <t>BOXHOLM</t>
        </is>
      </c>
      <c r="G3655" t="n">
        <v>0</v>
      </c>
      <c r="H3655" t="n">
        <v>0</v>
      </c>
      <c r="I3655" t="n">
        <v>0</v>
      </c>
      <c r="J3655" t="n">
        <v>0</v>
      </c>
      <c r="K3655" t="n">
        <v>0</v>
      </c>
      <c r="L3655" t="n">
        <v>0</v>
      </c>
      <c r="M3655" t="n">
        <v>0</v>
      </c>
      <c r="N3655" t="n">
        <v>0</v>
      </c>
      <c r="O3655" t="n">
        <v>0</v>
      </c>
      <c r="P3655" t="n">
        <v>0</v>
      </c>
      <c r="Q3655" t="n">
        <v>0</v>
      </c>
      <c r="R3655" s="2" t="inlineStr"/>
    </row>
    <row r="3656" ht="15" customHeight="1">
      <c r="A3656" t="inlineStr">
        <is>
          <t>A 15502-2023</t>
        </is>
      </c>
      <c r="B3656" s="1" t="n">
        <v>45020.4886574074</v>
      </c>
      <c r="C3656" s="1" t="n">
        <v>46093</v>
      </c>
      <c r="D3656" t="inlineStr">
        <is>
          <t>ÖSTERGÖTLANDS LÄN</t>
        </is>
      </c>
      <c r="E3656" t="inlineStr">
        <is>
          <t>BOXHOLM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50164-2025</t>
        </is>
      </c>
      <c r="B3657" s="1" t="n">
        <v>45943.58841435185</v>
      </c>
      <c r="C3657" s="1" t="n">
        <v>46093</v>
      </c>
      <c r="D3657" t="inlineStr">
        <is>
          <t>ÖSTERGÖTLANDS LÄN</t>
        </is>
      </c>
      <c r="E3657" t="inlineStr">
        <is>
          <t>BOXHOLM</t>
        </is>
      </c>
      <c r="F3657" t="inlineStr">
        <is>
          <t>Övriga Aktiebolag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50190-2025</t>
        </is>
      </c>
      <c r="B3658" s="1" t="n">
        <v>45943.6352662037</v>
      </c>
      <c r="C3658" s="1" t="n">
        <v>46093</v>
      </c>
      <c r="D3658" t="inlineStr">
        <is>
          <t>ÖSTERGÖTLANDS LÄN</t>
        </is>
      </c>
      <c r="E3658" t="inlineStr">
        <is>
          <t>BOXHOLM</t>
        </is>
      </c>
      <c r="F3658" t="inlineStr">
        <is>
          <t>Övriga Aktiebolag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29514-2023</t>
        </is>
      </c>
      <c r="B3659" s="1" t="n">
        <v>45106.61258101852</v>
      </c>
      <c r="C3659" s="1" t="n">
        <v>46093</v>
      </c>
      <c r="D3659" t="inlineStr">
        <is>
          <t>ÖSTERGÖTLANDS LÄN</t>
        </is>
      </c>
      <c r="E3659" t="inlineStr">
        <is>
          <t>SÖDERKÖPING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50416-2025</t>
        </is>
      </c>
      <c r="B3660" s="1" t="n">
        <v>45944.64935185185</v>
      </c>
      <c r="C3660" s="1" t="n">
        <v>46093</v>
      </c>
      <c r="D3660" t="inlineStr">
        <is>
          <t>ÖSTERGÖTLANDS LÄN</t>
        </is>
      </c>
      <c r="E3660" t="inlineStr">
        <is>
          <t>ÖDESHÖG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931-2024</t>
        </is>
      </c>
      <c r="B3661" s="1" t="n">
        <v>45301.50878472222</v>
      </c>
      <c r="C3661" s="1" t="n">
        <v>46093</v>
      </c>
      <c r="D3661" t="inlineStr">
        <is>
          <t>ÖSTERGÖTLANDS LÄN</t>
        </is>
      </c>
      <c r="E3661" t="inlineStr">
        <is>
          <t>BOXHOLM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937-2024</t>
        </is>
      </c>
      <c r="B3662" s="1" t="n">
        <v>45301</v>
      </c>
      <c r="C3662" s="1" t="n">
        <v>46093</v>
      </c>
      <c r="D3662" t="inlineStr">
        <is>
          <t>ÖSTERGÖTLANDS LÄN</t>
        </is>
      </c>
      <c r="E3662" t="inlineStr">
        <is>
          <t>KINDA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10152-2024</t>
        </is>
      </c>
      <c r="B3663" s="1" t="n">
        <v>45364.64773148148</v>
      </c>
      <c r="C3663" s="1" t="n">
        <v>46093</v>
      </c>
      <c r="D3663" t="inlineStr">
        <is>
          <t>ÖSTERGÖTLANDS LÄN</t>
        </is>
      </c>
      <c r="E3663" t="inlineStr">
        <is>
          <t>BOXHOLM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5118-2024</t>
        </is>
      </c>
      <c r="B3664" s="1" t="n">
        <v>45330</v>
      </c>
      <c r="C3664" s="1" t="n">
        <v>46093</v>
      </c>
      <c r="D3664" t="inlineStr">
        <is>
          <t>ÖSTERGÖTLANDS LÄN</t>
        </is>
      </c>
      <c r="E3664" t="inlineStr">
        <is>
          <t>NORRKÖPING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37057-2025</t>
        </is>
      </c>
      <c r="B3665" s="1" t="n">
        <v>45875.37489583333</v>
      </c>
      <c r="C3665" s="1" t="n">
        <v>46093</v>
      </c>
      <c r="D3665" t="inlineStr">
        <is>
          <t>ÖSTERGÖTLANDS LÄN</t>
        </is>
      </c>
      <c r="E3665" t="inlineStr">
        <is>
          <t>LINKÖPING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50269-2025</t>
        </is>
      </c>
      <c r="B3666" s="1" t="n">
        <v>45944.35180555555</v>
      </c>
      <c r="C3666" s="1" t="n">
        <v>46093</v>
      </c>
      <c r="D3666" t="inlineStr">
        <is>
          <t>ÖSTERGÖTLANDS LÄN</t>
        </is>
      </c>
      <c r="E3666" t="inlineStr">
        <is>
          <t>VALDEMARSVIK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50090-2025</t>
        </is>
      </c>
      <c r="B3667" s="1" t="n">
        <v>45943.4846412037</v>
      </c>
      <c r="C3667" s="1" t="n">
        <v>46093</v>
      </c>
      <c r="D3667" t="inlineStr">
        <is>
          <t>ÖSTERGÖTLANDS LÄN</t>
        </is>
      </c>
      <c r="E3667" t="inlineStr">
        <is>
          <t>MOTALA</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50143-2025</t>
        </is>
      </c>
      <c r="B3668" s="1" t="n">
        <v>45943.57040509259</v>
      </c>
      <c r="C3668" s="1" t="n">
        <v>46093</v>
      </c>
      <c r="D3668" t="inlineStr">
        <is>
          <t>ÖSTERGÖTLANDS LÄN</t>
        </is>
      </c>
      <c r="E3668" t="inlineStr">
        <is>
          <t>NORRKÖPING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4047-2023</t>
        </is>
      </c>
      <c r="B3669" s="1" t="n">
        <v>44952</v>
      </c>
      <c r="C3669" s="1" t="n">
        <v>46093</v>
      </c>
      <c r="D3669" t="inlineStr">
        <is>
          <t>ÖSTERGÖTLANDS LÄN</t>
        </is>
      </c>
      <c r="E3669" t="inlineStr">
        <is>
          <t>VALDEMARSVIK</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50152-2025</t>
        </is>
      </c>
      <c r="B3670" s="1" t="n">
        <v>45943.57453703704</v>
      </c>
      <c r="C3670" s="1" t="n">
        <v>46093</v>
      </c>
      <c r="D3670" t="inlineStr">
        <is>
          <t>ÖSTERGÖTLANDS LÄN</t>
        </is>
      </c>
      <c r="E3670" t="inlineStr">
        <is>
          <t>NORRKÖPING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39205-2022</t>
        </is>
      </c>
      <c r="B3671" s="1" t="n">
        <v>44817</v>
      </c>
      <c r="C3671" s="1" t="n">
        <v>46093</v>
      </c>
      <c r="D3671" t="inlineStr">
        <is>
          <t>ÖSTERGÖTLANDS LÄN</t>
        </is>
      </c>
      <c r="E3671" t="inlineStr">
        <is>
          <t>FINSPÅNG</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11478-2024</t>
        </is>
      </c>
      <c r="B3672" s="1" t="n">
        <v>45372</v>
      </c>
      <c r="C3672" s="1" t="n">
        <v>46093</v>
      </c>
      <c r="D3672" t="inlineStr">
        <is>
          <t>ÖSTERGÖTLANDS LÄN</t>
        </is>
      </c>
      <c r="E3672" t="inlineStr">
        <is>
          <t>MJÖLBY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53363-2024</t>
        </is>
      </c>
      <c r="B3673" s="1" t="n">
        <v>45614.46292824074</v>
      </c>
      <c r="C3673" s="1" t="n">
        <v>46093</v>
      </c>
      <c r="D3673" t="inlineStr">
        <is>
          <t>ÖSTERGÖTLANDS LÄN</t>
        </is>
      </c>
      <c r="E3673" t="inlineStr">
        <is>
          <t>NORRKÖPING</t>
        </is>
      </c>
      <c r="F3673" t="inlineStr">
        <is>
          <t>Naturvårdsverket</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14484-2021</t>
        </is>
      </c>
      <c r="B3674" s="1" t="n">
        <v>44279</v>
      </c>
      <c r="C3674" s="1" t="n">
        <v>46093</v>
      </c>
      <c r="D3674" t="inlineStr">
        <is>
          <t>ÖSTERGÖTLANDS LÄN</t>
        </is>
      </c>
      <c r="E3674" t="inlineStr">
        <is>
          <t>NORRKÖPING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50095-2025</t>
        </is>
      </c>
      <c r="B3675" s="1" t="n">
        <v>45943.49570601852</v>
      </c>
      <c r="C3675" s="1" t="n">
        <v>46093</v>
      </c>
      <c r="D3675" t="inlineStr">
        <is>
          <t>ÖSTERGÖTLANDS LÄN</t>
        </is>
      </c>
      <c r="E3675" t="inlineStr">
        <is>
          <t>BOXHOLM</t>
        </is>
      </c>
      <c r="F3675" t="inlineStr">
        <is>
          <t>Övriga Aktiebolag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62061-2023</t>
        </is>
      </c>
      <c r="B3676" s="1" t="n">
        <v>45266</v>
      </c>
      <c r="C3676" s="1" t="n">
        <v>46093</v>
      </c>
      <c r="D3676" t="inlineStr">
        <is>
          <t>ÖSTERGÖTLANDS LÄN</t>
        </is>
      </c>
      <c r="E3676" t="inlineStr">
        <is>
          <t>NORRKÖPING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37237-2025</t>
        </is>
      </c>
      <c r="B3677" s="1" t="n">
        <v>45876</v>
      </c>
      <c r="C3677" s="1" t="n">
        <v>46093</v>
      </c>
      <c r="D3677" t="inlineStr">
        <is>
          <t>ÖSTERGÖTLANDS LÄN</t>
        </is>
      </c>
      <c r="E3677" t="inlineStr">
        <is>
          <t>VALDEMARSVIK</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50154-2025</t>
        </is>
      </c>
      <c r="B3678" s="1" t="n">
        <v>45943.57618055555</v>
      </c>
      <c r="C3678" s="1" t="n">
        <v>46093</v>
      </c>
      <c r="D3678" t="inlineStr">
        <is>
          <t>ÖSTERGÖTLANDS LÄN</t>
        </is>
      </c>
      <c r="E3678" t="inlineStr">
        <is>
          <t>NORRKÖPING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24404-2023</t>
        </is>
      </c>
      <c r="B3679" s="1" t="n">
        <v>45082</v>
      </c>
      <c r="C3679" s="1" t="n">
        <v>46093</v>
      </c>
      <c r="D3679" t="inlineStr">
        <is>
          <t>ÖSTERGÖTLANDS LÄN</t>
        </is>
      </c>
      <c r="E3679" t="inlineStr">
        <is>
          <t>FINSPÅNG</t>
        </is>
      </c>
      <c r="F3679" t="inlineStr">
        <is>
          <t>Holmen skog AB</t>
        </is>
      </c>
      <c r="G3679" t="n">
        <v>12.4</v>
      </c>
      <c r="H3679" t="n">
        <v>0</v>
      </c>
      <c r="I3679" t="n">
        <v>0</v>
      </c>
      <c r="J3679" t="n">
        <v>0</v>
      </c>
      <c r="K3679" t="n">
        <v>0</v>
      </c>
      <c r="L3679" t="n">
        <v>0</v>
      </c>
      <c r="M3679" t="n">
        <v>0</v>
      </c>
      <c r="N3679" t="n">
        <v>0</v>
      </c>
      <c r="O3679" t="n">
        <v>0</v>
      </c>
      <c r="P3679" t="n">
        <v>0</v>
      </c>
      <c r="Q3679" t="n">
        <v>0</v>
      </c>
      <c r="R3679" s="2" t="inlineStr"/>
    </row>
    <row r="3680" ht="15" customHeight="1">
      <c r="A3680" t="inlineStr">
        <is>
          <t>A 55395-2023</t>
        </is>
      </c>
      <c r="B3680" s="1" t="n">
        <v>45231</v>
      </c>
      <c r="C3680" s="1" t="n">
        <v>46093</v>
      </c>
      <c r="D3680" t="inlineStr">
        <is>
          <t>ÖSTERGÖTLANDS LÄN</t>
        </is>
      </c>
      <c r="E3680" t="inlineStr">
        <is>
          <t>YDRE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42383-2022</t>
        </is>
      </c>
      <c r="B3681" s="1" t="n">
        <v>44831.41400462963</v>
      </c>
      <c r="C3681" s="1" t="n">
        <v>46093</v>
      </c>
      <c r="D3681" t="inlineStr">
        <is>
          <t>ÖSTERGÖTLANDS LÄN</t>
        </is>
      </c>
      <c r="E3681" t="inlineStr">
        <is>
          <t>BOXHOLM</t>
        </is>
      </c>
      <c r="F3681" t="inlineStr">
        <is>
          <t>Övriga Aktiebolag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50363-2025</t>
        </is>
      </c>
      <c r="B3682" s="1" t="n">
        <v>45944.56730324074</v>
      </c>
      <c r="C3682" s="1" t="n">
        <v>46093</v>
      </c>
      <c r="D3682" t="inlineStr">
        <is>
          <t>ÖSTERGÖTLANDS LÄN</t>
        </is>
      </c>
      <c r="E3682" t="inlineStr">
        <is>
          <t>ÅTVIDABERG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44543-2021</t>
        </is>
      </c>
      <c r="B3683" s="1" t="n">
        <v>44435</v>
      </c>
      <c r="C3683" s="1" t="n">
        <v>46093</v>
      </c>
      <c r="D3683" t="inlineStr">
        <is>
          <t>ÖSTERGÖTLANDS LÄN</t>
        </is>
      </c>
      <c r="E3683" t="inlineStr">
        <is>
          <t>KINDA</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2194-2023</t>
        </is>
      </c>
      <c r="B3684" s="1" t="n">
        <v>44942</v>
      </c>
      <c r="C3684" s="1" t="n">
        <v>46093</v>
      </c>
      <c r="D3684" t="inlineStr">
        <is>
          <t>ÖSTERGÖTLANDS LÄN</t>
        </is>
      </c>
      <c r="E3684" t="inlineStr">
        <is>
          <t>MOTALA</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2196-2023</t>
        </is>
      </c>
      <c r="B3685" s="1" t="n">
        <v>44942.36666666667</v>
      </c>
      <c r="C3685" s="1" t="n">
        <v>46093</v>
      </c>
      <c r="D3685" t="inlineStr">
        <is>
          <t>ÖSTERGÖTLANDS LÄN</t>
        </is>
      </c>
      <c r="E3685" t="inlineStr">
        <is>
          <t>MOTALA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40983-2025</t>
        </is>
      </c>
      <c r="B3686" s="1" t="n">
        <v>45898</v>
      </c>
      <c r="C3686" s="1" t="n">
        <v>46093</v>
      </c>
      <c r="D3686" t="inlineStr">
        <is>
          <t>ÖSTERGÖTLANDS LÄN</t>
        </is>
      </c>
      <c r="E3686" t="inlineStr">
        <is>
          <t>LINKÖPING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61954-2022</t>
        </is>
      </c>
      <c r="B3687" s="1" t="n">
        <v>44918.33840277778</v>
      </c>
      <c r="C3687" s="1" t="n">
        <v>46093</v>
      </c>
      <c r="D3687" t="inlineStr">
        <is>
          <t>ÖSTERGÖTLANDS LÄN</t>
        </is>
      </c>
      <c r="E3687" t="inlineStr">
        <is>
          <t>KINDA</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46738-2022</t>
        </is>
      </c>
      <c r="B3688" s="1" t="n">
        <v>44851</v>
      </c>
      <c r="C3688" s="1" t="n">
        <v>46093</v>
      </c>
      <c r="D3688" t="inlineStr">
        <is>
          <t>ÖSTERGÖTLANDS LÄN</t>
        </is>
      </c>
      <c r="E3688" t="inlineStr">
        <is>
          <t>NORRKÖPING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50144-2025</t>
        </is>
      </c>
      <c r="B3689" s="1" t="n">
        <v>45943.57129629629</v>
      </c>
      <c r="C3689" s="1" t="n">
        <v>46093</v>
      </c>
      <c r="D3689" t="inlineStr">
        <is>
          <t>ÖSTERGÖTLANDS LÄN</t>
        </is>
      </c>
      <c r="E3689" t="inlineStr">
        <is>
          <t>NORRKÖPING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50160-2025</t>
        </is>
      </c>
      <c r="B3690" s="1" t="n">
        <v>45943.58487268518</v>
      </c>
      <c r="C3690" s="1" t="n">
        <v>46093</v>
      </c>
      <c r="D3690" t="inlineStr">
        <is>
          <t>ÖSTERGÖTLANDS LÄN</t>
        </is>
      </c>
      <c r="E3690" t="inlineStr">
        <is>
          <t>BOXHOLM</t>
        </is>
      </c>
      <c r="F3690" t="inlineStr">
        <is>
          <t>Övriga Aktiebolag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11601-2023</t>
        </is>
      </c>
      <c r="B3691" s="1" t="n">
        <v>44994</v>
      </c>
      <c r="C3691" s="1" t="n">
        <v>46093</v>
      </c>
      <c r="D3691" t="inlineStr">
        <is>
          <t>ÖSTERGÖTLANDS LÄN</t>
        </is>
      </c>
      <c r="E3691" t="inlineStr">
        <is>
          <t>LINKÖPING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50171-2025</t>
        </is>
      </c>
      <c r="B3692" s="1" t="n">
        <v>45943.60009259259</v>
      </c>
      <c r="C3692" s="1" t="n">
        <v>46093</v>
      </c>
      <c r="D3692" t="inlineStr">
        <is>
          <t>ÖSTERGÖTLANDS LÄN</t>
        </is>
      </c>
      <c r="E3692" t="inlineStr">
        <is>
          <t>BOXHOLM</t>
        </is>
      </c>
      <c r="F3692" t="inlineStr">
        <is>
          <t>Övriga Aktiebolag</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46748-2022</t>
        </is>
      </c>
      <c r="B3693" s="1" t="n">
        <v>44851</v>
      </c>
      <c r="C3693" s="1" t="n">
        <v>46093</v>
      </c>
      <c r="D3693" t="inlineStr">
        <is>
          <t>ÖSTERGÖTLANDS LÄN</t>
        </is>
      </c>
      <c r="E3693" t="inlineStr">
        <is>
          <t>ÅTVIDABERG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50179-2025</t>
        </is>
      </c>
      <c r="B3694" s="1" t="n">
        <v>45943.61493055556</v>
      </c>
      <c r="C3694" s="1" t="n">
        <v>46093</v>
      </c>
      <c r="D3694" t="inlineStr">
        <is>
          <t>ÖSTERGÖTLANDS LÄN</t>
        </is>
      </c>
      <c r="E3694" t="inlineStr">
        <is>
          <t>KINDA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63669-2023</t>
        </is>
      </c>
      <c r="B3695" s="1" t="n">
        <v>45275</v>
      </c>
      <c r="C3695" s="1" t="n">
        <v>46093</v>
      </c>
      <c r="D3695" t="inlineStr">
        <is>
          <t>ÖSTERGÖTLANDS LÄN</t>
        </is>
      </c>
      <c r="E3695" t="inlineStr">
        <is>
          <t>LINKÖPING</t>
        </is>
      </c>
      <c r="F3695" t="inlineStr">
        <is>
          <t>Övriga Aktiebolag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50156-2025</t>
        </is>
      </c>
      <c r="B3696" s="1" t="n">
        <v>45943.58123842593</v>
      </c>
      <c r="C3696" s="1" t="n">
        <v>46093</v>
      </c>
      <c r="D3696" t="inlineStr">
        <is>
          <t>ÖSTERGÖTLANDS LÄN</t>
        </is>
      </c>
      <c r="E3696" t="inlineStr">
        <is>
          <t>BOXHOLM</t>
        </is>
      </c>
      <c r="F3696" t="inlineStr">
        <is>
          <t>Övriga Aktiebolag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23051-2022</t>
        </is>
      </c>
      <c r="B3697" s="1" t="n">
        <v>44719.43200231482</v>
      </c>
      <c r="C3697" s="1" t="n">
        <v>46093</v>
      </c>
      <c r="D3697" t="inlineStr">
        <is>
          <t>ÖSTERGÖTLANDS LÄN</t>
        </is>
      </c>
      <c r="E3697" t="inlineStr">
        <is>
          <t>NORRKÖPING</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50146-2025</t>
        </is>
      </c>
      <c r="B3698" s="1" t="n">
        <v>45943.57232638889</v>
      </c>
      <c r="C3698" s="1" t="n">
        <v>46093</v>
      </c>
      <c r="D3698" t="inlineStr">
        <is>
          <t>ÖSTERGÖTLANDS LÄN</t>
        </is>
      </c>
      <c r="E3698" t="inlineStr">
        <is>
          <t>NORRKÖPING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7169-2023</t>
        </is>
      </c>
      <c r="B3699" s="1" t="n">
        <v>44970</v>
      </c>
      <c r="C3699" s="1" t="n">
        <v>46093</v>
      </c>
      <c r="D3699" t="inlineStr">
        <is>
          <t>ÖSTERGÖTLANDS LÄN</t>
        </is>
      </c>
      <c r="E3699" t="inlineStr">
        <is>
          <t>ÅTVIDABERG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50018-2025</t>
        </is>
      </c>
      <c r="B3700" s="1" t="n">
        <v>45943.36789351852</v>
      </c>
      <c r="C3700" s="1" t="n">
        <v>46093</v>
      </c>
      <c r="D3700" t="inlineStr">
        <is>
          <t>ÖSTERGÖTLANDS LÄN</t>
        </is>
      </c>
      <c r="E3700" t="inlineStr">
        <is>
          <t>YDRE</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12289-2025</t>
        </is>
      </c>
      <c r="B3701" s="1" t="n">
        <v>45729</v>
      </c>
      <c r="C3701" s="1" t="n">
        <v>46093</v>
      </c>
      <c r="D3701" t="inlineStr">
        <is>
          <t>ÖSTERGÖTLANDS LÄN</t>
        </is>
      </c>
      <c r="E3701" t="inlineStr">
        <is>
          <t>LINKÖPING</t>
        </is>
      </c>
      <c r="F3701" t="inlineStr">
        <is>
          <t>Övriga statliga verk och myndigheter</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3993-2023</t>
        </is>
      </c>
      <c r="B3702" s="1" t="n">
        <v>44952.48636574074</v>
      </c>
      <c r="C3702" s="1" t="n">
        <v>46093</v>
      </c>
      <c r="D3702" t="inlineStr">
        <is>
          <t>ÖSTERGÖTLANDS LÄN</t>
        </is>
      </c>
      <c r="E3702" t="inlineStr">
        <is>
          <t>MOTALA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36657-2023</t>
        </is>
      </c>
      <c r="B3703" s="1" t="n">
        <v>45153.5702662037</v>
      </c>
      <c r="C3703" s="1" t="n">
        <v>46093</v>
      </c>
      <c r="D3703" t="inlineStr">
        <is>
          <t>ÖSTERGÖTLANDS LÄN</t>
        </is>
      </c>
      <c r="E3703" t="inlineStr">
        <is>
          <t>LINKÖPING</t>
        </is>
      </c>
      <c r="F3703" t="inlineStr">
        <is>
          <t>Allmännings- och besparingsskogar</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22586-2023</t>
        </is>
      </c>
      <c r="B3704" s="1" t="n">
        <v>45071.47526620371</v>
      </c>
      <c r="C3704" s="1" t="n">
        <v>46093</v>
      </c>
      <c r="D3704" t="inlineStr">
        <is>
          <t>ÖSTERGÖTLANDS LÄN</t>
        </is>
      </c>
      <c r="E3704" t="inlineStr">
        <is>
          <t>FINSPÅNG</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17992-2023</t>
        </is>
      </c>
      <c r="B3705" s="1" t="n">
        <v>45040</v>
      </c>
      <c r="C3705" s="1" t="n">
        <v>46093</v>
      </c>
      <c r="D3705" t="inlineStr">
        <is>
          <t>ÖSTERGÖTLANDS LÄN</t>
        </is>
      </c>
      <c r="E3705" t="inlineStr">
        <is>
          <t>FINSPÅNG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52861-2023</t>
        </is>
      </c>
      <c r="B3706" s="1" t="n">
        <v>45219</v>
      </c>
      <c r="C3706" s="1" t="n">
        <v>46093</v>
      </c>
      <c r="D3706" t="inlineStr">
        <is>
          <t>ÖSTERGÖTLANDS LÄN</t>
        </is>
      </c>
      <c r="E3706" t="inlineStr">
        <is>
          <t>KINDA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50000-2025</t>
        </is>
      </c>
      <c r="B3707" s="1" t="n">
        <v>45943.338125</v>
      </c>
      <c r="C3707" s="1" t="n">
        <v>46093</v>
      </c>
      <c r="D3707" t="inlineStr">
        <is>
          <t>ÖSTERGÖTLANDS LÄN</t>
        </is>
      </c>
      <c r="E3707" t="inlineStr">
        <is>
          <t>ÅTVIDABERG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13625-2025</t>
        </is>
      </c>
      <c r="B3708" s="1" t="n">
        <v>45736.63921296296</v>
      </c>
      <c r="C3708" s="1" t="n">
        <v>46093</v>
      </c>
      <c r="D3708" t="inlineStr">
        <is>
          <t>ÖSTERGÖTLANDS LÄN</t>
        </is>
      </c>
      <c r="E3708" t="inlineStr">
        <is>
          <t>SÖDERKÖPING</t>
        </is>
      </c>
      <c r="F3708" t="inlineStr">
        <is>
          <t>Holmen skog AB</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37343-2025</t>
        </is>
      </c>
      <c r="B3709" s="1" t="n">
        <v>45876</v>
      </c>
      <c r="C3709" s="1" t="n">
        <v>46093</v>
      </c>
      <c r="D3709" t="inlineStr">
        <is>
          <t>ÖSTERGÖTLANDS LÄN</t>
        </is>
      </c>
      <c r="E3709" t="inlineStr">
        <is>
          <t>SÖDERKÖPING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50019-2025</t>
        </is>
      </c>
      <c r="B3710" s="1" t="n">
        <v>45943.36802083333</v>
      </c>
      <c r="C3710" s="1" t="n">
        <v>46093</v>
      </c>
      <c r="D3710" t="inlineStr">
        <is>
          <t>ÖSTERGÖTLANDS LÄN</t>
        </is>
      </c>
      <c r="E3710" t="inlineStr">
        <is>
          <t>BOXHOLM</t>
        </is>
      </c>
      <c r="F3710" t="inlineStr">
        <is>
          <t>Övriga Aktiebolag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50026-2025</t>
        </is>
      </c>
      <c r="B3711" s="1" t="n">
        <v>45943.37984953704</v>
      </c>
      <c r="C3711" s="1" t="n">
        <v>46093</v>
      </c>
      <c r="D3711" t="inlineStr">
        <is>
          <t>ÖSTERGÖTLANDS LÄN</t>
        </is>
      </c>
      <c r="E3711" t="inlineStr">
        <is>
          <t>BOXHOLM</t>
        </is>
      </c>
      <c r="F3711" t="inlineStr">
        <is>
          <t>Övriga Aktiebolag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46270-2024</t>
        </is>
      </c>
      <c r="B3712" s="1" t="n">
        <v>45581.62796296296</v>
      </c>
      <c r="C3712" s="1" t="n">
        <v>46093</v>
      </c>
      <c r="D3712" t="inlineStr">
        <is>
          <t>ÖSTERGÖTLANDS LÄN</t>
        </is>
      </c>
      <c r="E3712" t="inlineStr">
        <is>
          <t>NORRKÖPING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58415-2021</t>
        </is>
      </c>
      <c r="B3713" s="1" t="n">
        <v>44488.52820601852</v>
      </c>
      <c r="C3713" s="1" t="n">
        <v>46093</v>
      </c>
      <c r="D3713" t="inlineStr">
        <is>
          <t>ÖSTERGÖTLANDS LÄN</t>
        </is>
      </c>
      <c r="E3713" t="inlineStr">
        <is>
          <t>MJÖLBY</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11972-2023</t>
        </is>
      </c>
      <c r="B3714" s="1" t="n">
        <v>44994</v>
      </c>
      <c r="C3714" s="1" t="n">
        <v>46093</v>
      </c>
      <c r="D3714" t="inlineStr">
        <is>
          <t>ÖSTERGÖTLANDS LÄN</t>
        </is>
      </c>
      <c r="E3714" t="inlineStr">
        <is>
          <t>ÖDESHÖG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915-2024</t>
        </is>
      </c>
      <c r="B3715" s="1" t="n">
        <v>45301.47129629629</v>
      </c>
      <c r="C3715" s="1" t="n">
        <v>46093</v>
      </c>
      <c r="D3715" t="inlineStr">
        <is>
          <t>ÖSTERGÖTLANDS LÄN</t>
        </is>
      </c>
      <c r="E3715" t="inlineStr">
        <is>
          <t>KINDA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19157-2023</t>
        </is>
      </c>
      <c r="B3716" s="1" t="n">
        <v>45048.59175925926</v>
      </c>
      <c r="C3716" s="1" t="n">
        <v>46093</v>
      </c>
      <c r="D3716" t="inlineStr">
        <is>
          <t>ÖSTERGÖTLANDS LÄN</t>
        </is>
      </c>
      <c r="E3716" t="inlineStr">
        <is>
          <t>ÖDESHÖG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19169-2023</t>
        </is>
      </c>
      <c r="B3717" s="1" t="n">
        <v>45044</v>
      </c>
      <c r="C3717" s="1" t="n">
        <v>46093</v>
      </c>
      <c r="D3717" t="inlineStr">
        <is>
          <t>ÖSTERGÖTLANDS LÄN</t>
        </is>
      </c>
      <c r="E3717" t="inlineStr">
        <is>
          <t>LINKÖPING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5707-2024</t>
        </is>
      </c>
      <c r="B3718" s="1" t="n">
        <v>45334</v>
      </c>
      <c r="C3718" s="1" t="n">
        <v>46093</v>
      </c>
      <c r="D3718" t="inlineStr">
        <is>
          <t>ÖSTERGÖTLANDS LÄN</t>
        </is>
      </c>
      <c r="E3718" t="inlineStr">
        <is>
          <t>KINDA</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50082-2025</t>
        </is>
      </c>
      <c r="B3719" s="1" t="n">
        <v>45943.47072916666</v>
      </c>
      <c r="C3719" s="1" t="n">
        <v>46093</v>
      </c>
      <c r="D3719" t="inlineStr">
        <is>
          <t>ÖSTERGÖTLANDS LÄN</t>
        </is>
      </c>
      <c r="E3719" t="inlineStr">
        <is>
          <t>BOXHOLM</t>
        </is>
      </c>
      <c r="F3719" t="inlineStr">
        <is>
          <t>Övriga Aktiebolag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39903-2021</t>
        </is>
      </c>
      <c r="B3720" s="1" t="n">
        <v>44417.81138888889</v>
      </c>
      <c r="C3720" s="1" t="n">
        <v>46093</v>
      </c>
      <c r="D3720" t="inlineStr">
        <is>
          <t>ÖSTERGÖTLANDS LÄN</t>
        </is>
      </c>
      <c r="E3720" t="inlineStr">
        <is>
          <t>YDRE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39906-2021</t>
        </is>
      </c>
      <c r="B3721" s="1" t="n">
        <v>44417.81849537037</v>
      </c>
      <c r="C3721" s="1" t="n">
        <v>46093</v>
      </c>
      <c r="D3721" t="inlineStr">
        <is>
          <t>ÖSTERGÖTLANDS LÄN</t>
        </is>
      </c>
      <c r="E3721" t="inlineStr">
        <is>
          <t>YDRE</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39965-2021</t>
        </is>
      </c>
      <c r="B3722" s="1" t="n">
        <v>44417</v>
      </c>
      <c r="C3722" s="1" t="n">
        <v>46093</v>
      </c>
      <c r="D3722" t="inlineStr">
        <is>
          <t>ÖSTERGÖTLANDS LÄN</t>
        </is>
      </c>
      <c r="E3722" t="inlineStr">
        <is>
          <t>VALDEMARSVIK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1209-2023</t>
        </is>
      </c>
      <c r="B3723" s="1" t="n">
        <v>44930</v>
      </c>
      <c r="C3723" s="1" t="n">
        <v>46093</v>
      </c>
      <c r="D3723" t="inlineStr">
        <is>
          <t>ÖSTERGÖTLANDS LÄN</t>
        </is>
      </c>
      <c r="E3723" t="inlineStr">
        <is>
          <t>LINKÖPING</t>
        </is>
      </c>
      <c r="F3723" t="inlineStr">
        <is>
          <t>Övriga statliga verk och myndigheter</t>
        </is>
      </c>
      <c r="G3723" t="n">
        <v>25.8</v>
      </c>
      <c r="H3723" t="n">
        <v>0</v>
      </c>
      <c r="I3723" t="n">
        <v>0</v>
      </c>
      <c r="J3723" t="n">
        <v>0</v>
      </c>
      <c r="K3723" t="n">
        <v>0</v>
      </c>
      <c r="L3723" t="n">
        <v>0</v>
      </c>
      <c r="M3723" t="n">
        <v>0</v>
      </c>
      <c r="N3723" t="n">
        <v>0</v>
      </c>
      <c r="O3723" t="n">
        <v>0</v>
      </c>
      <c r="P3723" t="n">
        <v>0</v>
      </c>
      <c r="Q3723" t="n">
        <v>0</v>
      </c>
      <c r="R3723" s="2" t="inlineStr"/>
    </row>
    <row r="3724" ht="15" customHeight="1">
      <c r="A3724" t="inlineStr">
        <is>
          <t>A 50251-2025</t>
        </is>
      </c>
      <c r="B3724" s="1" t="n">
        <v>45944.32471064815</v>
      </c>
      <c r="C3724" s="1" t="n">
        <v>46093</v>
      </c>
      <c r="D3724" t="inlineStr">
        <is>
          <t>ÖSTERGÖTLANDS LÄN</t>
        </is>
      </c>
      <c r="E3724" t="inlineStr">
        <is>
          <t>ÅTVIDABERG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18196-2025</t>
        </is>
      </c>
      <c r="B3725" s="1" t="n">
        <v>45761.67773148148</v>
      </c>
      <c r="C3725" s="1" t="n">
        <v>46093</v>
      </c>
      <c r="D3725" t="inlineStr">
        <is>
          <t>ÖSTERGÖTLANDS LÄN</t>
        </is>
      </c>
      <c r="E3725" t="inlineStr">
        <is>
          <t>ÅTVIDABERG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18198-2025</t>
        </is>
      </c>
      <c r="B3726" s="1" t="n">
        <v>45761.68063657408</v>
      </c>
      <c r="C3726" s="1" t="n">
        <v>46093</v>
      </c>
      <c r="D3726" t="inlineStr">
        <is>
          <t>ÖSTERGÖTLANDS LÄN</t>
        </is>
      </c>
      <c r="E3726" t="inlineStr">
        <is>
          <t>KINDA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46908-2022</t>
        </is>
      </c>
      <c r="B3727" s="1" t="n">
        <v>44851</v>
      </c>
      <c r="C3727" s="1" t="n">
        <v>46093</v>
      </c>
      <c r="D3727" t="inlineStr">
        <is>
          <t>ÖSTERGÖTLANDS LÄN</t>
        </is>
      </c>
      <c r="E3727" t="inlineStr">
        <is>
          <t>KINDA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54654-2023</t>
        </is>
      </c>
      <c r="B3728" s="1" t="n">
        <v>45235.45121527778</v>
      </c>
      <c r="C3728" s="1" t="n">
        <v>46093</v>
      </c>
      <c r="D3728" t="inlineStr">
        <is>
          <t>ÖSTERGÖTLANDS LÄN</t>
        </is>
      </c>
      <c r="E3728" t="inlineStr">
        <is>
          <t>FINSPÅNG</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63150-2023</t>
        </is>
      </c>
      <c r="B3729" s="1" t="n">
        <v>45273</v>
      </c>
      <c r="C3729" s="1" t="n">
        <v>46093</v>
      </c>
      <c r="D3729" t="inlineStr">
        <is>
          <t>ÖSTERGÖTLANDS LÄN</t>
        </is>
      </c>
      <c r="E3729" t="inlineStr">
        <is>
          <t>MOTALA</t>
        </is>
      </c>
      <c r="F3729" t="inlineStr">
        <is>
          <t>Kyrkan</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58979-2022</t>
        </is>
      </c>
      <c r="B3730" s="1" t="n">
        <v>44903</v>
      </c>
      <c r="C3730" s="1" t="n">
        <v>46093</v>
      </c>
      <c r="D3730" t="inlineStr">
        <is>
          <t>ÖSTERGÖTLANDS LÄN</t>
        </is>
      </c>
      <c r="E3730" t="inlineStr">
        <is>
          <t>VALDEMARSVIK</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58984-2022</t>
        </is>
      </c>
      <c r="B3731" s="1" t="n">
        <v>44903.69664351852</v>
      </c>
      <c r="C3731" s="1" t="n">
        <v>46093</v>
      </c>
      <c r="D3731" t="inlineStr">
        <is>
          <t>ÖSTERGÖTLANDS LÄN</t>
        </is>
      </c>
      <c r="E3731" t="inlineStr">
        <is>
          <t>FINSPÅNG</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50395-2025</t>
        </is>
      </c>
      <c r="B3732" s="1" t="n">
        <v>45944</v>
      </c>
      <c r="C3732" s="1" t="n">
        <v>46093</v>
      </c>
      <c r="D3732" t="inlineStr">
        <is>
          <t>ÖSTERGÖTLANDS LÄN</t>
        </is>
      </c>
      <c r="E3732" t="inlineStr">
        <is>
          <t>FINSPÅNG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50056-2025</t>
        </is>
      </c>
      <c r="B3733" s="1" t="n">
        <v>45941</v>
      </c>
      <c r="C3733" s="1" t="n">
        <v>46093</v>
      </c>
      <c r="D3733" t="inlineStr">
        <is>
          <t>ÖSTERGÖTLANDS LÄN</t>
        </is>
      </c>
      <c r="E3733" t="inlineStr">
        <is>
          <t>LINKÖPING</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1383-2022</t>
        </is>
      </c>
      <c r="B3734" s="1" t="n">
        <v>44573.38521990741</v>
      </c>
      <c r="C3734" s="1" t="n">
        <v>46093</v>
      </c>
      <c r="D3734" t="inlineStr">
        <is>
          <t>ÖSTERGÖTLANDS LÄN</t>
        </is>
      </c>
      <c r="E3734" t="inlineStr">
        <is>
          <t>NORRKÖPING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39896-2023</t>
        </is>
      </c>
      <c r="B3735" s="1" t="n">
        <v>45166</v>
      </c>
      <c r="C3735" s="1" t="n">
        <v>46093</v>
      </c>
      <c r="D3735" t="inlineStr">
        <is>
          <t>ÖSTERGÖTLANDS LÄN</t>
        </is>
      </c>
      <c r="E3735" t="inlineStr">
        <is>
          <t>FINSPÅNG</t>
        </is>
      </c>
      <c r="F3735" t="inlineStr">
        <is>
          <t>Övriga Aktiebolag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35447-2023</t>
        </is>
      </c>
      <c r="B3736" s="1" t="n">
        <v>45146</v>
      </c>
      <c r="C3736" s="1" t="n">
        <v>46093</v>
      </c>
      <c r="D3736" t="inlineStr">
        <is>
          <t>ÖSTERGÖTLANDS LÄN</t>
        </is>
      </c>
      <c r="E3736" t="inlineStr">
        <is>
          <t>MJÖLBY</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61262-2023</t>
        </is>
      </c>
      <c r="B3737" s="1" t="n">
        <v>45261</v>
      </c>
      <c r="C3737" s="1" t="n">
        <v>46093</v>
      </c>
      <c r="D3737" t="inlineStr">
        <is>
          <t>ÖSTERGÖTLANDS LÄN</t>
        </is>
      </c>
      <c r="E3737" t="inlineStr">
        <is>
          <t>YDRE</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50137-2025</t>
        </is>
      </c>
      <c r="B3738" s="1" t="n">
        <v>45943.56265046296</v>
      </c>
      <c r="C3738" s="1" t="n">
        <v>46093</v>
      </c>
      <c r="D3738" t="inlineStr">
        <is>
          <t>ÖSTERGÖTLANDS LÄN</t>
        </is>
      </c>
      <c r="E3738" t="inlineStr">
        <is>
          <t>BOXHOLM</t>
        </is>
      </c>
      <c r="F3738" t="inlineStr">
        <is>
          <t>Övriga Aktiebolag</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20641-2023</t>
        </is>
      </c>
      <c r="B3739" s="1" t="n">
        <v>45058</v>
      </c>
      <c r="C3739" s="1" t="n">
        <v>46093</v>
      </c>
      <c r="D3739" t="inlineStr">
        <is>
          <t>ÖSTERGÖTLANDS LÄN</t>
        </is>
      </c>
      <c r="E3739" t="inlineStr">
        <is>
          <t>FINSPÅNG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23249-2023</t>
        </is>
      </c>
      <c r="B3740" s="1" t="n">
        <v>45075.71163194445</v>
      </c>
      <c r="C3740" s="1" t="n">
        <v>46093</v>
      </c>
      <c r="D3740" t="inlineStr">
        <is>
          <t>ÖSTERGÖTLANDS LÄN</t>
        </is>
      </c>
      <c r="E3740" t="inlineStr">
        <is>
          <t>FINSPÅNG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10690-2023</t>
        </is>
      </c>
      <c r="B3741" s="1" t="n">
        <v>44988.56204861111</v>
      </c>
      <c r="C3741" s="1" t="n">
        <v>46093</v>
      </c>
      <c r="D3741" t="inlineStr">
        <is>
          <t>ÖSTERGÖTLANDS LÄN</t>
        </is>
      </c>
      <c r="E3741" t="inlineStr">
        <is>
          <t>ÅTVIDABERG</t>
        </is>
      </c>
      <c r="F3741" t="inlineStr">
        <is>
          <t>Övriga Aktiebolag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50141-2025</t>
        </is>
      </c>
      <c r="B3742" s="1" t="n">
        <v>45943.56776620371</v>
      </c>
      <c r="C3742" s="1" t="n">
        <v>46093</v>
      </c>
      <c r="D3742" t="inlineStr">
        <is>
          <t>ÖSTERGÖTLANDS LÄN</t>
        </is>
      </c>
      <c r="E3742" t="inlineStr">
        <is>
          <t>BOXHOLM</t>
        </is>
      </c>
      <c r="F3742" t="inlineStr">
        <is>
          <t>Övriga Aktiebolag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31844-2023</t>
        </is>
      </c>
      <c r="B3743" s="1" t="n">
        <v>45106</v>
      </c>
      <c r="C3743" s="1" t="n">
        <v>46093</v>
      </c>
      <c r="D3743" t="inlineStr">
        <is>
          <t>ÖSTERGÖTLANDS LÄN</t>
        </is>
      </c>
      <c r="E3743" t="inlineStr">
        <is>
          <t>NORRKÖPING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50358-2025</t>
        </is>
      </c>
      <c r="B3744" s="1" t="n">
        <v>45944.56123842593</v>
      </c>
      <c r="C3744" s="1" t="n">
        <v>46093</v>
      </c>
      <c r="D3744" t="inlineStr">
        <is>
          <t>ÖSTERGÖTLANDS LÄN</t>
        </is>
      </c>
      <c r="E3744" t="inlineStr">
        <is>
          <t>ÖDESHÖG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18537-2025</t>
        </is>
      </c>
      <c r="B3745" s="1" t="n">
        <v>45763.41083333334</v>
      </c>
      <c r="C3745" s="1" t="n">
        <v>46093</v>
      </c>
      <c r="D3745" t="inlineStr">
        <is>
          <t>ÖSTERGÖTLANDS LÄN</t>
        </is>
      </c>
      <c r="E3745" t="inlineStr">
        <is>
          <t>NORRKÖPING</t>
        </is>
      </c>
      <c r="F3745" t="inlineStr">
        <is>
          <t>Holmen skog AB</t>
        </is>
      </c>
      <c r="G3745" t="n">
        <v>9.300000000000001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31415-2021</t>
        </is>
      </c>
      <c r="B3746" s="1" t="n">
        <v>44368</v>
      </c>
      <c r="C3746" s="1" t="n">
        <v>46093</v>
      </c>
      <c r="D3746" t="inlineStr">
        <is>
          <t>ÖSTERGÖTLANDS LÄN</t>
        </is>
      </c>
      <c r="E3746" t="inlineStr">
        <is>
          <t>SÖDERKÖPING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3399-2025</t>
        </is>
      </c>
      <c r="B3747" s="1" t="n">
        <v>45680.36810185185</v>
      </c>
      <c r="C3747" s="1" t="n">
        <v>46093</v>
      </c>
      <c r="D3747" t="inlineStr">
        <is>
          <t>ÖSTERGÖTLANDS LÄN</t>
        </is>
      </c>
      <c r="E3747" t="inlineStr">
        <is>
          <t>FINSPÅNG</t>
        </is>
      </c>
      <c r="F3747" t="inlineStr">
        <is>
          <t>Sveaskog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50612-2025</t>
        </is>
      </c>
      <c r="B3748" s="1" t="n">
        <v>45945.62560185185</v>
      </c>
      <c r="C3748" s="1" t="n">
        <v>46093</v>
      </c>
      <c r="D3748" t="inlineStr">
        <is>
          <t>ÖSTERGÖTLANDS LÄN</t>
        </is>
      </c>
      <c r="E3748" t="inlineStr">
        <is>
          <t>BOXHOLM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50613-2025</t>
        </is>
      </c>
      <c r="B3749" s="1" t="n">
        <v>45945.62715277778</v>
      </c>
      <c r="C3749" s="1" t="n">
        <v>46093</v>
      </c>
      <c r="D3749" t="inlineStr">
        <is>
          <t>ÖSTERGÖTLANDS LÄN</t>
        </is>
      </c>
      <c r="E3749" t="inlineStr">
        <is>
          <t>BOXHOLM</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17249-2024</t>
        </is>
      </c>
      <c r="B3750" s="1" t="n">
        <v>45414.39614583334</v>
      </c>
      <c r="C3750" s="1" t="n">
        <v>46093</v>
      </c>
      <c r="D3750" t="inlineStr">
        <is>
          <t>ÖSTERGÖTLANDS LÄN</t>
        </is>
      </c>
      <c r="E3750" t="inlineStr">
        <is>
          <t>NORRKÖPING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2085-2024</t>
        </is>
      </c>
      <c r="B3751" s="1" t="n">
        <v>45309</v>
      </c>
      <c r="C3751" s="1" t="n">
        <v>46093</v>
      </c>
      <c r="D3751" t="inlineStr">
        <is>
          <t>ÖSTERGÖTLANDS LÄN</t>
        </is>
      </c>
      <c r="E3751" t="inlineStr">
        <is>
          <t>LINKÖPING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6409-2025</t>
        </is>
      </c>
      <c r="B3752" s="1" t="n">
        <v>45699.45700231481</v>
      </c>
      <c r="C3752" s="1" t="n">
        <v>46093</v>
      </c>
      <c r="D3752" t="inlineStr">
        <is>
          <t>ÖSTERGÖTLANDS LÄN</t>
        </is>
      </c>
      <c r="E3752" t="inlineStr">
        <is>
          <t>KINDA</t>
        </is>
      </c>
      <c r="F3752" t="inlineStr">
        <is>
          <t>Sveaskog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50870-2025</t>
        </is>
      </c>
      <c r="B3753" s="1" t="n">
        <v>45946.60359953704</v>
      </c>
      <c r="C3753" s="1" t="n">
        <v>46093</v>
      </c>
      <c r="D3753" t="inlineStr">
        <is>
          <t>ÖSTERGÖTLANDS LÄN</t>
        </is>
      </c>
      <c r="E3753" t="inlineStr">
        <is>
          <t>ÅTVIDABERG</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15393-2025</t>
        </is>
      </c>
      <c r="B3754" s="1" t="n">
        <v>45747.43165509259</v>
      </c>
      <c r="C3754" s="1" t="n">
        <v>46093</v>
      </c>
      <c r="D3754" t="inlineStr">
        <is>
          <t>ÖSTERGÖTLANDS LÄN</t>
        </is>
      </c>
      <c r="E3754" t="inlineStr">
        <is>
          <t>ÖDESHÖG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5616-2022</t>
        </is>
      </c>
      <c r="B3755" s="1" t="n">
        <v>44595</v>
      </c>
      <c r="C3755" s="1" t="n">
        <v>46093</v>
      </c>
      <c r="D3755" t="inlineStr">
        <is>
          <t>ÖSTERGÖTLANDS LÄN</t>
        </is>
      </c>
      <c r="E3755" t="inlineStr">
        <is>
          <t>FINSPÅNG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52524-2023</t>
        </is>
      </c>
      <c r="B3756" s="1" t="n">
        <v>45225</v>
      </c>
      <c r="C3756" s="1" t="n">
        <v>46093</v>
      </c>
      <c r="D3756" t="inlineStr">
        <is>
          <t>ÖSTERGÖTLANDS LÄN</t>
        </is>
      </c>
      <c r="E3756" t="inlineStr">
        <is>
          <t>ÅTVIDABERG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61257-2023</t>
        </is>
      </c>
      <c r="B3757" s="1" t="n">
        <v>45261</v>
      </c>
      <c r="C3757" s="1" t="n">
        <v>46093</v>
      </c>
      <c r="D3757" t="inlineStr">
        <is>
          <t>ÖSTERGÖTLANDS LÄN</t>
        </is>
      </c>
      <c r="E3757" t="inlineStr">
        <is>
          <t>YDRE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48386-2024</t>
        </is>
      </c>
      <c r="B3758" s="1" t="n">
        <v>45590.59793981481</v>
      </c>
      <c r="C3758" s="1" t="n">
        <v>46093</v>
      </c>
      <c r="D3758" t="inlineStr">
        <is>
          <t>ÖSTERGÖTLANDS LÄN</t>
        </is>
      </c>
      <c r="E3758" t="inlineStr">
        <is>
          <t>KINDA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50807-2025</t>
        </is>
      </c>
      <c r="B3759" s="1" t="n">
        <v>45946.50857638889</v>
      </c>
      <c r="C3759" s="1" t="n">
        <v>46093</v>
      </c>
      <c r="D3759" t="inlineStr">
        <is>
          <t>ÖSTERGÖTLANDS LÄN</t>
        </is>
      </c>
      <c r="E3759" t="inlineStr">
        <is>
          <t>VALDEMARSVIK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54787-2022</t>
        </is>
      </c>
      <c r="B3760" s="1" t="n">
        <v>44883</v>
      </c>
      <c r="C3760" s="1" t="n">
        <v>46093</v>
      </c>
      <c r="D3760" t="inlineStr">
        <is>
          <t>ÖSTERGÖTLANDS LÄN</t>
        </is>
      </c>
      <c r="E3760" t="inlineStr">
        <is>
          <t>SÖDERKÖPING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49674-2025</t>
        </is>
      </c>
      <c r="B3761" s="1" t="n">
        <v>45938</v>
      </c>
      <c r="C3761" s="1" t="n">
        <v>46093</v>
      </c>
      <c r="D3761" t="inlineStr">
        <is>
          <t>ÖSTERGÖTLANDS LÄN</t>
        </is>
      </c>
      <c r="E3761" t="inlineStr">
        <is>
          <t>ÅTVIDABERG</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18686-2023</t>
        </is>
      </c>
      <c r="B3762" s="1" t="n">
        <v>45043</v>
      </c>
      <c r="C3762" s="1" t="n">
        <v>46093</v>
      </c>
      <c r="D3762" t="inlineStr">
        <is>
          <t>ÖSTERGÖTLANDS LÄN</t>
        </is>
      </c>
      <c r="E3762" t="inlineStr">
        <is>
          <t>NORRKÖPING</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38660-2024</t>
        </is>
      </c>
      <c r="B3763" s="1" t="n">
        <v>45546.97644675926</v>
      </c>
      <c r="C3763" s="1" t="n">
        <v>46093</v>
      </c>
      <c r="D3763" t="inlineStr">
        <is>
          <t>ÖSTERGÖTLANDS LÄN</t>
        </is>
      </c>
      <c r="E3763" t="inlineStr">
        <is>
          <t>MOTALA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50830-2025</t>
        </is>
      </c>
      <c r="B3764" s="1" t="n">
        <v>45946.55326388889</v>
      </c>
      <c r="C3764" s="1" t="n">
        <v>46093</v>
      </c>
      <c r="D3764" t="inlineStr">
        <is>
          <t>ÖSTERGÖTLANDS LÄN</t>
        </is>
      </c>
      <c r="E3764" t="inlineStr">
        <is>
          <t>ÅTVIDABERG</t>
        </is>
      </c>
      <c r="F3764" t="inlineStr">
        <is>
          <t>Övriga Aktiebolag</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8535-2025</t>
        </is>
      </c>
      <c r="B3765" s="1" t="n">
        <v>45709.58696759259</v>
      </c>
      <c r="C3765" s="1" t="n">
        <v>46093</v>
      </c>
      <c r="D3765" t="inlineStr">
        <is>
          <t>ÖSTERGÖTLANDS LÄN</t>
        </is>
      </c>
      <c r="E3765" t="inlineStr">
        <is>
          <t>FINSPÅNG</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50741-2025</t>
        </is>
      </c>
      <c r="B3766" s="1" t="n">
        <v>45946.3800462963</v>
      </c>
      <c r="C3766" s="1" t="n">
        <v>46093</v>
      </c>
      <c r="D3766" t="inlineStr">
        <is>
          <t>ÖSTERGÖTLANDS LÄN</t>
        </is>
      </c>
      <c r="E3766" t="inlineStr">
        <is>
          <t>KINDA</t>
        </is>
      </c>
      <c r="F3766" t="inlineStr">
        <is>
          <t>Övriga Aktiebolag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53239-2023</t>
        </is>
      </c>
      <c r="B3767" s="1" t="n">
        <v>45229</v>
      </c>
      <c r="C3767" s="1" t="n">
        <v>46093</v>
      </c>
      <c r="D3767" t="inlineStr">
        <is>
          <t>ÖSTERGÖTLANDS LÄN</t>
        </is>
      </c>
      <c r="E3767" t="inlineStr">
        <is>
          <t>KINDA</t>
        </is>
      </c>
      <c r="F3767" t="inlineStr">
        <is>
          <t>Allmännings- och besparingsskogar</t>
        </is>
      </c>
      <c r="G3767" t="n">
        <v>10.3</v>
      </c>
      <c r="H3767" t="n">
        <v>0</v>
      </c>
      <c r="I3767" t="n">
        <v>0</v>
      </c>
      <c r="J3767" t="n">
        <v>0</v>
      </c>
      <c r="K3767" t="n">
        <v>0</v>
      </c>
      <c r="L3767" t="n">
        <v>0</v>
      </c>
      <c r="M3767" t="n">
        <v>0</v>
      </c>
      <c r="N3767" t="n">
        <v>0</v>
      </c>
      <c r="O3767" t="n">
        <v>0</v>
      </c>
      <c r="P3767" t="n">
        <v>0</v>
      </c>
      <c r="Q3767" t="n">
        <v>0</v>
      </c>
      <c r="R3767" s="2" t="inlineStr"/>
    </row>
    <row r="3768" ht="15" customHeight="1">
      <c r="A3768" t="inlineStr">
        <is>
          <t>A 50619-2025</t>
        </is>
      </c>
      <c r="B3768" s="1" t="n">
        <v>45945.63074074074</v>
      </c>
      <c r="C3768" s="1" t="n">
        <v>46093</v>
      </c>
      <c r="D3768" t="inlineStr">
        <is>
          <t>ÖSTERGÖTLANDS LÄN</t>
        </is>
      </c>
      <c r="E3768" t="inlineStr">
        <is>
          <t>KINDA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50667-2025</t>
        </is>
      </c>
      <c r="B3769" s="1" t="n">
        <v>45945</v>
      </c>
      <c r="C3769" s="1" t="n">
        <v>46093</v>
      </c>
      <c r="D3769" t="inlineStr">
        <is>
          <t>ÖSTERGÖTLANDS LÄN</t>
        </is>
      </c>
      <c r="E3769" t="inlineStr">
        <is>
          <t>LINKÖPING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60682-2024</t>
        </is>
      </c>
      <c r="B3770" s="1" t="n">
        <v>45644.46488425926</v>
      </c>
      <c r="C3770" s="1" t="n">
        <v>46093</v>
      </c>
      <c r="D3770" t="inlineStr">
        <is>
          <t>ÖSTERGÖTLANDS LÄN</t>
        </is>
      </c>
      <c r="E3770" t="inlineStr">
        <is>
          <t>MOTALA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23677-2023</t>
        </is>
      </c>
      <c r="B3771" s="1" t="n">
        <v>45077</v>
      </c>
      <c r="C3771" s="1" t="n">
        <v>46093</v>
      </c>
      <c r="D3771" t="inlineStr">
        <is>
          <t>ÖSTERGÖTLANDS LÄN</t>
        </is>
      </c>
      <c r="E3771" t="inlineStr">
        <is>
          <t>VADSTENA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1260-2023</t>
        </is>
      </c>
      <c r="B3772" s="1" t="n">
        <v>44936</v>
      </c>
      <c r="C3772" s="1" t="n">
        <v>46093</v>
      </c>
      <c r="D3772" t="inlineStr">
        <is>
          <t>ÖSTERGÖTLANDS LÄN</t>
        </is>
      </c>
      <c r="E3772" t="inlineStr">
        <is>
          <t>LINKÖPING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50786-2025</t>
        </is>
      </c>
      <c r="B3773" s="1" t="n">
        <v>45946.46980324074</v>
      </c>
      <c r="C3773" s="1" t="n">
        <v>46093</v>
      </c>
      <c r="D3773" t="inlineStr">
        <is>
          <t>ÖSTERGÖTLANDS LÄN</t>
        </is>
      </c>
      <c r="E3773" t="inlineStr">
        <is>
          <t>MOTALA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50792-2025</t>
        </is>
      </c>
      <c r="B3774" s="1" t="n">
        <v>45946.47375</v>
      </c>
      <c r="C3774" s="1" t="n">
        <v>46093</v>
      </c>
      <c r="D3774" t="inlineStr">
        <is>
          <t>ÖSTERGÖTLANDS LÄN</t>
        </is>
      </c>
      <c r="E3774" t="inlineStr">
        <is>
          <t>YDRE</t>
        </is>
      </c>
      <c r="F3774" t="inlineStr">
        <is>
          <t>Övriga Aktiebolag</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7702-2023</t>
        </is>
      </c>
      <c r="B3775" s="1" t="n">
        <v>44967</v>
      </c>
      <c r="C3775" s="1" t="n">
        <v>46093</v>
      </c>
      <c r="D3775" t="inlineStr">
        <is>
          <t>ÖSTERGÖTLANDS LÄN</t>
        </is>
      </c>
      <c r="E3775" t="inlineStr">
        <is>
          <t>LINKÖPING</t>
        </is>
      </c>
      <c r="F3775" t="inlineStr">
        <is>
          <t>Övriga statliga verk och myndigheter</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13633-2021</t>
        </is>
      </c>
      <c r="B3776" s="1" t="n">
        <v>44274.41601851852</v>
      </c>
      <c r="C3776" s="1" t="n">
        <v>46093</v>
      </c>
      <c r="D3776" t="inlineStr">
        <is>
          <t>ÖSTERGÖTLANDS LÄN</t>
        </is>
      </c>
      <c r="E3776" t="inlineStr">
        <is>
          <t>BOXHOLM</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61066-2021</t>
        </is>
      </c>
      <c r="B3777" s="1" t="n">
        <v>44497</v>
      </c>
      <c r="C3777" s="1" t="n">
        <v>46093</v>
      </c>
      <c r="D3777" t="inlineStr">
        <is>
          <t>ÖSTERGÖTLANDS LÄN</t>
        </is>
      </c>
      <c r="E3777" t="inlineStr">
        <is>
          <t>BOXHOLM</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51630-2021</t>
        </is>
      </c>
      <c r="B3778" s="1" t="n">
        <v>44462.48349537037</v>
      </c>
      <c r="C3778" s="1" t="n">
        <v>46093</v>
      </c>
      <c r="D3778" t="inlineStr">
        <is>
          <t>ÖSTERGÖTLANDS LÄN</t>
        </is>
      </c>
      <c r="E3778" t="inlineStr">
        <is>
          <t>MJÖLBY</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4331-2023</t>
        </is>
      </c>
      <c r="B3779" s="1" t="n">
        <v>44953</v>
      </c>
      <c r="C3779" s="1" t="n">
        <v>46093</v>
      </c>
      <c r="D3779" t="inlineStr">
        <is>
          <t>ÖSTERGÖTLANDS LÄN</t>
        </is>
      </c>
      <c r="E3779" t="inlineStr">
        <is>
          <t>VALDEMARSVIK</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66424-2021</t>
        </is>
      </c>
      <c r="B3780" s="1" t="n">
        <v>44518</v>
      </c>
      <c r="C3780" s="1" t="n">
        <v>46093</v>
      </c>
      <c r="D3780" t="inlineStr">
        <is>
          <t>ÖSTERGÖTLANDS LÄN</t>
        </is>
      </c>
      <c r="E3780" t="inlineStr">
        <is>
          <t>VALDEMARSVIK</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50757-2025</t>
        </is>
      </c>
      <c r="B3781" s="1" t="n">
        <v>45946.41390046296</v>
      </c>
      <c r="C3781" s="1" t="n">
        <v>46093</v>
      </c>
      <c r="D3781" t="inlineStr">
        <is>
          <t>ÖSTERGÖTLANDS LÄN</t>
        </is>
      </c>
      <c r="E3781" t="inlineStr">
        <is>
          <t>ÅTVIDABERG</t>
        </is>
      </c>
      <c r="F3781" t="inlineStr">
        <is>
          <t>Övriga Aktiebolag</t>
        </is>
      </c>
      <c r="G3781" t="n">
        <v>20.4</v>
      </c>
      <c r="H3781" t="n">
        <v>0</v>
      </c>
      <c r="I3781" t="n">
        <v>0</v>
      </c>
      <c r="J3781" t="n">
        <v>0</v>
      </c>
      <c r="K3781" t="n">
        <v>0</v>
      </c>
      <c r="L3781" t="n">
        <v>0</v>
      </c>
      <c r="M3781" t="n">
        <v>0</v>
      </c>
      <c r="N3781" t="n">
        <v>0</v>
      </c>
      <c r="O3781" t="n">
        <v>0</v>
      </c>
      <c r="P3781" t="n">
        <v>0</v>
      </c>
      <c r="Q3781" t="n">
        <v>0</v>
      </c>
      <c r="R3781" s="2" t="inlineStr"/>
    </row>
    <row r="3782" ht="15" customHeight="1">
      <c r="A3782" t="inlineStr">
        <is>
          <t>A 58052-2021</t>
        </is>
      </c>
      <c r="B3782" s="1" t="n">
        <v>44487</v>
      </c>
      <c r="C3782" s="1" t="n">
        <v>46093</v>
      </c>
      <c r="D3782" t="inlineStr">
        <is>
          <t>ÖSTERGÖTLANDS LÄN</t>
        </is>
      </c>
      <c r="E3782" t="inlineStr">
        <is>
          <t>ÖDESHÖG</t>
        </is>
      </c>
      <c r="F3782" t="inlineStr">
        <is>
          <t>Sveaskog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59672-2024</t>
        </is>
      </c>
      <c r="B3783" s="1" t="n">
        <v>45639.38752314815</v>
      </c>
      <c r="C3783" s="1" t="n">
        <v>46093</v>
      </c>
      <c r="D3783" t="inlineStr">
        <is>
          <t>ÖSTERGÖTLANDS LÄN</t>
        </is>
      </c>
      <c r="E3783" t="inlineStr">
        <is>
          <t>FINSPÅNG</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8700-2025</t>
        </is>
      </c>
      <c r="B3784" s="1" t="n">
        <v>45712.48190972222</v>
      </c>
      <c r="C3784" s="1" t="n">
        <v>46093</v>
      </c>
      <c r="D3784" t="inlineStr">
        <is>
          <t>ÖSTERGÖTLANDS LÄN</t>
        </is>
      </c>
      <c r="E3784" t="inlineStr">
        <is>
          <t>FINSPÅNG</t>
        </is>
      </c>
      <c r="F3784" t="inlineStr">
        <is>
          <t>Holmen skog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60890-2024</t>
        </is>
      </c>
      <c r="B3785" s="1" t="n">
        <v>45644.94405092593</v>
      </c>
      <c r="C3785" s="1" t="n">
        <v>46093</v>
      </c>
      <c r="D3785" t="inlineStr">
        <is>
          <t>ÖSTERGÖTLANDS LÄN</t>
        </is>
      </c>
      <c r="E3785" t="inlineStr">
        <is>
          <t>FINSPÅNG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60899-2024</t>
        </is>
      </c>
      <c r="B3786" s="1" t="n">
        <v>45645.27707175926</v>
      </c>
      <c r="C3786" s="1" t="n">
        <v>46093</v>
      </c>
      <c r="D3786" t="inlineStr">
        <is>
          <t>ÖSTERGÖTLANDS LÄN</t>
        </is>
      </c>
      <c r="E3786" t="inlineStr">
        <is>
          <t>NORRKÖPING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58551-2023</t>
        </is>
      </c>
      <c r="B3787" s="1" t="n">
        <v>45251</v>
      </c>
      <c r="C3787" s="1" t="n">
        <v>46093</v>
      </c>
      <c r="D3787" t="inlineStr">
        <is>
          <t>ÖSTERGÖTLANDS LÄN</t>
        </is>
      </c>
      <c r="E3787" t="inlineStr">
        <is>
          <t>ÖDESHÖG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41898-2022</t>
        </is>
      </c>
      <c r="B3788" s="1" t="n">
        <v>44830.34554398148</v>
      </c>
      <c r="C3788" s="1" t="n">
        <v>46093</v>
      </c>
      <c r="D3788" t="inlineStr">
        <is>
          <t>ÖSTERGÖTLANDS LÄN</t>
        </is>
      </c>
      <c r="E3788" t="inlineStr">
        <is>
          <t>MOTALA</t>
        </is>
      </c>
      <c r="F3788" t="inlineStr">
        <is>
          <t>Sveaskog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41901-2022</t>
        </is>
      </c>
      <c r="B3789" s="1" t="n">
        <v>44830.34822916667</v>
      </c>
      <c r="C3789" s="1" t="n">
        <v>46093</v>
      </c>
      <c r="D3789" t="inlineStr">
        <is>
          <t>ÖSTERGÖTLANDS LÄN</t>
        </is>
      </c>
      <c r="E3789" t="inlineStr">
        <is>
          <t>MOTALA</t>
        </is>
      </c>
      <c r="F3789" t="inlineStr">
        <is>
          <t>Sveaskog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41924-2022</t>
        </is>
      </c>
      <c r="B3790" s="1" t="n">
        <v>44830.36934027778</v>
      </c>
      <c r="C3790" s="1" t="n">
        <v>46093</v>
      </c>
      <c r="D3790" t="inlineStr">
        <is>
          <t>ÖSTERGÖTLANDS LÄN</t>
        </is>
      </c>
      <c r="E3790" t="inlineStr">
        <is>
          <t>MOTALA</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62556-2021</t>
        </is>
      </c>
      <c r="B3791" s="1" t="n">
        <v>44503</v>
      </c>
      <c r="C3791" s="1" t="n">
        <v>46093</v>
      </c>
      <c r="D3791" t="inlineStr">
        <is>
          <t>ÖSTERGÖTLANDS LÄN</t>
        </is>
      </c>
      <c r="E3791" t="inlineStr">
        <is>
          <t>MOTALA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62565-2021</t>
        </is>
      </c>
      <c r="B3792" s="1" t="n">
        <v>44502</v>
      </c>
      <c r="C3792" s="1" t="n">
        <v>46093</v>
      </c>
      <c r="D3792" t="inlineStr">
        <is>
          <t>ÖSTERGÖTLANDS LÄN</t>
        </is>
      </c>
      <c r="E3792" t="inlineStr">
        <is>
          <t>KINDA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674-2024</t>
        </is>
      </c>
      <c r="B3793" s="1" t="n">
        <v>45300.34408564815</v>
      </c>
      <c r="C3793" s="1" t="n">
        <v>46093</v>
      </c>
      <c r="D3793" t="inlineStr">
        <is>
          <t>ÖSTERGÖTLANDS LÄN</t>
        </is>
      </c>
      <c r="E3793" t="inlineStr">
        <is>
          <t>LINKÖPING</t>
        </is>
      </c>
      <c r="F3793" t="inlineStr">
        <is>
          <t>Sveaskog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41925-2022</t>
        </is>
      </c>
      <c r="B3794" s="1" t="n">
        <v>44830.37002314815</v>
      </c>
      <c r="C3794" s="1" t="n">
        <v>46093</v>
      </c>
      <c r="D3794" t="inlineStr">
        <is>
          <t>ÖSTERGÖTLANDS LÄN</t>
        </is>
      </c>
      <c r="E3794" t="inlineStr">
        <is>
          <t>MOTALA</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41929-2022</t>
        </is>
      </c>
      <c r="B3795" s="1" t="n">
        <v>44830.37288194444</v>
      </c>
      <c r="C3795" s="1" t="n">
        <v>46093</v>
      </c>
      <c r="D3795" t="inlineStr">
        <is>
          <t>ÖSTERGÖTLANDS LÄN</t>
        </is>
      </c>
      <c r="E3795" t="inlineStr">
        <is>
          <t>MOTALA</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63684-2023</t>
        </is>
      </c>
      <c r="B3796" s="1" t="n">
        <v>45275</v>
      </c>
      <c r="C3796" s="1" t="n">
        <v>46093</v>
      </c>
      <c r="D3796" t="inlineStr">
        <is>
          <t>ÖSTERGÖTLANDS LÄN</t>
        </is>
      </c>
      <c r="E3796" t="inlineStr">
        <is>
          <t>LINKÖPING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167-2024</t>
        </is>
      </c>
      <c r="B3797" s="1" t="n">
        <v>45294</v>
      </c>
      <c r="C3797" s="1" t="n">
        <v>46093</v>
      </c>
      <c r="D3797" t="inlineStr">
        <is>
          <t>ÖSTERGÖTLANDS LÄN</t>
        </is>
      </c>
      <c r="E3797" t="inlineStr">
        <is>
          <t>LINKÖPING</t>
        </is>
      </c>
      <c r="F3797" t="inlineStr">
        <is>
          <t>Allmännings- och besparingsskogar</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37345-2025</t>
        </is>
      </c>
      <c r="B3798" s="1" t="n">
        <v>45876.70543981482</v>
      </c>
      <c r="C3798" s="1" t="n">
        <v>46093</v>
      </c>
      <c r="D3798" t="inlineStr">
        <is>
          <t>ÖSTERGÖTLANDS LÄN</t>
        </is>
      </c>
      <c r="E3798" t="inlineStr">
        <is>
          <t>SÖDERKÖPING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26494-2025</t>
        </is>
      </c>
      <c r="B3799" s="1" t="n">
        <v>45807</v>
      </c>
      <c r="C3799" s="1" t="n">
        <v>46093</v>
      </c>
      <c r="D3799" t="inlineStr">
        <is>
          <t>ÖSTERGÖTLANDS LÄN</t>
        </is>
      </c>
      <c r="E3799" t="inlineStr">
        <is>
          <t>NORRKÖPING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50514-2025</t>
        </is>
      </c>
      <c r="B3800" s="1" t="n">
        <v>45945.44903935185</v>
      </c>
      <c r="C3800" s="1" t="n">
        <v>46093</v>
      </c>
      <c r="D3800" t="inlineStr">
        <is>
          <t>ÖSTERGÖTLANDS LÄN</t>
        </is>
      </c>
      <c r="E3800" t="inlineStr">
        <is>
          <t>MOTALA</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48-2024</t>
        </is>
      </c>
      <c r="B3801" s="1" t="n">
        <v>45293</v>
      </c>
      <c r="C3801" s="1" t="n">
        <v>46093</v>
      </c>
      <c r="D3801" t="inlineStr">
        <is>
          <t>ÖSTERGÖTLANDS LÄN</t>
        </is>
      </c>
      <c r="E3801" t="inlineStr">
        <is>
          <t>LINKÖPING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50509-2025</t>
        </is>
      </c>
      <c r="B3802" s="1" t="n">
        <v>45945.43571759259</v>
      </c>
      <c r="C3802" s="1" t="n">
        <v>46093</v>
      </c>
      <c r="D3802" t="inlineStr">
        <is>
          <t>ÖSTERGÖTLANDS LÄN</t>
        </is>
      </c>
      <c r="E3802" t="inlineStr">
        <is>
          <t>MOTALA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12191-2023</t>
        </is>
      </c>
      <c r="B3803" s="1" t="n">
        <v>44998</v>
      </c>
      <c r="C3803" s="1" t="n">
        <v>46093</v>
      </c>
      <c r="D3803" t="inlineStr">
        <is>
          <t>ÖSTERGÖTLANDS LÄN</t>
        </is>
      </c>
      <c r="E3803" t="inlineStr">
        <is>
          <t>NORRKÖPING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14110-2023</t>
        </is>
      </c>
      <c r="B3804" s="1" t="n">
        <v>45009.38880787037</v>
      </c>
      <c r="C3804" s="1" t="n">
        <v>46093</v>
      </c>
      <c r="D3804" t="inlineStr">
        <is>
          <t>ÖSTERGÖTLANDS LÄN</t>
        </is>
      </c>
      <c r="E3804" t="inlineStr">
        <is>
          <t>FINSPÅNG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36777-2021</t>
        </is>
      </c>
      <c r="B3805" s="1" t="n">
        <v>44392</v>
      </c>
      <c r="C3805" s="1" t="n">
        <v>46093</v>
      </c>
      <c r="D3805" t="inlineStr">
        <is>
          <t>ÖSTERGÖTLANDS LÄN</t>
        </is>
      </c>
      <c r="E3805" t="inlineStr">
        <is>
          <t>ÅTVIDABERG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24711-2023</t>
        </is>
      </c>
      <c r="B3806" s="1" t="n">
        <v>45078</v>
      </c>
      <c r="C3806" s="1" t="n">
        <v>46093</v>
      </c>
      <c r="D3806" t="inlineStr">
        <is>
          <t>ÖSTERGÖTLANDS LÄN</t>
        </is>
      </c>
      <c r="E3806" t="inlineStr">
        <is>
          <t>KINDA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1000-2025</t>
        </is>
      </c>
      <c r="B3807" s="1" t="n">
        <v>45666</v>
      </c>
      <c r="C3807" s="1" t="n">
        <v>46093</v>
      </c>
      <c r="D3807" t="inlineStr">
        <is>
          <t>ÖSTERGÖTLANDS LÄN</t>
        </is>
      </c>
      <c r="E3807" t="inlineStr">
        <is>
          <t>YDRE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735-2025</t>
        </is>
      </c>
      <c r="B3808" s="1" t="n">
        <v>45665.41304398148</v>
      </c>
      <c r="C3808" s="1" t="n">
        <v>46093</v>
      </c>
      <c r="D3808" t="inlineStr">
        <is>
          <t>ÖSTERGÖTLANDS LÄN</t>
        </is>
      </c>
      <c r="E3808" t="inlineStr">
        <is>
          <t>FINSPÅNG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64898-2021</t>
        </is>
      </c>
      <c r="B3809" s="1" t="n">
        <v>44512</v>
      </c>
      <c r="C3809" s="1" t="n">
        <v>46093</v>
      </c>
      <c r="D3809" t="inlineStr">
        <is>
          <t>ÖSTERGÖTLANDS LÄN</t>
        </is>
      </c>
      <c r="E3809" t="inlineStr">
        <is>
          <t>NORRKÖPING</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36725-2023</t>
        </is>
      </c>
      <c r="B3810" s="1" t="n">
        <v>45153.68471064815</v>
      </c>
      <c r="C3810" s="1" t="n">
        <v>46093</v>
      </c>
      <c r="D3810" t="inlineStr">
        <is>
          <t>ÖSTERGÖTLANDS LÄN</t>
        </is>
      </c>
      <c r="E3810" t="inlineStr">
        <is>
          <t>LINKÖPING</t>
        </is>
      </c>
      <c r="F3810" t="inlineStr">
        <is>
          <t>Allmännings- och besparingsskogar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7275-2023</t>
        </is>
      </c>
      <c r="B3811" s="1" t="n">
        <v>44970.65930555556</v>
      </c>
      <c r="C3811" s="1" t="n">
        <v>46093</v>
      </c>
      <c r="D3811" t="inlineStr">
        <is>
          <t>ÖSTERGÖTLANDS LÄN</t>
        </is>
      </c>
      <c r="E3811" t="inlineStr">
        <is>
          <t>NORRKÖPING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51335-2025</t>
        </is>
      </c>
      <c r="B3812" s="1" t="n">
        <v>45950.42493055556</v>
      </c>
      <c r="C3812" s="1" t="n">
        <v>46093</v>
      </c>
      <c r="D3812" t="inlineStr">
        <is>
          <t>ÖSTERGÖTLANDS LÄN</t>
        </is>
      </c>
      <c r="E3812" t="inlineStr">
        <is>
          <t>MJÖLBY</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35293-2021</t>
        </is>
      </c>
      <c r="B3813" s="1" t="n">
        <v>44384</v>
      </c>
      <c r="C3813" s="1" t="n">
        <v>46093</v>
      </c>
      <c r="D3813" t="inlineStr">
        <is>
          <t>ÖSTERGÖTLANDS LÄN</t>
        </is>
      </c>
      <c r="E3813" t="inlineStr">
        <is>
          <t>NORRKÖPING</t>
        </is>
      </c>
      <c r="F3813" t="inlineStr">
        <is>
          <t>Kyrkan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30834-2022</t>
        </is>
      </c>
      <c r="B3814" s="1" t="n">
        <v>44767</v>
      </c>
      <c r="C3814" s="1" t="n">
        <v>46093</v>
      </c>
      <c r="D3814" t="inlineStr">
        <is>
          <t>ÖSTERGÖTLANDS LÄN</t>
        </is>
      </c>
      <c r="E3814" t="inlineStr">
        <is>
          <t>NORRKÖPING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23520-2022</t>
        </is>
      </c>
      <c r="B3815" s="1" t="n">
        <v>44721</v>
      </c>
      <c r="C3815" s="1" t="n">
        <v>46093</v>
      </c>
      <c r="D3815" t="inlineStr">
        <is>
          <t>ÖSTERGÖTLANDS LÄN</t>
        </is>
      </c>
      <c r="E3815" t="inlineStr">
        <is>
          <t>ÅTVIDABERG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13563-2025</t>
        </is>
      </c>
      <c r="B3816" s="1" t="n">
        <v>45736</v>
      </c>
      <c r="C3816" s="1" t="n">
        <v>46093</v>
      </c>
      <c r="D3816" t="inlineStr">
        <is>
          <t>ÖSTERGÖTLANDS LÄN</t>
        </is>
      </c>
      <c r="E3816" t="inlineStr">
        <is>
          <t>MJÖLBY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15183-2023</t>
        </is>
      </c>
      <c r="B3817" s="1" t="n">
        <v>45016.67141203704</v>
      </c>
      <c r="C3817" s="1" t="n">
        <v>46093</v>
      </c>
      <c r="D3817" t="inlineStr">
        <is>
          <t>ÖSTERGÖTLANDS LÄN</t>
        </is>
      </c>
      <c r="E3817" t="inlineStr">
        <is>
          <t>NORRKÖPING</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24804-2023</t>
        </is>
      </c>
      <c r="B3818" s="1" t="n">
        <v>45084.81885416667</v>
      </c>
      <c r="C3818" s="1" t="n">
        <v>46093</v>
      </c>
      <c r="D3818" t="inlineStr">
        <is>
          <t>ÖSTERGÖTLANDS LÄN</t>
        </is>
      </c>
      <c r="E3818" t="inlineStr">
        <is>
          <t>FINSPÅNG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929-2024</t>
        </is>
      </c>
      <c r="B3819" s="1" t="n">
        <v>45301</v>
      </c>
      <c r="C3819" s="1" t="n">
        <v>46093</v>
      </c>
      <c r="D3819" t="inlineStr">
        <is>
          <t>ÖSTERGÖTLANDS LÄN</t>
        </is>
      </c>
      <c r="E3819" t="inlineStr">
        <is>
          <t>BOXHOLM</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14241-2023</t>
        </is>
      </c>
      <c r="B3820" s="1" t="n">
        <v>45009</v>
      </c>
      <c r="C3820" s="1" t="n">
        <v>46093</v>
      </c>
      <c r="D3820" t="inlineStr">
        <is>
          <t>ÖSTERGÖTLANDS LÄN</t>
        </is>
      </c>
      <c r="E3820" t="inlineStr">
        <is>
          <t>FINSPÅNG</t>
        </is>
      </c>
      <c r="F3820" t="inlineStr">
        <is>
          <t>Holmen skog AB</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33542-2023</t>
        </is>
      </c>
      <c r="B3821" s="1" t="n">
        <v>45118</v>
      </c>
      <c r="C3821" s="1" t="n">
        <v>46093</v>
      </c>
      <c r="D3821" t="inlineStr">
        <is>
          <t>ÖSTERGÖTLANDS LÄN</t>
        </is>
      </c>
      <c r="E3821" t="inlineStr">
        <is>
          <t>ÅTVIDABERG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47003-2025</t>
        </is>
      </c>
      <c r="B3822" s="1" t="n">
        <v>45929</v>
      </c>
      <c r="C3822" s="1" t="n">
        <v>46093</v>
      </c>
      <c r="D3822" t="inlineStr">
        <is>
          <t>ÖSTERGÖTLANDS LÄN</t>
        </is>
      </c>
      <c r="E3822" t="inlineStr">
        <is>
          <t>KINDA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1890-2023</t>
        </is>
      </c>
      <c r="B3823" s="1" t="n">
        <v>44939.34498842592</v>
      </c>
      <c r="C3823" s="1" t="n">
        <v>46093</v>
      </c>
      <c r="D3823" t="inlineStr">
        <is>
          <t>ÖSTERGÖTLANDS LÄN</t>
        </is>
      </c>
      <c r="E3823" t="inlineStr">
        <is>
          <t>YDRE</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32050-2023</t>
        </is>
      </c>
      <c r="B3824" s="1" t="n">
        <v>45119.55380787037</v>
      </c>
      <c r="C3824" s="1" t="n">
        <v>46093</v>
      </c>
      <c r="D3824" t="inlineStr">
        <is>
          <t>ÖSTERGÖTLANDS LÄN</t>
        </is>
      </c>
      <c r="E3824" t="inlineStr">
        <is>
          <t>YDRE</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9174-2023</t>
        </is>
      </c>
      <c r="B3825" s="1" t="n">
        <v>44980</v>
      </c>
      <c r="C3825" s="1" t="n">
        <v>46093</v>
      </c>
      <c r="D3825" t="inlineStr">
        <is>
          <t>ÖSTERGÖTLANDS LÄN</t>
        </is>
      </c>
      <c r="E3825" t="inlineStr">
        <is>
          <t>NORRKÖPING</t>
        </is>
      </c>
      <c r="F3825" t="inlineStr">
        <is>
          <t>Holmen skog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1238-2025</t>
        </is>
      </c>
      <c r="B3826" s="1" t="n">
        <v>45667.45136574074</v>
      </c>
      <c r="C3826" s="1" t="n">
        <v>46093</v>
      </c>
      <c r="D3826" t="inlineStr">
        <is>
          <t>ÖSTERGÖTLANDS LÄN</t>
        </is>
      </c>
      <c r="E3826" t="inlineStr">
        <is>
          <t>VALDEMARSVIK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53785-2021</t>
        </is>
      </c>
      <c r="B3827" s="1" t="n">
        <v>44463</v>
      </c>
      <c r="C3827" s="1" t="n">
        <v>46093</v>
      </c>
      <c r="D3827" t="inlineStr">
        <is>
          <t>ÖSTERGÖTLANDS LÄN</t>
        </is>
      </c>
      <c r="E3827" t="inlineStr">
        <is>
          <t>VALDEMARSVIK</t>
        </is>
      </c>
      <c r="F3827" t="inlineStr">
        <is>
          <t>Övriga Aktiebolag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12734-2025</t>
        </is>
      </c>
      <c r="B3828" s="1" t="n">
        <v>45733.51623842592</v>
      </c>
      <c r="C3828" s="1" t="n">
        <v>46093</v>
      </c>
      <c r="D3828" t="inlineStr">
        <is>
          <t>ÖSTERGÖTLANDS LÄN</t>
        </is>
      </c>
      <c r="E3828" t="inlineStr">
        <is>
          <t>BOXHOLM</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58039-2024</t>
        </is>
      </c>
      <c r="B3829" s="1" t="n">
        <v>45631.72401620371</v>
      </c>
      <c r="C3829" s="1" t="n">
        <v>46093</v>
      </c>
      <c r="D3829" t="inlineStr">
        <is>
          <t>ÖSTERGÖTLANDS LÄN</t>
        </is>
      </c>
      <c r="E3829" t="inlineStr">
        <is>
          <t>FINSPÅNG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51171-2025</t>
        </is>
      </c>
      <c r="B3830" s="1" t="n">
        <v>45947.60431712963</v>
      </c>
      <c r="C3830" s="1" t="n">
        <v>46093</v>
      </c>
      <c r="D3830" t="inlineStr">
        <is>
          <t>ÖSTERGÖTLANDS LÄN</t>
        </is>
      </c>
      <c r="E3830" t="inlineStr">
        <is>
          <t>ÖDESHÖG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16659-2023</t>
        </is>
      </c>
      <c r="B3831" s="1" t="n">
        <v>45030</v>
      </c>
      <c r="C3831" s="1" t="n">
        <v>46093</v>
      </c>
      <c r="D3831" t="inlineStr">
        <is>
          <t>ÖSTERGÖTLANDS LÄN</t>
        </is>
      </c>
      <c r="E3831" t="inlineStr">
        <is>
          <t>NORRKÖPING</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51328-2025</t>
        </is>
      </c>
      <c r="B3832" s="1" t="n">
        <v>45950.41077546297</v>
      </c>
      <c r="C3832" s="1" t="n">
        <v>46093</v>
      </c>
      <c r="D3832" t="inlineStr">
        <is>
          <t>ÖSTERGÖTLANDS LÄN</t>
        </is>
      </c>
      <c r="E3832" t="inlineStr">
        <is>
          <t>ÖDESHÖG</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51091-2025</t>
        </is>
      </c>
      <c r="B3833" s="1" t="n">
        <v>45947.47361111111</v>
      </c>
      <c r="C3833" s="1" t="n">
        <v>46093</v>
      </c>
      <c r="D3833" t="inlineStr">
        <is>
          <t>ÖSTERGÖTLANDS LÄN</t>
        </is>
      </c>
      <c r="E3833" t="inlineStr">
        <is>
          <t>BOXHOLM</t>
        </is>
      </c>
      <c r="F3833" t="inlineStr">
        <is>
          <t>Övriga Aktiebolag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565-2025</t>
        </is>
      </c>
      <c r="B3834" s="1" t="n">
        <v>45664.55375</v>
      </c>
      <c r="C3834" s="1" t="n">
        <v>46093</v>
      </c>
      <c r="D3834" t="inlineStr">
        <is>
          <t>ÖSTERGÖTLANDS LÄN</t>
        </is>
      </c>
      <c r="E3834" t="inlineStr">
        <is>
          <t>YDRE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37069-2025</t>
        </is>
      </c>
      <c r="B3835" s="1" t="n">
        <v>45875</v>
      </c>
      <c r="C3835" s="1" t="n">
        <v>46093</v>
      </c>
      <c r="D3835" t="inlineStr">
        <is>
          <t>ÖSTERGÖTLANDS LÄN</t>
        </is>
      </c>
      <c r="E3835" t="inlineStr">
        <is>
          <t>KINDA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51326-2025</t>
        </is>
      </c>
      <c r="B3836" s="1" t="n">
        <v>45950.40321759259</v>
      </c>
      <c r="C3836" s="1" t="n">
        <v>46093</v>
      </c>
      <c r="D3836" t="inlineStr">
        <is>
          <t>ÖSTERGÖTLANDS LÄN</t>
        </is>
      </c>
      <c r="E3836" t="inlineStr">
        <is>
          <t>MJÖLBY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57449-2021</t>
        </is>
      </c>
      <c r="B3837" s="1" t="n">
        <v>44483</v>
      </c>
      <c r="C3837" s="1" t="n">
        <v>46093</v>
      </c>
      <c r="D3837" t="inlineStr">
        <is>
          <t>ÖSTERGÖTLANDS LÄN</t>
        </is>
      </c>
      <c r="E3837" t="inlineStr">
        <is>
          <t>KINDA</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27343-2023</t>
        </is>
      </c>
      <c r="B3838" s="1" t="n">
        <v>45096</v>
      </c>
      <c r="C3838" s="1" t="n">
        <v>46093</v>
      </c>
      <c r="D3838" t="inlineStr">
        <is>
          <t>ÖSTERGÖTLANDS LÄN</t>
        </is>
      </c>
      <c r="E3838" t="inlineStr">
        <is>
          <t>LINKÖPING</t>
        </is>
      </c>
      <c r="F3838" t="inlineStr">
        <is>
          <t>Allmännings- och besparingsskogar</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51802-2025</t>
        </is>
      </c>
      <c r="B3839" s="1" t="n">
        <v>45950</v>
      </c>
      <c r="C3839" s="1" t="n">
        <v>46093</v>
      </c>
      <c r="D3839" t="inlineStr">
        <is>
          <t>ÖSTERGÖTLANDS LÄN</t>
        </is>
      </c>
      <c r="E3839" t="inlineStr">
        <is>
          <t>LINKÖPING</t>
        </is>
      </c>
      <c r="F3839" t="inlineStr">
        <is>
          <t>Övriga Aktiebolag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41718-2023</t>
        </is>
      </c>
      <c r="B3840" s="1" t="n">
        <v>45176.39657407408</v>
      </c>
      <c r="C3840" s="1" t="n">
        <v>46093</v>
      </c>
      <c r="D3840" t="inlineStr">
        <is>
          <t>ÖSTERGÖTLANDS LÄN</t>
        </is>
      </c>
      <c r="E3840" t="inlineStr">
        <is>
          <t>KINDA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50971-2025</t>
        </is>
      </c>
      <c r="B3841" s="1" t="n">
        <v>45947.30487268518</v>
      </c>
      <c r="C3841" s="1" t="n">
        <v>46093</v>
      </c>
      <c r="D3841" t="inlineStr">
        <is>
          <t>ÖSTERGÖTLANDS LÄN</t>
        </is>
      </c>
      <c r="E3841" t="inlineStr">
        <is>
          <t>ÅTVIDABERG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36616-2024</t>
        </is>
      </c>
      <c r="B3842" s="1" t="n">
        <v>45537.57876157408</v>
      </c>
      <c r="C3842" s="1" t="n">
        <v>46093</v>
      </c>
      <c r="D3842" t="inlineStr">
        <is>
          <t>ÖSTERGÖTLANDS LÄN</t>
        </is>
      </c>
      <c r="E3842" t="inlineStr">
        <is>
          <t>YDRE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33027-2022</t>
        </is>
      </c>
      <c r="B3843" s="1" t="n">
        <v>44782</v>
      </c>
      <c r="C3843" s="1" t="n">
        <v>46093</v>
      </c>
      <c r="D3843" t="inlineStr">
        <is>
          <t>ÖSTERGÖTLANDS LÄN</t>
        </is>
      </c>
      <c r="E3843" t="inlineStr">
        <is>
          <t>FINSPÅNG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19631-2021</t>
        </is>
      </c>
      <c r="B3844" s="1" t="n">
        <v>44312</v>
      </c>
      <c r="C3844" s="1" t="n">
        <v>46093</v>
      </c>
      <c r="D3844" t="inlineStr">
        <is>
          <t>ÖSTERGÖTLANDS LÄN</t>
        </is>
      </c>
      <c r="E3844" t="inlineStr">
        <is>
          <t>NORRKÖPING</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62529-2023</t>
        </is>
      </c>
      <c r="B3845" s="1" t="n">
        <v>45268</v>
      </c>
      <c r="C3845" s="1" t="n">
        <v>46093</v>
      </c>
      <c r="D3845" t="inlineStr">
        <is>
          <t>ÖSTERGÖTLANDS LÄN</t>
        </is>
      </c>
      <c r="E3845" t="inlineStr">
        <is>
          <t>NORRKÖPING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35091-2023</t>
        </is>
      </c>
      <c r="B3846" s="1" t="n">
        <v>45145.4506712963</v>
      </c>
      <c r="C3846" s="1" t="n">
        <v>46093</v>
      </c>
      <c r="D3846" t="inlineStr">
        <is>
          <t>ÖSTERGÖTLANDS LÄN</t>
        </is>
      </c>
      <c r="E3846" t="inlineStr">
        <is>
          <t>BOXHOLM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35763-2025</t>
        </is>
      </c>
      <c r="B3847" s="1" t="n">
        <v>45860.62597222222</v>
      </c>
      <c r="C3847" s="1" t="n">
        <v>46093</v>
      </c>
      <c r="D3847" t="inlineStr">
        <is>
          <t>ÖSTERGÖTLANDS LÄN</t>
        </is>
      </c>
      <c r="E3847" t="inlineStr">
        <is>
          <t>BOXHOLM</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51508-2025</t>
        </is>
      </c>
      <c r="B3848" s="1" t="n">
        <v>45950.6440625</v>
      </c>
      <c r="C3848" s="1" t="n">
        <v>46093</v>
      </c>
      <c r="D3848" t="inlineStr">
        <is>
          <t>ÖSTERGÖTLANDS LÄN</t>
        </is>
      </c>
      <c r="E3848" t="inlineStr">
        <is>
          <t>FINSPÅNG</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6067-2022</t>
        </is>
      </c>
      <c r="B3849" s="1" t="n">
        <v>44599</v>
      </c>
      <c r="C3849" s="1" t="n">
        <v>46093</v>
      </c>
      <c r="D3849" t="inlineStr">
        <is>
          <t>ÖSTERGÖTLANDS LÄN</t>
        </is>
      </c>
      <c r="E3849" t="inlineStr">
        <is>
          <t>NORRKÖPING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25279-2024</t>
        </is>
      </c>
      <c r="B3850" s="1" t="n">
        <v>45462</v>
      </c>
      <c r="C3850" s="1" t="n">
        <v>46093</v>
      </c>
      <c r="D3850" t="inlineStr">
        <is>
          <t>ÖSTERGÖTLANDS LÄN</t>
        </is>
      </c>
      <c r="E3850" t="inlineStr">
        <is>
          <t>BOXHOLM</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52201-2024</t>
        </is>
      </c>
      <c r="B3851" s="1" t="n">
        <v>45608</v>
      </c>
      <c r="C3851" s="1" t="n">
        <v>46093</v>
      </c>
      <c r="D3851" t="inlineStr">
        <is>
          <t>ÖSTERGÖTLANDS LÄN</t>
        </is>
      </c>
      <c r="E3851" t="inlineStr">
        <is>
          <t>ÅTVIDABERG</t>
        </is>
      </c>
      <c r="F3851" t="inlineStr">
        <is>
          <t>Övriga Aktiebolag</t>
        </is>
      </c>
      <c r="G3851" t="n">
        <v>10.8</v>
      </c>
      <c r="H3851" t="n">
        <v>0</v>
      </c>
      <c r="I3851" t="n">
        <v>0</v>
      </c>
      <c r="J3851" t="n">
        <v>0</v>
      </c>
      <c r="K3851" t="n">
        <v>0</v>
      </c>
      <c r="L3851" t="n">
        <v>0</v>
      </c>
      <c r="M3851" t="n">
        <v>0</v>
      </c>
      <c r="N3851" t="n">
        <v>0</v>
      </c>
      <c r="O3851" t="n">
        <v>0</v>
      </c>
      <c r="P3851" t="n">
        <v>0</v>
      </c>
      <c r="Q3851" t="n">
        <v>0</v>
      </c>
      <c r="R3851" s="2" t="inlineStr"/>
    </row>
    <row r="3852" ht="15" customHeight="1">
      <c r="A3852" t="inlineStr">
        <is>
          <t>A 56560-2023</t>
        </is>
      </c>
      <c r="B3852" s="1" t="n">
        <v>45238</v>
      </c>
      <c r="C3852" s="1" t="n">
        <v>46093</v>
      </c>
      <c r="D3852" t="inlineStr">
        <is>
          <t>ÖSTERGÖTLANDS LÄN</t>
        </is>
      </c>
      <c r="E3852" t="inlineStr">
        <is>
          <t>LINKÖPING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52216-2024</t>
        </is>
      </c>
      <c r="B3853" s="1" t="n">
        <v>45608</v>
      </c>
      <c r="C3853" s="1" t="n">
        <v>46093</v>
      </c>
      <c r="D3853" t="inlineStr">
        <is>
          <t>ÖSTERGÖTLANDS LÄN</t>
        </is>
      </c>
      <c r="E3853" t="inlineStr">
        <is>
          <t>ÅTVIDABERG</t>
        </is>
      </c>
      <c r="F3853" t="inlineStr">
        <is>
          <t>Övriga Aktiebolag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28316-2023</t>
        </is>
      </c>
      <c r="B3854" s="1" t="n">
        <v>45098</v>
      </c>
      <c r="C3854" s="1" t="n">
        <v>46093</v>
      </c>
      <c r="D3854" t="inlineStr">
        <is>
          <t>ÖSTERGÖTLANDS LÄN</t>
        </is>
      </c>
      <c r="E3854" t="inlineStr">
        <is>
          <t>KINDA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51325-2025</t>
        </is>
      </c>
      <c r="B3855" s="1" t="n">
        <v>45950.39878472222</v>
      </c>
      <c r="C3855" s="1" t="n">
        <v>46093</v>
      </c>
      <c r="D3855" t="inlineStr">
        <is>
          <t>ÖSTERGÖTLANDS LÄN</t>
        </is>
      </c>
      <c r="E3855" t="inlineStr">
        <is>
          <t>MJÖLBY</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60994-2024</t>
        </is>
      </c>
      <c r="B3856" s="1" t="n">
        <v>45645.4250925926</v>
      </c>
      <c r="C3856" s="1" t="n">
        <v>46093</v>
      </c>
      <c r="D3856" t="inlineStr">
        <is>
          <t>ÖSTERGÖTLANDS LÄN</t>
        </is>
      </c>
      <c r="E3856" t="inlineStr">
        <is>
          <t>ÖDESHÖG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40728-2023</t>
        </is>
      </c>
      <c r="B3857" s="1" t="n">
        <v>45170</v>
      </c>
      <c r="C3857" s="1" t="n">
        <v>46093</v>
      </c>
      <c r="D3857" t="inlineStr">
        <is>
          <t>ÖSTERGÖTLANDS LÄN</t>
        </is>
      </c>
      <c r="E3857" t="inlineStr">
        <is>
          <t>VALDEMARSVIK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51449-2025</t>
        </is>
      </c>
      <c r="B3858" s="1" t="n">
        <v>45950.58934027778</v>
      </c>
      <c r="C3858" s="1" t="n">
        <v>46093</v>
      </c>
      <c r="D3858" t="inlineStr">
        <is>
          <t>ÖSTERGÖTLANDS LÄN</t>
        </is>
      </c>
      <c r="E3858" t="inlineStr">
        <is>
          <t>VALDEMARSVIK</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2430-2025</t>
        </is>
      </c>
      <c r="B3859" s="1" t="n">
        <v>45674.40616898148</v>
      </c>
      <c r="C3859" s="1" t="n">
        <v>46093</v>
      </c>
      <c r="D3859" t="inlineStr">
        <is>
          <t>ÖSTERGÖTLANDS LÄN</t>
        </is>
      </c>
      <c r="E3859" t="inlineStr">
        <is>
          <t>KINDA</t>
        </is>
      </c>
      <c r="F3859" t="inlineStr">
        <is>
          <t>Kommuner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27105-2023</t>
        </is>
      </c>
      <c r="B3860" s="1" t="n">
        <v>45096.42487268519</v>
      </c>
      <c r="C3860" s="1" t="n">
        <v>46093</v>
      </c>
      <c r="D3860" t="inlineStr">
        <is>
          <t>ÖSTERGÖTLANDS LÄN</t>
        </is>
      </c>
      <c r="E3860" t="inlineStr">
        <is>
          <t>FINSPÅNG</t>
        </is>
      </c>
      <c r="F3860" t="inlineStr">
        <is>
          <t>Holmen skog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6759-2023</t>
        </is>
      </c>
      <c r="B3861" s="1" t="n">
        <v>44966.90767361111</v>
      </c>
      <c r="C3861" s="1" t="n">
        <v>46093</v>
      </c>
      <c r="D3861" t="inlineStr">
        <is>
          <t>ÖSTERGÖTLANDS LÄN</t>
        </is>
      </c>
      <c r="E3861" t="inlineStr">
        <is>
          <t>YDRE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5976-2022</t>
        </is>
      </c>
      <c r="B3862" s="1" t="n">
        <v>44597</v>
      </c>
      <c r="C3862" s="1" t="n">
        <v>46093</v>
      </c>
      <c r="D3862" t="inlineStr">
        <is>
          <t>ÖSTERGÖTLANDS LÄN</t>
        </is>
      </c>
      <c r="E3862" t="inlineStr">
        <is>
          <t>NORRKÖPING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22774-2024</t>
        </is>
      </c>
      <c r="B3863" s="1" t="n">
        <v>45448.46924768519</v>
      </c>
      <c r="C3863" s="1" t="n">
        <v>46093</v>
      </c>
      <c r="D3863" t="inlineStr">
        <is>
          <t>ÖSTERGÖTLANDS LÄN</t>
        </is>
      </c>
      <c r="E3863" t="inlineStr">
        <is>
          <t>LINKÖPING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22778-2024</t>
        </is>
      </c>
      <c r="B3864" s="1" t="n">
        <v>45448.47233796296</v>
      </c>
      <c r="C3864" s="1" t="n">
        <v>46093</v>
      </c>
      <c r="D3864" t="inlineStr">
        <is>
          <t>ÖSTERGÖTLANDS LÄN</t>
        </is>
      </c>
      <c r="E3864" t="inlineStr">
        <is>
          <t>LINKÖPING</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51662-2025</t>
        </is>
      </c>
      <c r="B3865" s="1" t="n">
        <v>45951.48149305556</v>
      </c>
      <c r="C3865" s="1" t="n">
        <v>46093</v>
      </c>
      <c r="D3865" t="inlineStr">
        <is>
          <t>ÖSTERGÖTLANDS LÄN</t>
        </is>
      </c>
      <c r="E3865" t="inlineStr">
        <is>
          <t>FINSPÅNG</t>
        </is>
      </c>
      <c r="F3865" t="inlineStr">
        <is>
          <t>Allmännings- och besparingsskogar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19132-2023</t>
        </is>
      </c>
      <c r="B3866" s="1" t="n">
        <v>45048.54754629629</v>
      </c>
      <c r="C3866" s="1" t="n">
        <v>46093</v>
      </c>
      <c r="D3866" t="inlineStr">
        <is>
          <t>ÖSTERGÖTLANDS LÄN</t>
        </is>
      </c>
      <c r="E3866" t="inlineStr">
        <is>
          <t>LINKÖPING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13152-2024</t>
        </is>
      </c>
      <c r="B3867" s="1" t="n">
        <v>45386.35986111111</v>
      </c>
      <c r="C3867" s="1" t="n">
        <v>46093</v>
      </c>
      <c r="D3867" t="inlineStr">
        <is>
          <t>ÖSTERGÖTLANDS LÄN</t>
        </is>
      </c>
      <c r="E3867" t="inlineStr">
        <is>
          <t>NORRKÖPING</t>
        </is>
      </c>
      <c r="F3867" t="inlineStr">
        <is>
          <t>Holmen skog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13093-2021</t>
        </is>
      </c>
      <c r="B3868" s="1" t="n">
        <v>44271</v>
      </c>
      <c r="C3868" s="1" t="n">
        <v>46093</v>
      </c>
      <c r="D3868" t="inlineStr">
        <is>
          <t>ÖSTERGÖTLANDS LÄN</t>
        </is>
      </c>
      <c r="E3868" t="inlineStr">
        <is>
          <t>MOTALA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51753-2025</t>
        </is>
      </c>
      <c r="B3869" s="1" t="n">
        <v>45951.61917824074</v>
      </c>
      <c r="C3869" s="1" t="n">
        <v>46093</v>
      </c>
      <c r="D3869" t="inlineStr">
        <is>
          <t>ÖSTERGÖTLANDS LÄN</t>
        </is>
      </c>
      <c r="E3869" t="inlineStr">
        <is>
          <t>ÅTVIDABERG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4491-2023</t>
        </is>
      </c>
      <c r="B3870" s="1" t="n">
        <v>44956.54292824074</v>
      </c>
      <c r="C3870" s="1" t="n">
        <v>46093</v>
      </c>
      <c r="D3870" t="inlineStr">
        <is>
          <t>ÖSTERGÖTLANDS LÄN</t>
        </is>
      </c>
      <c r="E3870" t="inlineStr">
        <is>
          <t>SÖDERKÖPING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22714-2022</t>
        </is>
      </c>
      <c r="B3871" s="1" t="n">
        <v>44714</v>
      </c>
      <c r="C3871" s="1" t="n">
        <v>46093</v>
      </c>
      <c r="D3871" t="inlineStr">
        <is>
          <t>ÖSTERGÖTLANDS LÄN</t>
        </is>
      </c>
      <c r="E3871" t="inlineStr">
        <is>
          <t>FINSPÅNG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37512-2025</t>
        </is>
      </c>
      <c r="B3872" s="1" t="n">
        <v>45877</v>
      </c>
      <c r="C3872" s="1" t="n">
        <v>46093</v>
      </c>
      <c r="D3872" t="inlineStr">
        <is>
          <t>ÖSTERGÖTLANDS LÄN</t>
        </is>
      </c>
      <c r="E3872" t="inlineStr">
        <is>
          <t>ÅTVIDABERG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397-2024</t>
        </is>
      </c>
      <c r="B3873" s="1" t="n">
        <v>45296</v>
      </c>
      <c r="C3873" s="1" t="n">
        <v>46093</v>
      </c>
      <c r="D3873" t="inlineStr">
        <is>
          <t>ÖSTERGÖTLANDS LÄN</t>
        </is>
      </c>
      <c r="E3873" t="inlineStr">
        <is>
          <t>ÅTVIDABERG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15541-2023</t>
        </is>
      </c>
      <c r="B3874" s="1" t="n">
        <v>45020.56628472222</v>
      </c>
      <c r="C3874" s="1" t="n">
        <v>46093</v>
      </c>
      <c r="D3874" t="inlineStr">
        <is>
          <t>ÖSTERGÖTLANDS LÄN</t>
        </is>
      </c>
      <c r="E3874" t="inlineStr">
        <is>
          <t>VALDEMARSVIK</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43889-2023</t>
        </is>
      </c>
      <c r="B3875" s="1" t="n">
        <v>45187.65445601852</v>
      </c>
      <c r="C3875" s="1" t="n">
        <v>46093</v>
      </c>
      <c r="D3875" t="inlineStr">
        <is>
          <t>ÖSTERGÖTLANDS LÄN</t>
        </is>
      </c>
      <c r="E3875" t="inlineStr">
        <is>
          <t>SÖDERKÖPING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53820-2024</t>
        </is>
      </c>
      <c r="B3876" s="1" t="n">
        <v>45615.60596064815</v>
      </c>
      <c r="C3876" s="1" t="n">
        <v>46093</v>
      </c>
      <c r="D3876" t="inlineStr">
        <is>
          <t>ÖSTERGÖTLANDS LÄN</t>
        </is>
      </c>
      <c r="E3876" t="inlineStr">
        <is>
          <t>MOTALA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32795-2024</t>
        </is>
      </c>
      <c r="B3877" s="1" t="n">
        <v>45516.5593287037</v>
      </c>
      <c r="C3877" s="1" t="n">
        <v>46093</v>
      </c>
      <c r="D3877" t="inlineStr">
        <is>
          <t>ÖSTERGÖTLANDS LÄN</t>
        </is>
      </c>
      <c r="E3877" t="inlineStr">
        <is>
          <t>FINSPÅNG</t>
        </is>
      </c>
      <c r="F3877" t="inlineStr">
        <is>
          <t>Kommuner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51994-2025</t>
        </is>
      </c>
      <c r="B3878" s="1" t="n">
        <v>45952.58421296296</v>
      </c>
      <c r="C3878" s="1" t="n">
        <v>46093</v>
      </c>
      <c r="D3878" t="inlineStr">
        <is>
          <t>ÖSTERGÖTLANDS LÄN</t>
        </is>
      </c>
      <c r="E3878" t="inlineStr">
        <is>
          <t>FINSPÅNG</t>
        </is>
      </c>
      <c r="F3878" t="inlineStr">
        <is>
          <t>Allmännings- och besparingsskogar</t>
        </is>
      </c>
      <c r="G3878" t="n">
        <v>8.9</v>
      </c>
      <c r="H3878" t="n">
        <v>0</v>
      </c>
      <c r="I3878" t="n">
        <v>0</v>
      </c>
      <c r="J3878" t="n">
        <v>0</v>
      </c>
      <c r="K3878" t="n">
        <v>0</v>
      </c>
      <c r="L3878" t="n">
        <v>0</v>
      </c>
      <c r="M3878" t="n">
        <v>0</v>
      </c>
      <c r="N3878" t="n">
        <v>0</v>
      </c>
      <c r="O3878" t="n">
        <v>0</v>
      </c>
      <c r="P3878" t="n">
        <v>0</v>
      </c>
      <c r="Q3878" t="n">
        <v>0</v>
      </c>
      <c r="R3878" s="2" t="inlineStr"/>
    </row>
    <row r="3879" ht="15" customHeight="1">
      <c r="A3879" t="inlineStr">
        <is>
          <t>A 7058-2024</t>
        </is>
      </c>
      <c r="B3879" s="1" t="n">
        <v>45343</v>
      </c>
      <c r="C3879" s="1" t="n">
        <v>46093</v>
      </c>
      <c r="D3879" t="inlineStr">
        <is>
          <t>ÖSTERGÖTLANDS LÄN</t>
        </is>
      </c>
      <c r="E3879" t="inlineStr">
        <is>
          <t>MOTALA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51549-2025</t>
        </is>
      </c>
      <c r="B3880" s="1" t="n">
        <v>45950.82328703703</v>
      </c>
      <c r="C3880" s="1" t="n">
        <v>46093</v>
      </c>
      <c r="D3880" t="inlineStr">
        <is>
          <t>ÖSTERGÖTLANDS LÄN</t>
        </is>
      </c>
      <c r="E3880" t="inlineStr">
        <is>
          <t>FINSPÅNG</t>
        </is>
      </c>
      <c r="F3880" t="inlineStr">
        <is>
          <t>Övriga Aktiebolag</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26216-2025</t>
        </is>
      </c>
      <c r="B3881" s="1" t="n">
        <v>45805.54620370371</v>
      </c>
      <c r="C3881" s="1" t="n">
        <v>46093</v>
      </c>
      <c r="D3881" t="inlineStr">
        <is>
          <t>ÖSTERGÖTLANDS LÄN</t>
        </is>
      </c>
      <c r="E3881" t="inlineStr">
        <is>
          <t>MOTALA</t>
        </is>
      </c>
      <c r="F3881" t="inlineStr">
        <is>
          <t>Sveaskog</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507-2024</t>
        </is>
      </c>
      <c r="B3882" s="1" t="n">
        <v>45299</v>
      </c>
      <c r="C3882" s="1" t="n">
        <v>46093</v>
      </c>
      <c r="D3882" t="inlineStr">
        <is>
          <t>ÖSTERGÖTLANDS LÄN</t>
        </is>
      </c>
      <c r="E3882" t="inlineStr">
        <is>
          <t>FINSPÅNG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34864-2023</t>
        </is>
      </c>
      <c r="B3883" s="1" t="n">
        <v>45141</v>
      </c>
      <c r="C3883" s="1" t="n">
        <v>46093</v>
      </c>
      <c r="D3883" t="inlineStr">
        <is>
          <t>ÖSTERGÖTLANDS LÄN</t>
        </is>
      </c>
      <c r="E3883" t="inlineStr">
        <is>
          <t>LINKÖPING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51746-2025</t>
        </is>
      </c>
      <c r="B3884" s="1" t="n">
        <v>45951.61362268519</v>
      </c>
      <c r="C3884" s="1" t="n">
        <v>46093</v>
      </c>
      <c r="D3884" t="inlineStr">
        <is>
          <t>ÖSTERGÖTLANDS LÄN</t>
        </is>
      </c>
      <c r="E3884" t="inlineStr">
        <is>
          <t>ÅTVIDABERG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13583-2025</t>
        </is>
      </c>
      <c r="B3885" s="1" t="n">
        <v>45736.59162037037</v>
      </c>
      <c r="C3885" s="1" t="n">
        <v>46093</v>
      </c>
      <c r="D3885" t="inlineStr">
        <is>
          <t>ÖSTERGÖTLANDS LÄN</t>
        </is>
      </c>
      <c r="E3885" t="inlineStr">
        <is>
          <t>ÅTVIDABERG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61544-2024</t>
        </is>
      </c>
      <c r="B3886" s="1" t="n">
        <v>45646.5981712963</v>
      </c>
      <c r="C3886" s="1" t="n">
        <v>46093</v>
      </c>
      <c r="D3886" t="inlineStr">
        <is>
          <t>ÖSTERGÖTLANDS LÄN</t>
        </is>
      </c>
      <c r="E3886" t="inlineStr">
        <is>
          <t>KINDA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34662-2024</t>
        </is>
      </c>
      <c r="B3887" s="1" t="n">
        <v>45526.49626157407</v>
      </c>
      <c r="C3887" s="1" t="n">
        <v>46093</v>
      </c>
      <c r="D3887" t="inlineStr">
        <is>
          <t>ÖSTERGÖTLANDS LÄN</t>
        </is>
      </c>
      <c r="E3887" t="inlineStr">
        <is>
          <t>MJÖLBY</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47899-2023</t>
        </is>
      </c>
      <c r="B3888" s="1" t="n">
        <v>45204</v>
      </c>
      <c r="C3888" s="1" t="n">
        <v>46093</v>
      </c>
      <c r="D3888" t="inlineStr">
        <is>
          <t>ÖSTERGÖTLANDS LÄN</t>
        </is>
      </c>
      <c r="E3888" t="inlineStr">
        <is>
          <t>YDRE</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410-2025</t>
        </is>
      </c>
      <c r="B3889" s="1" t="n">
        <v>45663.66900462963</v>
      </c>
      <c r="C3889" s="1" t="n">
        <v>46093</v>
      </c>
      <c r="D3889" t="inlineStr">
        <is>
          <t>ÖSTERGÖTLANDS LÄN</t>
        </is>
      </c>
      <c r="E3889" t="inlineStr">
        <is>
          <t>SÖDERKÖPING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31628-2022</t>
        </is>
      </c>
      <c r="B3890" s="1" t="n">
        <v>44775</v>
      </c>
      <c r="C3890" s="1" t="n">
        <v>46093</v>
      </c>
      <c r="D3890" t="inlineStr">
        <is>
          <t>ÖSTERGÖTLANDS LÄN</t>
        </is>
      </c>
      <c r="E3890" t="inlineStr">
        <is>
          <t>SÖDERKÖPING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31683-2022</t>
        </is>
      </c>
      <c r="B3891" s="1" t="n">
        <v>44776</v>
      </c>
      <c r="C3891" s="1" t="n">
        <v>46093</v>
      </c>
      <c r="D3891" t="inlineStr">
        <is>
          <t>ÖSTERGÖTLANDS LÄN</t>
        </is>
      </c>
      <c r="E3891" t="inlineStr">
        <is>
          <t>MOTALA</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49069-2023</t>
        </is>
      </c>
      <c r="B3892" s="1" t="n">
        <v>45210</v>
      </c>
      <c r="C3892" s="1" t="n">
        <v>46093</v>
      </c>
      <c r="D3892" t="inlineStr">
        <is>
          <t>ÖSTERGÖTLANDS LÄN</t>
        </is>
      </c>
      <c r="E3892" t="inlineStr">
        <is>
          <t>BOXHOLM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52531-2023</t>
        </is>
      </c>
      <c r="B3893" s="1" t="n">
        <v>45225</v>
      </c>
      <c r="C3893" s="1" t="n">
        <v>46093</v>
      </c>
      <c r="D3893" t="inlineStr">
        <is>
          <t>ÖSTERGÖTLANDS LÄN</t>
        </is>
      </c>
      <c r="E3893" t="inlineStr">
        <is>
          <t>LINKÖPING</t>
        </is>
      </c>
      <c r="F3893" t="inlineStr">
        <is>
          <t>Övriga Aktiebolag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426-2025</t>
        </is>
      </c>
      <c r="B3894" s="1" t="n">
        <v>45664.34681712963</v>
      </c>
      <c r="C3894" s="1" t="n">
        <v>46093</v>
      </c>
      <c r="D3894" t="inlineStr">
        <is>
          <t>ÖSTERGÖTLANDS LÄN</t>
        </is>
      </c>
      <c r="E3894" t="inlineStr">
        <is>
          <t>ÅTVIDABERG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45354-2023</t>
        </is>
      </c>
      <c r="B3895" s="1" t="n">
        <v>45192</v>
      </c>
      <c r="C3895" s="1" t="n">
        <v>46093</v>
      </c>
      <c r="D3895" t="inlineStr">
        <is>
          <t>ÖSTERGÖTLANDS LÄN</t>
        </is>
      </c>
      <c r="E3895" t="inlineStr">
        <is>
          <t>YDRE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10758-2022</t>
        </is>
      </c>
      <c r="B3896" s="1" t="n">
        <v>44627</v>
      </c>
      <c r="C3896" s="1" t="n">
        <v>46093</v>
      </c>
      <c r="D3896" t="inlineStr">
        <is>
          <t>ÖSTERGÖTLANDS LÄN</t>
        </is>
      </c>
      <c r="E3896" t="inlineStr">
        <is>
          <t>KINDA</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52043-2025</t>
        </is>
      </c>
      <c r="B3897" s="1" t="n">
        <v>45952.61621527778</v>
      </c>
      <c r="C3897" s="1" t="n">
        <v>46093</v>
      </c>
      <c r="D3897" t="inlineStr">
        <is>
          <t>ÖSTERGÖTLANDS LÄN</t>
        </is>
      </c>
      <c r="E3897" t="inlineStr">
        <is>
          <t>FINSPÅNG</t>
        </is>
      </c>
      <c r="F3897" t="inlineStr">
        <is>
          <t>Allmännings- och besparingsskogar</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3035-2025</t>
        </is>
      </c>
      <c r="B3898" s="1" t="n">
        <v>45678.59783564815</v>
      </c>
      <c r="C3898" s="1" t="n">
        <v>46093</v>
      </c>
      <c r="D3898" t="inlineStr">
        <is>
          <t>ÖSTERGÖTLANDS LÄN</t>
        </is>
      </c>
      <c r="E3898" t="inlineStr">
        <is>
          <t>NORRKÖPING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34930-2023</t>
        </is>
      </c>
      <c r="B3899" s="1" t="n">
        <v>45142</v>
      </c>
      <c r="C3899" s="1" t="n">
        <v>46093</v>
      </c>
      <c r="D3899" t="inlineStr">
        <is>
          <t>ÖSTERGÖTLANDS LÄN</t>
        </is>
      </c>
      <c r="E3899" t="inlineStr">
        <is>
          <t>LINKÖPING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34941-2023</t>
        </is>
      </c>
      <c r="B3900" s="1" t="n">
        <v>45142.55728009259</v>
      </c>
      <c r="C3900" s="1" t="n">
        <v>46093</v>
      </c>
      <c r="D3900" t="inlineStr">
        <is>
          <t>ÖSTERGÖTLANDS LÄN</t>
        </is>
      </c>
      <c r="E3900" t="inlineStr">
        <is>
          <t>FINSPÅNG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19318-2025</t>
        </is>
      </c>
      <c r="B3901" s="1" t="n">
        <v>45769.57802083333</v>
      </c>
      <c r="C3901" s="1" t="n">
        <v>46093</v>
      </c>
      <c r="D3901" t="inlineStr">
        <is>
          <t>ÖSTERGÖTLANDS LÄN</t>
        </is>
      </c>
      <c r="E3901" t="inlineStr">
        <is>
          <t>NORRKÖPING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37554-2025</t>
        </is>
      </c>
      <c r="B3902" s="1" t="n">
        <v>45880.32181712963</v>
      </c>
      <c r="C3902" s="1" t="n">
        <v>46093</v>
      </c>
      <c r="D3902" t="inlineStr">
        <is>
          <t>ÖSTERGÖTLANDS LÄN</t>
        </is>
      </c>
      <c r="E3902" t="inlineStr">
        <is>
          <t>BOXHOLM</t>
        </is>
      </c>
      <c r="F3902" t="inlineStr">
        <is>
          <t>Övriga Aktiebolag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29622-2022</t>
        </is>
      </c>
      <c r="B3903" s="1" t="n">
        <v>44754.57658564814</v>
      </c>
      <c r="C3903" s="1" t="n">
        <v>46093</v>
      </c>
      <c r="D3903" t="inlineStr">
        <is>
          <t>ÖSTERGÖTLANDS LÄN</t>
        </is>
      </c>
      <c r="E3903" t="inlineStr">
        <is>
          <t>NORRKÖPING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3592-2024</t>
        </is>
      </c>
      <c r="B3904" s="1" t="n">
        <v>45320.70833333334</v>
      </c>
      <c r="C3904" s="1" t="n">
        <v>46093</v>
      </c>
      <c r="D3904" t="inlineStr">
        <is>
          <t>ÖSTERGÖTLANDS LÄN</t>
        </is>
      </c>
      <c r="E3904" t="inlineStr">
        <is>
          <t>FINSPÅNG</t>
        </is>
      </c>
      <c r="F3904" t="inlineStr">
        <is>
          <t>Holmen skog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26583-2022</t>
        </is>
      </c>
      <c r="B3905" s="1" t="n">
        <v>44739.52209490741</v>
      </c>
      <c r="C3905" s="1" t="n">
        <v>46093</v>
      </c>
      <c r="D3905" t="inlineStr">
        <is>
          <t>ÖSTERGÖTLANDS LÄN</t>
        </is>
      </c>
      <c r="E3905" t="inlineStr">
        <is>
          <t>NORRKÖPING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52412-2023</t>
        </is>
      </c>
      <c r="B3906" s="1" t="n">
        <v>45225.27888888889</v>
      </c>
      <c r="C3906" s="1" t="n">
        <v>46093</v>
      </c>
      <c r="D3906" t="inlineStr">
        <is>
          <t>ÖSTERGÖTLANDS LÄN</t>
        </is>
      </c>
      <c r="E3906" t="inlineStr">
        <is>
          <t>LINKÖPING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45447-2023</t>
        </is>
      </c>
      <c r="B3907" s="1" t="n">
        <v>45194.40474537037</v>
      </c>
      <c r="C3907" s="1" t="n">
        <v>46093</v>
      </c>
      <c r="D3907" t="inlineStr">
        <is>
          <t>ÖSTERGÖTLANDS LÄN</t>
        </is>
      </c>
      <c r="E3907" t="inlineStr">
        <is>
          <t>YDRE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41580-2023</t>
        </is>
      </c>
      <c r="B3908" s="1" t="n">
        <v>45175.62292824074</v>
      </c>
      <c r="C3908" s="1" t="n">
        <v>46093</v>
      </c>
      <c r="D3908" t="inlineStr">
        <is>
          <t>ÖSTERGÖTLANDS LÄN</t>
        </is>
      </c>
      <c r="E3908" t="inlineStr">
        <is>
          <t>KINDA</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29078-2022</t>
        </is>
      </c>
      <c r="B3909" s="1" t="n">
        <v>44749</v>
      </c>
      <c r="C3909" s="1" t="n">
        <v>46093</v>
      </c>
      <c r="D3909" t="inlineStr">
        <is>
          <t>ÖSTERGÖTLANDS LÄN</t>
        </is>
      </c>
      <c r="E3909" t="inlineStr">
        <is>
          <t>FINSPÅNG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52111-2025</t>
        </is>
      </c>
      <c r="B3910" s="1" t="n">
        <v>45952.69527777778</v>
      </c>
      <c r="C3910" s="1" t="n">
        <v>46093</v>
      </c>
      <c r="D3910" t="inlineStr">
        <is>
          <t>ÖSTERGÖTLANDS LÄN</t>
        </is>
      </c>
      <c r="E3910" t="inlineStr">
        <is>
          <t>LINKÖPING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34572-2024</t>
        </is>
      </c>
      <c r="B3911" s="1" t="n">
        <v>45526.35109953704</v>
      </c>
      <c r="C3911" s="1" t="n">
        <v>46093</v>
      </c>
      <c r="D3911" t="inlineStr">
        <is>
          <t>ÖSTERGÖTLANDS LÄN</t>
        </is>
      </c>
      <c r="E3911" t="inlineStr">
        <is>
          <t>VALDEMARSVIK</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46422-2023</t>
        </is>
      </c>
      <c r="B3912" s="1" t="n">
        <v>45197.55799768519</v>
      </c>
      <c r="C3912" s="1" t="n">
        <v>46093</v>
      </c>
      <c r="D3912" t="inlineStr">
        <is>
          <t>ÖSTERGÖTLANDS LÄN</t>
        </is>
      </c>
      <c r="E3912" t="inlineStr">
        <is>
          <t>SÖDERKÖPING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19370-2025</t>
        </is>
      </c>
      <c r="B3913" s="1" t="n">
        <v>45769.63837962963</v>
      </c>
      <c r="C3913" s="1" t="n">
        <v>46093</v>
      </c>
      <c r="D3913" t="inlineStr">
        <is>
          <t>ÖSTERGÖTLANDS LÄN</t>
        </is>
      </c>
      <c r="E3913" t="inlineStr">
        <is>
          <t>YDRE</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13661-2021</t>
        </is>
      </c>
      <c r="B3914" s="1" t="n">
        <v>44274</v>
      </c>
      <c r="C3914" s="1" t="n">
        <v>46093</v>
      </c>
      <c r="D3914" t="inlineStr">
        <is>
          <t>ÖSTERGÖTLANDS LÄN</t>
        </is>
      </c>
      <c r="E3914" t="inlineStr">
        <is>
          <t>KINDA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957-2024</t>
        </is>
      </c>
      <c r="B3915" s="1" t="n">
        <v>45301.57243055556</v>
      </c>
      <c r="C3915" s="1" t="n">
        <v>46093</v>
      </c>
      <c r="D3915" t="inlineStr">
        <is>
          <t>ÖSTERGÖTLANDS LÄN</t>
        </is>
      </c>
      <c r="E3915" t="inlineStr">
        <is>
          <t>BOXHOLM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62492-2023</t>
        </is>
      </c>
      <c r="B3916" s="1" t="n">
        <v>45268.58987268519</v>
      </c>
      <c r="C3916" s="1" t="n">
        <v>46093</v>
      </c>
      <c r="D3916" t="inlineStr">
        <is>
          <t>ÖSTERGÖTLANDS LÄN</t>
        </is>
      </c>
      <c r="E3916" t="inlineStr">
        <is>
          <t>LINKÖPING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13735-2021</t>
        </is>
      </c>
      <c r="B3917" s="1" t="n">
        <v>44274</v>
      </c>
      <c r="C3917" s="1" t="n">
        <v>46093</v>
      </c>
      <c r="D3917" t="inlineStr">
        <is>
          <t>ÖSTERGÖTLANDS LÄN</t>
        </is>
      </c>
      <c r="E3917" t="inlineStr">
        <is>
          <t>BOXHOLM</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51894-2025</t>
        </is>
      </c>
      <c r="B3918" s="1" t="n">
        <v>45952.42783564814</v>
      </c>
      <c r="C3918" s="1" t="n">
        <v>46093</v>
      </c>
      <c r="D3918" t="inlineStr">
        <is>
          <t>ÖSTERGÖTLANDS LÄN</t>
        </is>
      </c>
      <c r="E3918" t="inlineStr">
        <is>
          <t>FINSPÅNG</t>
        </is>
      </c>
      <c r="F3918" t="inlineStr">
        <is>
          <t>Allmännings- och besparingsskogar</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23783-2022</t>
        </is>
      </c>
      <c r="B3919" s="1" t="n">
        <v>44721</v>
      </c>
      <c r="C3919" s="1" t="n">
        <v>46093</v>
      </c>
      <c r="D3919" t="inlineStr">
        <is>
          <t>ÖSTERGÖTLANDS LÄN</t>
        </is>
      </c>
      <c r="E3919" t="inlineStr">
        <is>
          <t>NORRKÖPING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23827-2022</t>
        </is>
      </c>
      <c r="B3920" s="1" t="n">
        <v>44722</v>
      </c>
      <c r="C3920" s="1" t="n">
        <v>46093</v>
      </c>
      <c r="D3920" t="inlineStr">
        <is>
          <t>ÖSTERGÖTLANDS LÄN</t>
        </is>
      </c>
      <c r="E3920" t="inlineStr">
        <is>
          <t>VALDEMARSVIK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26058-2022</t>
        </is>
      </c>
      <c r="B3921" s="1" t="n">
        <v>44734</v>
      </c>
      <c r="C3921" s="1" t="n">
        <v>46093</v>
      </c>
      <c r="D3921" t="inlineStr">
        <is>
          <t>ÖSTERGÖTLANDS LÄN</t>
        </is>
      </c>
      <c r="E3921" t="inlineStr">
        <is>
          <t>SÖDERKÖPING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51719-2025</t>
        </is>
      </c>
      <c r="B3922" s="1" t="n">
        <v>45951.57859953704</v>
      </c>
      <c r="C3922" s="1" t="n">
        <v>46093</v>
      </c>
      <c r="D3922" t="inlineStr">
        <is>
          <t>ÖSTERGÖTLANDS LÄN</t>
        </is>
      </c>
      <c r="E3922" t="inlineStr">
        <is>
          <t>NORRKÖPING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6990-2023</t>
        </is>
      </c>
      <c r="B3923" s="1" t="n">
        <v>44967.70900462963</v>
      </c>
      <c r="C3923" s="1" t="n">
        <v>46093</v>
      </c>
      <c r="D3923" t="inlineStr">
        <is>
          <t>ÖSTERGÖTLANDS LÄN</t>
        </is>
      </c>
      <c r="E3923" t="inlineStr">
        <is>
          <t>MOTALA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6992-2023</t>
        </is>
      </c>
      <c r="B3924" s="1" t="n">
        <v>44967.72672453704</v>
      </c>
      <c r="C3924" s="1" t="n">
        <v>46093</v>
      </c>
      <c r="D3924" t="inlineStr">
        <is>
          <t>ÖSTERGÖTLANDS LÄN</t>
        </is>
      </c>
      <c r="E3924" t="inlineStr">
        <is>
          <t>MOTALA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1330-2025</t>
        </is>
      </c>
      <c r="B3925" s="1" t="n">
        <v>45667.57810185185</v>
      </c>
      <c r="C3925" s="1" t="n">
        <v>46093</v>
      </c>
      <c r="D3925" t="inlineStr">
        <is>
          <t>ÖSTERGÖTLANDS LÄN</t>
        </is>
      </c>
      <c r="E3925" t="inlineStr">
        <is>
          <t>VALDEMARSVIK</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51744-2025</t>
        </is>
      </c>
      <c r="B3926" s="1" t="n">
        <v>45951.60975694445</v>
      </c>
      <c r="C3926" s="1" t="n">
        <v>46093</v>
      </c>
      <c r="D3926" t="inlineStr">
        <is>
          <t>ÖSTERGÖTLANDS LÄN</t>
        </is>
      </c>
      <c r="E3926" t="inlineStr">
        <is>
          <t>ÅTVIDABERG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23946-2025</t>
        </is>
      </c>
      <c r="B3927" s="1" t="n">
        <v>45796</v>
      </c>
      <c r="C3927" s="1" t="n">
        <v>46093</v>
      </c>
      <c r="D3927" t="inlineStr">
        <is>
          <t>ÖSTERGÖTLANDS LÄN</t>
        </is>
      </c>
      <c r="E3927" t="inlineStr">
        <is>
          <t>NORRKÖPING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37694-2023</t>
        </is>
      </c>
      <c r="B3928" s="1" t="n">
        <v>45159.57116898148</v>
      </c>
      <c r="C3928" s="1" t="n">
        <v>46093</v>
      </c>
      <c r="D3928" t="inlineStr">
        <is>
          <t>ÖSTERGÖTLANDS LÄN</t>
        </is>
      </c>
      <c r="E3928" t="inlineStr">
        <is>
          <t>SÖDERKÖPING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31362-2023</t>
        </is>
      </c>
      <c r="B3929" s="1" t="n">
        <v>45114</v>
      </c>
      <c r="C3929" s="1" t="n">
        <v>46093</v>
      </c>
      <c r="D3929" t="inlineStr">
        <is>
          <t>ÖSTERGÖTLANDS LÄN</t>
        </is>
      </c>
      <c r="E3929" t="inlineStr">
        <is>
          <t>NORRKÖPING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7141-2023</t>
        </is>
      </c>
      <c r="B3930" s="1" t="n">
        <v>44970.44197916667</v>
      </c>
      <c r="C3930" s="1" t="n">
        <v>46093</v>
      </c>
      <c r="D3930" t="inlineStr">
        <is>
          <t>ÖSTERGÖTLANDS LÄN</t>
        </is>
      </c>
      <c r="E3930" t="inlineStr">
        <is>
          <t>NORRKÖPING</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50181-2023</t>
        </is>
      </c>
      <c r="B3931" s="1" t="n">
        <v>45208</v>
      </c>
      <c r="C3931" s="1" t="n">
        <v>46093</v>
      </c>
      <c r="D3931" t="inlineStr">
        <is>
          <t>ÖSTERGÖTLANDS LÄN</t>
        </is>
      </c>
      <c r="E3931" t="inlineStr">
        <is>
          <t>MJÖLBY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53944-2024</t>
        </is>
      </c>
      <c r="B3932" s="1" t="n">
        <v>45616.27108796296</v>
      </c>
      <c r="C3932" s="1" t="n">
        <v>46093</v>
      </c>
      <c r="D3932" t="inlineStr">
        <is>
          <t>ÖSTERGÖTLANDS LÄN</t>
        </is>
      </c>
      <c r="E3932" t="inlineStr">
        <is>
          <t>FINSPÅNG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53945-2024</t>
        </is>
      </c>
      <c r="B3933" s="1" t="n">
        <v>45616.28719907408</v>
      </c>
      <c r="C3933" s="1" t="n">
        <v>46093</v>
      </c>
      <c r="D3933" t="inlineStr">
        <is>
          <t>ÖSTERGÖTLANDS LÄN</t>
        </is>
      </c>
      <c r="E3933" t="inlineStr">
        <is>
          <t>FINSPÅNG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71524-2021</t>
        </is>
      </c>
      <c r="B3934" s="1" t="n">
        <v>44538</v>
      </c>
      <c r="C3934" s="1" t="n">
        <v>46093</v>
      </c>
      <c r="D3934" t="inlineStr">
        <is>
          <t>ÖSTERGÖTLANDS LÄN</t>
        </is>
      </c>
      <c r="E3934" t="inlineStr">
        <is>
          <t>YDRE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53975-2024</t>
        </is>
      </c>
      <c r="B3935" s="1" t="n">
        <v>45616.32519675926</v>
      </c>
      <c r="C3935" s="1" t="n">
        <v>46093</v>
      </c>
      <c r="D3935" t="inlineStr">
        <is>
          <t>ÖSTERGÖTLANDS LÄN</t>
        </is>
      </c>
      <c r="E3935" t="inlineStr">
        <is>
          <t>YDRE</t>
        </is>
      </c>
      <c r="F3935" t="inlineStr">
        <is>
          <t>Kyrkan</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37742-2025</t>
        </is>
      </c>
      <c r="B3936" s="1" t="n">
        <v>45880.65869212963</v>
      </c>
      <c r="C3936" s="1" t="n">
        <v>46093</v>
      </c>
      <c r="D3936" t="inlineStr">
        <is>
          <t>ÖSTERGÖTLANDS LÄN</t>
        </is>
      </c>
      <c r="E3936" t="inlineStr">
        <is>
          <t>FINSPÅNG</t>
        </is>
      </c>
      <c r="F3936" t="inlineStr">
        <is>
          <t>Holmen skog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30985-2022</t>
        </is>
      </c>
      <c r="B3937" s="1" t="n">
        <v>44768</v>
      </c>
      <c r="C3937" s="1" t="n">
        <v>46093</v>
      </c>
      <c r="D3937" t="inlineStr">
        <is>
          <t>ÖSTERGÖTLANDS LÄN</t>
        </is>
      </c>
      <c r="E3937" t="inlineStr">
        <is>
          <t>LINKÖPING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33743-2024</t>
        </is>
      </c>
      <c r="B3938" s="1" t="n">
        <v>45520.56111111111</v>
      </c>
      <c r="C3938" s="1" t="n">
        <v>46093</v>
      </c>
      <c r="D3938" t="inlineStr">
        <is>
          <t>ÖSTERGÖTLANDS LÄN</t>
        </is>
      </c>
      <c r="E3938" t="inlineStr">
        <is>
          <t>FINSPÅNG</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37665-2025</t>
        </is>
      </c>
      <c r="B3939" s="1" t="n">
        <v>45880</v>
      </c>
      <c r="C3939" s="1" t="n">
        <v>46093</v>
      </c>
      <c r="D3939" t="inlineStr">
        <is>
          <t>ÖSTERGÖTLANDS LÄN</t>
        </is>
      </c>
      <c r="E3939" t="inlineStr">
        <is>
          <t>YDRE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21371-2021</t>
        </is>
      </c>
      <c r="B3940" s="1" t="n">
        <v>44321</v>
      </c>
      <c r="C3940" s="1" t="n">
        <v>46093</v>
      </c>
      <c r="D3940" t="inlineStr">
        <is>
          <t>ÖSTERGÖTLANDS LÄN</t>
        </is>
      </c>
      <c r="E3940" t="inlineStr">
        <is>
          <t>VALDEMARSVIK</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39024-2023</t>
        </is>
      </c>
      <c r="B3941" s="1" t="n">
        <v>45163.82409722222</v>
      </c>
      <c r="C3941" s="1" t="n">
        <v>46093</v>
      </c>
      <c r="D3941" t="inlineStr">
        <is>
          <t>ÖSTERGÖTLANDS LÄN</t>
        </is>
      </c>
      <c r="E3941" t="inlineStr">
        <is>
          <t>ÖDESHÖG</t>
        </is>
      </c>
      <c r="F3941" t="inlineStr">
        <is>
          <t>Allmännings- och besparingsskogar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39027-2023</t>
        </is>
      </c>
      <c r="B3942" s="1" t="n">
        <v>45163.83277777778</v>
      </c>
      <c r="C3942" s="1" t="n">
        <v>46093</v>
      </c>
      <c r="D3942" t="inlineStr">
        <is>
          <t>ÖSTERGÖTLANDS LÄN</t>
        </is>
      </c>
      <c r="E3942" t="inlineStr">
        <is>
          <t>ÖDESHÖG</t>
        </is>
      </c>
      <c r="F3942" t="inlineStr">
        <is>
          <t>Allmännings- och besparingsskogar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37670-2025</t>
        </is>
      </c>
      <c r="B3943" s="1" t="n">
        <v>45880</v>
      </c>
      <c r="C3943" s="1" t="n">
        <v>46093</v>
      </c>
      <c r="D3943" t="inlineStr">
        <is>
          <t>ÖSTERGÖTLANDS LÄN</t>
        </is>
      </c>
      <c r="E3943" t="inlineStr">
        <is>
          <t>KINDA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52608-2025</t>
        </is>
      </c>
      <c r="B3944" s="1" t="n">
        <v>45953</v>
      </c>
      <c r="C3944" s="1" t="n">
        <v>46093</v>
      </c>
      <c r="D3944" t="inlineStr">
        <is>
          <t>ÖSTERGÖTLANDS LÄN</t>
        </is>
      </c>
      <c r="E3944" t="inlineStr">
        <is>
          <t>YDRE</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52586-2025</t>
        </is>
      </c>
      <c r="B3945" s="1" t="n">
        <v>45953</v>
      </c>
      <c r="C3945" s="1" t="n">
        <v>46093</v>
      </c>
      <c r="D3945" t="inlineStr">
        <is>
          <t>ÖSTERGÖTLANDS LÄN</t>
        </is>
      </c>
      <c r="E3945" t="inlineStr">
        <is>
          <t>YDRE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23941-2025</t>
        </is>
      </c>
      <c r="B3946" s="1" t="n">
        <v>45796</v>
      </c>
      <c r="C3946" s="1" t="n">
        <v>46093</v>
      </c>
      <c r="D3946" t="inlineStr">
        <is>
          <t>ÖSTERGÖTLANDS LÄN</t>
        </is>
      </c>
      <c r="E3946" t="inlineStr">
        <is>
          <t>NORRKÖPING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49249-2023</t>
        </is>
      </c>
      <c r="B3947" s="1" t="n">
        <v>45205</v>
      </c>
      <c r="C3947" s="1" t="n">
        <v>46093</v>
      </c>
      <c r="D3947" t="inlineStr">
        <is>
          <t>ÖSTERGÖTLANDS LÄN</t>
        </is>
      </c>
      <c r="E3947" t="inlineStr">
        <is>
          <t>MOTALA</t>
        </is>
      </c>
      <c r="F3947" t="inlineStr">
        <is>
          <t>Övriga statliga verk och myndigheter</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12434-2023</t>
        </is>
      </c>
      <c r="B3948" s="1" t="n">
        <v>44999</v>
      </c>
      <c r="C3948" s="1" t="n">
        <v>46093</v>
      </c>
      <c r="D3948" t="inlineStr">
        <is>
          <t>ÖSTERGÖTLANDS LÄN</t>
        </is>
      </c>
      <c r="E3948" t="inlineStr">
        <is>
          <t>MOTALA</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19324-2021</t>
        </is>
      </c>
      <c r="B3949" s="1" t="n">
        <v>44309</v>
      </c>
      <c r="C3949" s="1" t="n">
        <v>46093</v>
      </c>
      <c r="D3949" t="inlineStr">
        <is>
          <t>ÖSTERGÖTLANDS LÄN</t>
        </is>
      </c>
      <c r="E3949" t="inlineStr">
        <is>
          <t>KINDA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31127-2022</t>
        </is>
      </c>
      <c r="B3950" s="1" t="n">
        <v>44770</v>
      </c>
      <c r="C3950" s="1" t="n">
        <v>46093</v>
      </c>
      <c r="D3950" t="inlineStr">
        <is>
          <t>ÖSTERGÖTLANDS LÄN</t>
        </is>
      </c>
      <c r="E3950" t="inlineStr">
        <is>
          <t>ÅTVIDABERG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11924-2025</t>
        </is>
      </c>
      <c r="B3951" s="1" t="n">
        <v>45728.50487268518</v>
      </c>
      <c r="C3951" s="1" t="n">
        <v>46093</v>
      </c>
      <c r="D3951" t="inlineStr">
        <is>
          <t>ÖSTERGÖTLANDS LÄN</t>
        </is>
      </c>
      <c r="E3951" t="inlineStr">
        <is>
          <t>MJÖLBY</t>
        </is>
      </c>
      <c r="F3951" t="inlineStr">
        <is>
          <t>Sveaskog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52598-2025</t>
        </is>
      </c>
      <c r="B3952" s="1" t="n">
        <v>45953</v>
      </c>
      <c r="C3952" s="1" t="n">
        <v>46093</v>
      </c>
      <c r="D3952" t="inlineStr">
        <is>
          <t>ÖSTERGÖTLANDS LÄN</t>
        </is>
      </c>
      <c r="E3952" t="inlineStr">
        <is>
          <t>YDRE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52416-2025</t>
        </is>
      </c>
      <c r="B3953" s="1" t="n">
        <v>45954.36793981482</v>
      </c>
      <c r="C3953" s="1" t="n">
        <v>46093</v>
      </c>
      <c r="D3953" t="inlineStr">
        <is>
          <t>ÖSTERGÖTLANDS LÄN</t>
        </is>
      </c>
      <c r="E3953" t="inlineStr">
        <is>
          <t>NORRKÖPING</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48691-2024</t>
        </is>
      </c>
      <c r="B3954" s="1" t="n">
        <v>45593.50768518518</v>
      </c>
      <c r="C3954" s="1" t="n">
        <v>46093</v>
      </c>
      <c r="D3954" t="inlineStr">
        <is>
          <t>ÖSTERGÖTLANDS LÄN</t>
        </is>
      </c>
      <c r="E3954" t="inlineStr">
        <is>
          <t>FINSPÅNG</t>
        </is>
      </c>
      <c r="F3954" t="inlineStr">
        <is>
          <t>Övriga Aktiebolag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56317-2021</t>
        </is>
      </c>
      <c r="B3955" s="1" t="n">
        <v>44480.3503587963</v>
      </c>
      <c r="C3955" s="1" t="n">
        <v>46093</v>
      </c>
      <c r="D3955" t="inlineStr">
        <is>
          <t>ÖSTERGÖTLANDS LÄN</t>
        </is>
      </c>
      <c r="E3955" t="inlineStr">
        <is>
          <t>KINDA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7073-2025</t>
        </is>
      </c>
      <c r="B3956" s="1" t="n">
        <v>45701.66731481482</v>
      </c>
      <c r="C3956" s="1" t="n">
        <v>46093</v>
      </c>
      <c r="D3956" t="inlineStr">
        <is>
          <t>ÖSTERGÖTLANDS LÄN</t>
        </is>
      </c>
      <c r="E3956" t="inlineStr">
        <is>
          <t>YDRE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52385-2025</t>
        </is>
      </c>
      <c r="B3957" s="1" t="n">
        <v>45954.28444444444</v>
      </c>
      <c r="C3957" s="1" t="n">
        <v>46093</v>
      </c>
      <c r="D3957" t="inlineStr">
        <is>
          <t>ÖSTERGÖTLANDS LÄN</t>
        </is>
      </c>
      <c r="E3957" t="inlineStr">
        <is>
          <t>MOTALA</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49494-2022</t>
        </is>
      </c>
      <c r="B3958" s="1" t="n">
        <v>44861</v>
      </c>
      <c r="C3958" s="1" t="n">
        <v>46093</v>
      </c>
      <c r="D3958" t="inlineStr">
        <is>
          <t>ÖSTERGÖTLANDS LÄN</t>
        </is>
      </c>
      <c r="E3958" t="inlineStr">
        <is>
          <t>FINSPÅNG</t>
        </is>
      </c>
      <c r="F3958" t="inlineStr">
        <is>
          <t>Naturvårdsverket</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6484-2025</t>
        </is>
      </c>
      <c r="B3959" s="1" t="n">
        <v>45699.61924768519</v>
      </c>
      <c r="C3959" s="1" t="n">
        <v>46093</v>
      </c>
      <c r="D3959" t="inlineStr">
        <is>
          <t>ÖSTERGÖTLANDS LÄN</t>
        </is>
      </c>
      <c r="E3959" t="inlineStr">
        <is>
          <t>ÖDESHÖG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6487-2025</t>
        </is>
      </c>
      <c r="B3960" s="1" t="n">
        <v>45699.62314814814</v>
      </c>
      <c r="C3960" s="1" t="n">
        <v>46093</v>
      </c>
      <c r="D3960" t="inlineStr">
        <is>
          <t>ÖSTERGÖTLANDS LÄN</t>
        </is>
      </c>
      <c r="E3960" t="inlineStr">
        <is>
          <t>ÖDESHÖG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53520-2022</t>
        </is>
      </c>
      <c r="B3961" s="1" t="n">
        <v>44879</v>
      </c>
      <c r="C3961" s="1" t="n">
        <v>46093</v>
      </c>
      <c r="D3961" t="inlineStr">
        <is>
          <t>ÖSTERGÖTLANDS LÄN</t>
        </is>
      </c>
      <c r="E3961" t="inlineStr">
        <is>
          <t>MJÖLBY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25127-2024</t>
        </is>
      </c>
      <c r="B3962" s="1" t="n">
        <v>45462</v>
      </c>
      <c r="C3962" s="1" t="n">
        <v>46093</v>
      </c>
      <c r="D3962" t="inlineStr">
        <is>
          <t>ÖSTERGÖTLANDS LÄN</t>
        </is>
      </c>
      <c r="E3962" t="inlineStr">
        <is>
          <t>BOXHOLM</t>
        </is>
      </c>
      <c r="F3962" t="inlineStr">
        <is>
          <t>Övriga Aktiebolag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39029-2023</t>
        </is>
      </c>
      <c r="B3963" s="1" t="n">
        <v>45163</v>
      </c>
      <c r="C3963" s="1" t="n">
        <v>46093</v>
      </c>
      <c r="D3963" t="inlineStr">
        <is>
          <t>ÖSTERGÖTLANDS LÄN</t>
        </is>
      </c>
      <c r="E3963" t="inlineStr">
        <is>
          <t>BOXHOLM</t>
        </is>
      </c>
      <c r="F3963" t="inlineStr">
        <is>
          <t>Allmännings- och besparingsskogar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61447-2024</t>
        </is>
      </c>
      <c r="B3964" s="1" t="n">
        <v>45646.4853125</v>
      </c>
      <c r="C3964" s="1" t="n">
        <v>46093</v>
      </c>
      <c r="D3964" t="inlineStr">
        <is>
          <t>ÖSTERGÖTLANDS LÄN</t>
        </is>
      </c>
      <c r="E3964" t="inlineStr">
        <is>
          <t>FINSPÅNG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37686-2025</t>
        </is>
      </c>
      <c r="B3965" s="1" t="n">
        <v>45880.55628472222</v>
      </c>
      <c r="C3965" s="1" t="n">
        <v>46093</v>
      </c>
      <c r="D3965" t="inlineStr">
        <is>
          <t>ÖSTERGÖTLANDS LÄN</t>
        </is>
      </c>
      <c r="E3965" t="inlineStr">
        <is>
          <t>FINSPÅNG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35762-2025</t>
        </is>
      </c>
      <c r="B3966" s="1" t="n">
        <v>45860.62039351852</v>
      </c>
      <c r="C3966" s="1" t="n">
        <v>46093</v>
      </c>
      <c r="D3966" t="inlineStr">
        <is>
          <t>ÖSTERGÖTLANDS LÄN</t>
        </is>
      </c>
      <c r="E3966" t="inlineStr">
        <is>
          <t>BOXHOLM</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35764-2025</t>
        </is>
      </c>
      <c r="B3967" s="1" t="n">
        <v>45860.62782407407</v>
      </c>
      <c r="C3967" s="1" t="n">
        <v>46093</v>
      </c>
      <c r="D3967" t="inlineStr">
        <is>
          <t>ÖSTERGÖTLANDS LÄN</t>
        </is>
      </c>
      <c r="E3967" t="inlineStr">
        <is>
          <t>BOXHOLM</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37679-2025</t>
        </is>
      </c>
      <c r="B3968" s="1" t="n">
        <v>45880.53909722222</v>
      </c>
      <c r="C3968" s="1" t="n">
        <v>46093</v>
      </c>
      <c r="D3968" t="inlineStr">
        <is>
          <t>ÖSTERGÖTLANDS LÄN</t>
        </is>
      </c>
      <c r="E3968" t="inlineStr">
        <is>
          <t>FINSPÅNG</t>
        </is>
      </c>
      <c r="F3968" t="inlineStr">
        <is>
          <t>Holmen skog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42173-2023</t>
        </is>
      </c>
      <c r="B3969" s="1" t="n">
        <v>45178.4275</v>
      </c>
      <c r="C3969" s="1" t="n">
        <v>46093</v>
      </c>
      <c r="D3969" t="inlineStr">
        <is>
          <t>ÖSTERGÖTLANDS LÄN</t>
        </is>
      </c>
      <c r="E3969" t="inlineStr">
        <is>
          <t>NORRKÖPING</t>
        </is>
      </c>
      <c r="F3969" t="inlineStr">
        <is>
          <t>Holmen skog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26625-2022</t>
        </is>
      </c>
      <c r="B3970" s="1" t="n">
        <v>44739.5850462963</v>
      </c>
      <c r="C3970" s="1" t="n">
        <v>46093</v>
      </c>
      <c r="D3970" t="inlineStr">
        <is>
          <t>ÖSTERGÖTLANDS LÄN</t>
        </is>
      </c>
      <c r="E3970" t="inlineStr">
        <is>
          <t>KINDA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50119-2023</t>
        </is>
      </c>
      <c r="B3971" s="1" t="n">
        <v>45215.63990740741</v>
      </c>
      <c r="C3971" s="1" t="n">
        <v>46093</v>
      </c>
      <c r="D3971" t="inlineStr">
        <is>
          <t>ÖSTERGÖTLANDS LÄN</t>
        </is>
      </c>
      <c r="E3971" t="inlineStr">
        <is>
          <t>NORRKÖPING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38230-2023</t>
        </is>
      </c>
      <c r="B3972" s="1" t="n">
        <v>45161.55373842592</v>
      </c>
      <c r="C3972" s="1" t="n">
        <v>46093</v>
      </c>
      <c r="D3972" t="inlineStr">
        <is>
          <t>ÖSTERGÖTLANDS LÄN</t>
        </is>
      </c>
      <c r="E3972" t="inlineStr">
        <is>
          <t>LINKÖPING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1696-2025</t>
        </is>
      </c>
      <c r="B3973" s="1" t="n">
        <v>45670</v>
      </c>
      <c r="C3973" s="1" t="n">
        <v>46093</v>
      </c>
      <c r="D3973" t="inlineStr">
        <is>
          <t>ÖSTERGÖTLANDS LÄN</t>
        </is>
      </c>
      <c r="E3973" t="inlineStr">
        <is>
          <t>MOTALA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37520-2025</t>
        </is>
      </c>
      <c r="B3974" s="1" t="n">
        <v>45877</v>
      </c>
      <c r="C3974" s="1" t="n">
        <v>46093</v>
      </c>
      <c r="D3974" t="inlineStr">
        <is>
          <t>ÖSTERGÖTLANDS LÄN</t>
        </is>
      </c>
      <c r="E3974" t="inlineStr">
        <is>
          <t>ÅTVIDABERG</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49301-2023</t>
        </is>
      </c>
      <c r="B3975" s="1" t="n">
        <v>45210</v>
      </c>
      <c r="C3975" s="1" t="n">
        <v>46093</v>
      </c>
      <c r="D3975" t="inlineStr">
        <is>
          <t>ÖSTERGÖTLANDS LÄN</t>
        </is>
      </c>
      <c r="E3975" t="inlineStr">
        <is>
          <t>FINSPÅNG</t>
        </is>
      </c>
      <c r="F3975" t="inlineStr">
        <is>
          <t>Holmen skog AB</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31834-2023</t>
        </is>
      </c>
      <c r="B3976" s="1" t="n">
        <v>45106</v>
      </c>
      <c r="C3976" s="1" t="n">
        <v>46093</v>
      </c>
      <c r="D3976" t="inlineStr">
        <is>
          <t>ÖSTERGÖTLANDS LÄN</t>
        </is>
      </c>
      <c r="E3976" t="inlineStr">
        <is>
          <t>NORRKÖPING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31839-2023</t>
        </is>
      </c>
      <c r="B3977" s="1" t="n">
        <v>45118.57342592593</v>
      </c>
      <c r="C3977" s="1" t="n">
        <v>46093</v>
      </c>
      <c r="D3977" t="inlineStr">
        <is>
          <t>ÖSTERGÖTLANDS LÄN</t>
        </is>
      </c>
      <c r="E3977" t="inlineStr">
        <is>
          <t>KINDA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4125-2025</t>
        </is>
      </c>
      <c r="B3978" s="1" t="n">
        <v>45685.3190625</v>
      </c>
      <c r="C3978" s="1" t="n">
        <v>46093</v>
      </c>
      <c r="D3978" t="inlineStr">
        <is>
          <t>ÖSTERGÖTLANDS LÄN</t>
        </is>
      </c>
      <c r="E3978" t="inlineStr">
        <is>
          <t>VALDEMARSVIK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4126-2025</t>
        </is>
      </c>
      <c r="B3979" s="1" t="n">
        <v>45685.3234837963</v>
      </c>
      <c r="C3979" s="1" t="n">
        <v>46093</v>
      </c>
      <c r="D3979" t="inlineStr">
        <is>
          <t>ÖSTERGÖTLANDS LÄN</t>
        </is>
      </c>
      <c r="E3979" t="inlineStr">
        <is>
          <t>VALDEMARSVIK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23883-2023</t>
        </is>
      </c>
      <c r="B3980" s="1" t="n">
        <v>45078.51806712963</v>
      </c>
      <c r="C3980" s="1" t="n">
        <v>46093</v>
      </c>
      <c r="D3980" t="inlineStr">
        <is>
          <t>ÖSTERGÖTLANDS LÄN</t>
        </is>
      </c>
      <c r="E3980" t="inlineStr">
        <is>
          <t>KINDA</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56756-2023</t>
        </is>
      </c>
      <c r="B3981" s="1" t="n">
        <v>45244</v>
      </c>
      <c r="C3981" s="1" t="n">
        <v>46093</v>
      </c>
      <c r="D3981" t="inlineStr">
        <is>
          <t>ÖSTERGÖTLANDS LÄN</t>
        </is>
      </c>
      <c r="E3981" t="inlineStr">
        <is>
          <t>LINKÖPING</t>
        </is>
      </c>
      <c r="F3981" t="inlineStr">
        <is>
          <t>Övriga Aktiebolag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57705-2023</t>
        </is>
      </c>
      <c r="B3982" s="1" t="n">
        <v>45243</v>
      </c>
      <c r="C3982" s="1" t="n">
        <v>46093</v>
      </c>
      <c r="D3982" t="inlineStr">
        <is>
          <t>ÖSTERGÖTLANDS LÄN</t>
        </is>
      </c>
      <c r="E3982" t="inlineStr">
        <is>
          <t>MOTALA</t>
        </is>
      </c>
      <c r="F3982" t="inlineStr">
        <is>
          <t>Övriga statliga verk och myndigheter</t>
        </is>
      </c>
      <c r="G3982" t="n">
        <v>25.1</v>
      </c>
      <c r="H3982" t="n">
        <v>0</v>
      </c>
      <c r="I3982" t="n">
        <v>0</v>
      </c>
      <c r="J3982" t="n">
        <v>0</v>
      </c>
      <c r="K3982" t="n">
        <v>0</v>
      </c>
      <c r="L3982" t="n">
        <v>0</v>
      </c>
      <c r="M3982" t="n">
        <v>0</v>
      </c>
      <c r="N3982" t="n">
        <v>0</v>
      </c>
      <c r="O3982" t="n">
        <v>0</v>
      </c>
      <c r="P3982" t="n">
        <v>0</v>
      </c>
      <c r="Q3982" t="n">
        <v>0</v>
      </c>
      <c r="R3982" s="2" t="inlineStr"/>
    </row>
    <row r="3983" ht="15" customHeight="1">
      <c r="A3983" t="inlineStr">
        <is>
          <t>A 45549-2023</t>
        </is>
      </c>
      <c r="B3983" s="1" t="n">
        <v>45194.57081018519</v>
      </c>
      <c r="C3983" s="1" t="n">
        <v>46093</v>
      </c>
      <c r="D3983" t="inlineStr">
        <is>
          <t>ÖSTERGÖTLANDS LÄN</t>
        </is>
      </c>
      <c r="E3983" t="inlineStr">
        <is>
          <t>SÖDERKÖPING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7290-2025</t>
        </is>
      </c>
      <c r="B3984" s="1" t="n">
        <v>45702</v>
      </c>
      <c r="C3984" s="1" t="n">
        <v>46093</v>
      </c>
      <c r="D3984" t="inlineStr">
        <is>
          <t>ÖSTERGÖTLANDS LÄN</t>
        </is>
      </c>
      <c r="E3984" t="inlineStr">
        <is>
          <t>BOXHOLM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10402-2023</t>
        </is>
      </c>
      <c r="B3985" s="1" t="n">
        <v>44987</v>
      </c>
      <c r="C3985" s="1" t="n">
        <v>46093</v>
      </c>
      <c r="D3985" t="inlineStr">
        <is>
          <t>ÖSTERGÖTLANDS LÄN</t>
        </is>
      </c>
      <c r="E3985" t="inlineStr">
        <is>
          <t>YDRE</t>
        </is>
      </c>
      <c r="G3985" t="n">
        <v>10.2</v>
      </c>
      <c r="H3985" t="n">
        <v>0</v>
      </c>
      <c r="I3985" t="n">
        <v>0</v>
      </c>
      <c r="J3985" t="n">
        <v>0</v>
      </c>
      <c r="K3985" t="n">
        <v>0</v>
      </c>
      <c r="L3985" t="n">
        <v>0</v>
      </c>
      <c r="M3985" t="n">
        <v>0</v>
      </c>
      <c r="N3985" t="n">
        <v>0</v>
      </c>
      <c r="O3985" t="n">
        <v>0</v>
      </c>
      <c r="P3985" t="n">
        <v>0</v>
      </c>
      <c r="Q3985" t="n">
        <v>0</v>
      </c>
      <c r="R3985" s="2" t="inlineStr"/>
    </row>
    <row r="3986" ht="15" customHeight="1">
      <c r="A3986" t="inlineStr">
        <is>
          <t>A 10420-2023</t>
        </is>
      </c>
      <c r="B3986" s="1" t="n">
        <v>44987.51744212963</v>
      </c>
      <c r="C3986" s="1" t="n">
        <v>46093</v>
      </c>
      <c r="D3986" t="inlineStr">
        <is>
          <t>ÖSTERGÖTLANDS LÄN</t>
        </is>
      </c>
      <c r="E3986" t="inlineStr">
        <is>
          <t>FINSPÅNG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53610-2022</t>
        </is>
      </c>
      <c r="B3987" s="1" t="n">
        <v>44879.75650462963</v>
      </c>
      <c r="C3987" s="1" t="n">
        <v>46093</v>
      </c>
      <c r="D3987" t="inlineStr">
        <is>
          <t>ÖSTERGÖTLANDS LÄN</t>
        </is>
      </c>
      <c r="E3987" t="inlineStr">
        <is>
          <t>FINSPÅNG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40518-2022</t>
        </is>
      </c>
      <c r="B3988" s="1" t="n">
        <v>44819</v>
      </c>
      <c r="C3988" s="1" t="n">
        <v>46093</v>
      </c>
      <c r="D3988" t="inlineStr">
        <is>
          <t>ÖSTERGÖTLANDS LÄN</t>
        </is>
      </c>
      <c r="E3988" t="inlineStr">
        <is>
          <t>MOTALA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25273-2021</t>
        </is>
      </c>
      <c r="B3989" s="1" t="n">
        <v>44342</v>
      </c>
      <c r="C3989" s="1" t="n">
        <v>46093</v>
      </c>
      <c r="D3989" t="inlineStr">
        <is>
          <t>ÖSTERGÖTLANDS LÄN</t>
        </is>
      </c>
      <c r="E3989" t="inlineStr">
        <is>
          <t>SÖDERKÖPING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17717-2025</t>
        </is>
      </c>
      <c r="B3990" s="1" t="n">
        <v>45758.44706018519</v>
      </c>
      <c r="C3990" s="1" t="n">
        <v>46093</v>
      </c>
      <c r="D3990" t="inlineStr">
        <is>
          <t>ÖSTERGÖTLANDS LÄN</t>
        </is>
      </c>
      <c r="E3990" t="inlineStr">
        <is>
          <t>VALDEMARSVIK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63449-2023</t>
        </is>
      </c>
      <c r="B3991" s="1" t="n">
        <v>45273</v>
      </c>
      <c r="C3991" s="1" t="n">
        <v>46093</v>
      </c>
      <c r="D3991" t="inlineStr">
        <is>
          <t>ÖSTERGÖTLANDS LÄN</t>
        </is>
      </c>
      <c r="E3991" t="inlineStr">
        <is>
          <t>MJÖLBY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47000-2021</t>
        </is>
      </c>
      <c r="B3992" s="1" t="n">
        <v>44446</v>
      </c>
      <c r="C3992" s="1" t="n">
        <v>46093</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52655-2023</t>
        </is>
      </c>
      <c r="B3993" s="1" t="n">
        <v>45225</v>
      </c>
      <c r="C3993" s="1" t="n">
        <v>46093</v>
      </c>
      <c r="D3993" t="inlineStr">
        <is>
          <t>ÖSTERGÖTLANDS LÄN</t>
        </is>
      </c>
      <c r="E3993" t="inlineStr">
        <is>
          <t>MJÖLBY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32953-2022</t>
        </is>
      </c>
      <c r="B3994" s="1" t="n">
        <v>44784</v>
      </c>
      <c r="C3994" s="1" t="n">
        <v>46093</v>
      </c>
      <c r="D3994" t="inlineStr">
        <is>
          <t>ÖSTERGÖTLANDS LÄN</t>
        </is>
      </c>
      <c r="E3994" t="inlineStr">
        <is>
          <t>ÅTVIDABERG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60080-2024</t>
        </is>
      </c>
      <c r="B3995" s="1" t="n">
        <v>45639</v>
      </c>
      <c r="C3995" s="1" t="n">
        <v>46093</v>
      </c>
      <c r="D3995" t="inlineStr">
        <is>
          <t>ÖSTERGÖTLANDS LÄN</t>
        </is>
      </c>
      <c r="E3995" t="inlineStr">
        <is>
          <t>VALDEMARSVIK</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51610-2022</t>
        </is>
      </c>
      <c r="B3996" s="1" t="n">
        <v>44871</v>
      </c>
      <c r="C3996" s="1" t="n">
        <v>46093</v>
      </c>
      <c r="D3996" t="inlineStr">
        <is>
          <t>ÖSTERGÖTLANDS LÄN</t>
        </is>
      </c>
      <c r="E3996" t="inlineStr">
        <is>
          <t>FINSPÅNG</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45198-2024</t>
        </is>
      </c>
      <c r="B3997" s="1" t="n">
        <v>45575.6853125</v>
      </c>
      <c r="C3997" s="1" t="n">
        <v>46093</v>
      </c>
      <c r="D3997" t="inlineStr">
        <is>
          <t>ÖSTERGÖTLANDS LÄN</t>
        </is>
      </c>
      <c r="E3997" t="inlineStr">
        <is>
          <t>YDRE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52783-2025</t>
        </is>
      </c>
      <c r="B3998" s="1" t="n">
        <v>45957.42334490741</v>
      </c>
      <c r="C3998" s="1" t="n">
        <v>46093</v>
      </c>
      <c r="D3998" t="inlineStr">
        <is>
          <t>ÖSTERGÖTLANDS LÄN</t>
        </is>
      </c>
      <c r="E3998" t="inlineStr">
        <is>
          <t>FINSPÅNG</t>
        </is>
      </c>
      <c r="F3998" t="inlineStr">
        <is>
          <t>Holmen skog AB</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52410-2025</t>
        </is>
      </c>
      <c r="B3999" s="1" t="n">
        <v>45954.36375</v>
      </c>
      <c r="C3999" s="1" t="n">
        <v>46093</v>
      </c>
      <c r="D3999" t="inlineStr">
        <is>
          <t>ÖSTERGÖTLANDS LÄN</t>
        </is>
      </c>
      <c r="E3999" t="inlineStr">
        <is>
          <t>YDRE</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59859-2024</t>
        </is>
      </c>
      <c r="B4000" s="1" t="n">
        <v>45638</v>
      </c>
      <c r="C4000" s="1" t="n">
        <v>46093</v>
      </c>
      <c r="D4000" t="inlineStr">
        <is>
          <t>ÖSTERGÖTLANDS LÄN</t>
        </is>
      </c>
      <c r="E4000" t="inlineStr">
        <is>
          <t>NORRKÖPING</t>
        </is>
      </c>
      <c r="F4000" t="inlineStr">
        <is>
          <t>Allmännings- och besparingsskogar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1896-2024</t>
        </is>
      </c>
      <c r="B4001" s="1" t="n">
        <v>45308.33431712963</v>
      </c>
      <c r="C4001" s="1" t="n">
        <v>46093</v>
      </c>
      <c r="D4001" t="inlineStr">
        <is>
          <t>ÖSTERGÖTLANDS LÄN</t>
        </is>
      </c>
      <c r="E4001" t="inlineStr">
        <is>
          <t>KINDA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68122-2021</t>
        </is>
      </c>
      <c r="B4002" s="1" t="n">
        <v>44526.39090277778</v>
      </c>
      <c r="C4002" s="1" t="n">
        <v>46093</v>
      </c>
      <c r="D4002" t="inlineStr">
        <is>
          <t>ÖSTERGÖTLANDS LÄN</t>
        </is>
      </c>
      <c r="E4002" t="inlineStr">
        <is>
          <t>FINSPÅNG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60029-2021</t>
        </is>
      </c>
      <c r="B4003" s="1" t="n">
        <v>44494</v>
      </c>
      <c r="C4003" s="1" t="n">
        <v>46093</v>
      </c>
      <c r="D4003" t="inlineStr">
        <is>
          <t>ÖSTERGÖTLANDS LÄN</t>
        </is>
      </c>
      <c r="E4003" t="inlineStr">
        <is>
          <t>MOTALA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51048-2025</t>
        </is>
      </c>
      <c r="B4004" s="1" t="n">
        <v>45947.43230324074</v>
      </c>
      <c r="C4004" s="1" t="n">
        <v>46093</v>
      </c>
      <c r="D4004" t="inlineStr">
        <is>
          <t>ÖSTERGÖTLANDS LÄN</t>
        </is>
      </c>
      <c r="E4004" t="inlineStr">
        <is>
          <t>ÖDESHÖG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52389-2025</t>
        </is>
      </c>
      <c r="B4005" s="1" t="n">
        <v>45954.33204861111</v>
      </c>
      <c r="C4005" s="1" t="n">
        <v>46093</v>
      </c>
      <c r="D4005" t="inlineStr">
        <is>
          <t>ÖSTERGÖTLANDS LÄN</t>
        </is>
      </c>
      <c r="E4005" t="inlineStr">
        <is>
          <t>YDRE</t>
        </is>
      </c>
      <c r="F4005" t="inlineStr">
        <is>
          <t>Sveaskog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28477-2021</t>
        </is>
      </c>
      <c r="B4006" s="1" t="n">
        <v>44356.58797453704</v>
      </c>
      <c r="C4006" s="1" t="n">
        <v>46093</v>
      </c>
      <c r="D4006" t="inlineStr">
        <is>
          <t>ÖSTERGÖTLANDS LÄN</t>
        </is>
      </c>
      <c r="E4006" t="inlineStr">
        <is>
          <t>ÖDESHÖG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41513-2024</t>
        </is>
      </c>
      <c r="B4007" s="1" t="n">
        <v>45560</v>
      </c>
      <c r="C4007" s="1" t="n">
        <v>46093</v>
      </c>
      <c r="D4007" t="inlineStr">
        <is>
          <t>ÖSTERGÖTLANDS LÄN</t>
        </is>
      </c>
      <c r="E4007" t="inlineStr">
        <is>
          <t>FINSPÅNG</t>
        </is>
      </c>
      <c r="F4007" t="inlineStr">
        <is>
          <t>Holmen skog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52514-2025</t>
        </is>
      </c>
      <c r="B4008" s="1" t="n">
        <v>45954.51167824074</v>
      </c>
      <c r="C4008" s="1" t="n">
        <v>46093</v>
      </c>
      <c r="D4008" t="inlineStr">
        <is>
          <t>ÖSTERGÖTLANDS LÄN</t>
        </is>
      </c>
      <c r="E4008" t="inlineStr">
        <is>
          <t>BOXHOLM</t>
        </is>
      </c>
      <c r="F4008" t="inlineStr">
        <is>
          <t>Övriga Aktiebolag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45575-2025</t>
        </is>
      </c>
      <c r="B4009" s="1" t="n">
        <v>45922.66182870371</v>
      </c>
      <c r="C4009" s="1" t="n">
        <v>46093</v>
      </c>
      <c r="D4009" t="inlineStr">
        <is>
          <t>ÖSTERGÖTLANDS LÄN</t>
        </is>
      </c>
      <c r="E4009" t="inlineStr">
        <is>
          <t>FINSPÅNG</t>
        </is>
      </c>
      <c r="F4009" t="inlineStr">
        <is>
          <t>Holmen skog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37618-2025</t>
        </is>
      </c>
      <c r="B4010" s="1" t="n">
        <v>45880.44321759259</v>
      </c>
      <c r="C4010" s="1" t="n">
        <v>46093</v>
      </c>
      <c r="D4010" t="inlineStr">
        <is>
          <t>ÖSTERGÖTLANDS LÄN</t>
        </is>
      </c>
      <c r="E4010" t="inlineStr">
        <is>
          <t>MOTALA</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53438-2024</t>
        </is>
      </c>
      <c r="B4011" s="1" t="n">
        <v>45614.53487268519</v>
      </c>
      <c r="C4011" s="1" t="n">
        <v>46093</v>
      </c>
      <c r="D4011" t="inlineStr">
        <is>
          <t>ÖSTERGÖTLANDS LÄN</t>
        </is>
      </c>
      <c r="E4011" t="inlineStr">
        <is>
          <t>MOTALA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31323-2022</t>
        </is>
      </c>
      <c r="B4012" s="1" t="n">
        <v>44774</v>
      </c>
      <c r="C4012" s="1" t="n">
        <v>46093</v>
      </c>
      <c r="D4012" t="inlineStr">
        <is>
          <t>ÖSTERGÖTLANDS LÄN</t>
        </is>
      </c>
      <c r="E4012" t="inlineStr">
        <is>
          <t>FINSPÅNG</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45137-2024</t>
        </is>
      </c>
      <c r="B4013" s="1" t="n">
        <v>45575.63452546296</v>
      </c>
      <c r="C4013" s="1" t="n">
        <v>46093</v>
      </c>
      <c r="D4013" t="inlineStr">
        <is>
          <t>ÖSTERGÖTLANDS LÄN</t>
        </is>
      </c>
      <c r="E4013" t="inlineStr">
        <is>
          <t>BOXHOLM</t>
        </is>
      </c>
      <c r="F4013" t="inlineStr">
        <is>
          <t>Allmännings- och besparingsskogar</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52733-2025</t>
        </is>
      </c>
      <c r="B4014" s="1" t="n">
        <v>45957.36806712963</v>
      </c>
      <c r="C4014" s="1" t="n">
        <v>46093</v>
      </c>
      <c r="D4014" t="inlineStr">
        <is>
          <t>ÖSTERGÖTLANDS LÄN</t>
        </is>
      </c>
      <c r="E4014" t="inlineStr">
        <is>
          <t>FINSPÅNG</t>
        </is>
      </c>
      <c r="F4014" t="inlineStr">
        <is>
          <t>Holmen skog AB</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54047-2024</t>
        </is>
      </c>
      <c r="B4015" s="1" t="n">
        <v>45616.45637731482</v>
      </c>
      <c r="C4015" s="1" t="n">
        <v>46093</v>
      </c>
      <c r="D4015" t="inlineStr">
        <is>
          <t>ÖSTERGÖTLANDS LÄN</t>
        </is>
      </c>
      <c r="E4015" t="inlineStr">
        <is>
          <t>YDRE</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54048-2024</t>
        </is>
      </c>
      <c r="B4016" s="1" t="n">
        <v>45616.45694444444</v>
      </c>
      <c r="C4016" s="1" t="n">
        <v>46093</v>
      </c>
      <c r="D4016" t="inlineStr">
        <is>
          <t>ÖSTERGÖTLANDS LÄN</t>
        </is>
      </c>
      <c r="E4016" t="inlineStr">
        <is>
          <t>YDRE</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11590-2023</t>
        </is>
      </c>
      <c r="B4017" s="1" t="n">
        <v>44994.36689814815</v>
      </c>
      <c r="C4017" s="1" t="n">
        <v>46093</v>
      </c>
      <c r="D4017" t="inlineStr">
        <is>
          <t>ÖSTERGÖTLANDS LÄN</t>
        </is>
      </c>
      <c r="E4017" t="inlineStr">
        <is>
          <t>LINKÖPING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57376-2024</t>
        </is>
      </c>
      <c r="B4018" s="1" t="n">
        <v>45629.67508101852</v>
      </c>
      <c r="C4018" s="1" t="n">
        <v>46093</v>
      </c>
      <c r="D4018" t="inlineStr">
        <is>
          <t>ÖSTERGÖTLANDS LÄN</t>
        </is>
      </c>
      <c r="E4018" t="inlineStr">
        <is>
          <t>NORRKÖPING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22307-2024</t>
        </is>
      </c>
      <c r="B4019" s="1" t="n">
        <v>45446.56908564815</v>
      </c>
      <c r="C4019" s="1" t="n">
        <v>46093</v>
      </c>
      <c r="D4019" t="inlineStr">
        <is>
          <t>ÖSTERGÖTLANDS LÄN</t>
        </is>
      </c>
      <c r="E4019" t="inlineStr">
        <is>
          <t>MJÖLBY</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57380-2024</t>
        </is>
      </c>
      <c r="B4020" s="1" t="n">
        <v>45629.67931712963</v>
      </c>
      <c r="C4020" s="1" t="n">
        <v>46093</v>
      </c>
      <c r="D4020" t="inlineStr">
        <is>
          <t>ÖSTERGÖTLANDS LÄN</t>
        </is>
      </c>
      <c r="E4020" t="inlineStr">
        <is>
          <t>NORRKÖPING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27697-2023</t>
        </is>
      </c>
      <c r="B4021" s="1" t="n">
        <v>45095</v>
      </c>
      <c r="C4021" s="1" t="n">
        <v>46093</v>
      </c>
      <c r="D4021" t="inlineStr">
        <is>
          <t>ÖSTERGÖTLANDS LÄN</t>
        </is>
      </c>
      <c r="E4021" t="inlineStr">
        <is>
          <t>FINSPÅNG</t>
        </is>
      </c>
      <c r="F4021" t="inlineStr">
        <is>
          <t>Övriga Aktiebolag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27699-2023</t>
        </is>
      </c>
      <c r="B4022" s="1" t="n">
        <v>45095</v>
      </c>
      <c r="C4022" s="1" t="n">
        <v>46093</v>
      </c>
      <c r="D4022" t="inlineStr">
        <is>
          <t>ÖSTERGÖTLANDS LÄN</t>
        </is>
      </c>
      <c r="E4022" t="inlineStr">
        <is>
          <t>FINSPÅNG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27735-2023</t>
        </is>
      </c>
      <c r="B4023" s="1" t="n">
        <v>45098.37322916667</v>
      </c>
      <c r="C4023" s="1" t="n">
        <v>46093</v>
      </c>
      <c r="D4023" t="inlineStr">
        <is>
          <t>ÖSTERGÖTLANDS LÄN</t>
        </is>
      </c>
      <c r="E4023" t="inlineStr">
        <is>
          <t>NORRKÖPING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19853-2023</t>
        </is>
      </c>
      <c r="B4024" s="1" t="n">
        <v>45053.82055555555</v>
      </c>
      <c r="C4024" s="1" t="n">
        <v>46093</v>
      </c>
      <c r="D4024" t="inlineStr">
        <is>
          <t>ÖSTERGÖTLANDS LÄN</t>
        </is>
      </c>
      <c r="E4024" t="inlineStr">
        <is>
          <t>NORRKÖPING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52551-2025</t>
        </is>
      </c>
      <c r="B4025" s="1" t="n">
        <v>45954.55710648148</v>
      </c>
      <c r="C4025" s="1" t="n">
        <v>46093</v>
      </c>
      <c r="D4025" t="inlineStr">
        <is>
          <t>ÖSTERGÖTLANDS LÄN</t>
        </is>
      </c>
      <c r="E4025" t="inlineStr">
        <is>
          <t>BOXHOLM</t>
        </is>
      </c>
      <c r="F4025" t="inlineStr">
        <is>
          <t>Övriga Aktiebolag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3678-2025</t>
        </is>
      </c>
      <c r="B4026" s="1" t="n">
        <v>45681.44512731482</v>
      </c>
      <c r="C4026" s="1" t="n">
        <v>46093</v>
      </c>
      <c r="D4026" t="inlineStr">
        <is>
          <t>ÖSTERGÖTLANDS LÄN</t>
        </is>
      </c>
      <c r="E4026" t="inlineStr">
        <is>
          <t>MJÖLBY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36887-2022</t>
        </is>
      </c>
      <c r="B4027" s="1" t="n">
        <v>44805</v>
      </c>
      <c r="C4027" s="1" t="n">
        <v>46093</v>
      </c>
      <c r="D4027" t="inlineStr">
        <is>
          <t>ÖSTERGÖTLANDS LÄN</t>
        </is>
      </c>
      <c r="E4027" t="inlineStr">
        <is>
          <t>NORRKÖPING</t>
        </is>
      </c>
      <c r="F4027" t="inlineStr">
        <is>
          <t>Allmännings- och besparingsskogar</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61002-2022</t>
        </is>
      </c>
      <c r="B4028" s="1" t="n">
        <v>44914.73873842593</v>
      </c>
      <c r="C4028" s="1" t="n">
        <v>46093</v>
      </c>
      <c r="D4028" t="inlineStr">
        <is>
          <t>ÖSTERGÖTLANDS LÄN</t>
        </is>
      </c>
      <c r="E4028" t="inlineStr">
        <is>
          <t>MOTALA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27159-2023</t>
        </is>
      </c>
      <c r="B4029" s="1" t="n">
        <v>45096</v>
      </c>
      <c r="C4029" s="1" t="n">
        <v>46093</v>
      </c>
      <c r="D4029" t="inlineStr">
        <is>
          <t>ÖSTERGÖTLANDS LÄN</t>
        </is>
      </c>
      <c r="E4029" t="inlineStr">
        <is>
          <t>YDRE</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61012-2022</t>
        </is>
      </c>
      <c r="B4030" s="1" t="n">
        <v>44914.75953703704</v>
      </c>
      <c r="C4030" s="1" t="n">
        <v>46093</v>
      </c>
      <c r="D4030" t="inlineStr">
        <is>
          <t>ÖSTERGÖTLANDS LÄN</t>
        </is>
      </c>
      <c r="E4030" t="inlineStr">
        <is>
          <t>FINSPÅNG</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52800-2025</t>
        </is>
      </c>
      <c r="B4031" s="1" t="n">
        <v>45957.44152777778</v>
      </c>
      <c r="C4031" s="1" t="n">
        <v>46093</v>
      </c>
      <c r="D4031" t="inlineStr">
        <is>
          <t>ÖSTERGÖTLANDS LÄN</t>
        </is>
      </c>
      <c r="E4031" t="inlineStr">
        <is>
          <t>LINKÖPING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27236-2023</t>
        </is>
      </c>
      <c r="B4032" s="1" t="n">
        <v>45096</v>
      </c>
      <c r="C4032" s="1" t="n">
        <v>46093</v>
      </c>
      <c r="D4032" t="inlineStr">
        <is>
          <t>ÖSTERGÖTLANDS LÄN</t>
        </is>
      </c>
      <c r="E4032" t="inlineStr">
        <is>
          <t>NORRKÖPING</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31653-2023</t>
        </is>
      </c>
      <c r="B4033" s="1" t="n">
        <v>45117</v>
      </c>
      <c r="C4033" s="1" t="n">
        <v>46093</v>
      </c>
      <c r="D4033" t="inlineStr">
        <is>
          <t>ÖSTERGÖTLANDS LÄN</t>
        </is>
      </c>
      <c r="E4033" t="inlineStr">
        <is>
          <t>NORRKÖPING</t>
        </is>
      </c>
      <c r="F4033" t="inlineStr">
        <is>
          <t>Holmen skog AB</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52802-2025</t>
        </is>
      </c>
      <c r="B4034" s="1" t="n">
        <v>45957.44295138889</v>
      </c>
      <c r="C4034" s="1" t="n">
        <v>46093</v>
      </c>
      <c r="D4034" t="inlineStr">
        <is>
          <t>ÖSTERGÖTLANDS LÄN</t>
        </is>
      </c>
      <c r="E4034" t="inlineStr">
        <is>
          <t>LINKÖPING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46610-2024</t>
        </is>
      </c>
      <c r="B4035" s="1" t="n">
        <v>45582.98494212963</v>
      </c>
      <c r="C4035" s="1" t="n">
        <v>46093</v>
      </c>
      <c r="D4035" t="inlineStr">
        <is>
          <t>ÖSTERGÖTLANDS LÄN</t>
        </is>
      </c>
      <c r="E4035" t="inlineStr">
        <is>
          <t>NORRKÖPING</t>
        </is>
      </c>
      <c r="F4035" t="inlineStr">
        <is>
          <t>Allmännings- och besparingsskogar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52658-2025</t>
        </is>
      </c>
      <c r="B4036" s="1" t="n">
        <v>45955.43375</v>
      </c>
      <c r="C4036" s="1" t="n">
        <v>46093</v>
      </c>
      <c r="D4036" t="inlineStr">
        <is>
          <t>ÖSTERGÖTLANDS LÄN</t>
        </is>
      </c>
      <c r="E4036" t="inlineStr">
        <is>
          <t>FINSPÅNG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52390-2025</t>
        </is>
      </c>
      <c r="B4037" s="1" t="n">
        <v>45954.33555555555</v>
      </c>
      <c r="C4037" s="1" t="n">
        <v>46093</v>
      </c>
      <c r="D4037" t="inlineStr">
        <is>
          <t>ÖSTERGÖTLANDS LÄN</t>
        </is>
      </c>
      <c r="E4037" t="inlineStr">
        <is>
          <t>ÅTVIDABERG</t>
        </is>
      </c>
      <c r="F4037" t="inlineStr">
        <is>
          <t>Sveaskog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21692-2025</t>
        </is>
      </c>
      <c r="B4038" s="1" t="n">
        <v>45783</v>
      </c>
      <c r="C4038" s="1" t="n">
        <v>46093</v>
      </c>
      <c r="D4038" t="inlineStr">
        <is>
          <t>ÖSTERGÖTLANDS LÄN</t>
        </is>
      </c>
      <c r="E4038" t="inlineStr">
        <is>
          <t>YDRE</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39031-2023</t>
        </is>
      </c>
      <c r="B4039" s="1" t="n">
        <v>45163</v>
      </c>
      <c r="C4039" s="1" t="n">
        <v>46093</v>
      </c>
      <c r="D4039" t="inlineStr">
        <is>
          <t>ÖSTERGÖTLANDS LÄN</t>
        </is>
      </c>
      <c r="E4039" t="inlineStr">
        <is>
          <t>BOXHOLM</t>
        </is>
      </c>
      <c r="F4039" t="inlineStr">
        <is>
          <t>Allmännings- och besparingsskogar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39032-2023</t>
        </is>
      </c>
      <c r="B4040" s="1" t="n">
        <v>45163.86392361111</v>
      </c>
      <c r="C4040" s="1" t="n">
        <v>46093</v>
      </c>
      <c r="D4040" t="inlineStr">
        <is>
          <t>ÖSTERGÖTLANDS LÄN</t>
        </is>
      </c>
      <c r="E4040" t="inlineStr">
        <is>
          <t>ÖDESHÖG</t>
        </is>
      </c>
      <c r="F4040" t="inlineStr">
        <is>
          <t>Allmännings- och besparingsskogar</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39033-2023</t>
        </is>
      </c>
      <c r="B4041" s="1" t="n">
        <v>45163</v>
      </c>
      <c r="C4041" s="1" t="n">
        <v>46093</v>
      </c>
      <c r="D4041" t="inlineStr">
        <is>
          <t>ÖSTERGÖTLANDS LÄN</t>
        </is>
      </c>
      <c r="E4041" t="inlineStr">
        <is>
          <t>BOXHOLM</t>
        </is>
      </c>
      <c r="F4041" t="inlineStr">
        <is>
          <t>Allmännings- och besparingsskogar</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52397-2025</t>
        </is>
      </c>
      <c r="B4042" s="1" t="n">
        <v>45954.34552083333</v>
      </c>
      <c r="C4042" s="1" t="n">
        <v>46093</v>
      </c>
      <c r="D4042" t="inlineStr">
        <is>
          <t>ÖSTERGÖTLANDS LÄN</t>
        </is>
      </c>
      <c r="E4042" t="inlineStr">
        <is>
          <t>YDRE</t>
        </is>
      </c>
      <c r="F4042" t="inlineStr">
        <is>
          <t>Sveaskog</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24839-2024</t>
        </is>
      </c>
      <c r="B4043" s="1" t="n">
        <v>45461.41216435185</v>
      </c>
      <c r="C4043" s="1" t="n">
        <v>46093</v>
      </c>
      <c r="D4043" t="inlineStr">
        <is>
          <t>ÖSTERGÖTLANDS LÄN</t>
        </is>
      </c>
      <c r="E4043" t="inlineStr">
        <is>
          <t>KINDA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3877-2023</t>
        </is>
      </c>
      <c r="B4044" s="1" t="n">
        <v>44951.86751157408</v>
      </c>
      <c r="C4044" s="1" t="n">
        <v>46093</v>
      </c>
      <c r="D4044" t="inlineStr">
        <is>
          <t>ÖSTERGÖTLANDS LÄN</t>
        </is>
      </c>
      <c r="E4044" t="inlineStr">
        <is>
          <t>MJÖLBY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23619-2025</t>
        </is>
      </c>
      <c r="B4045" s="1" t="n">
        <v>45792.67150462963</v>
      </c>
      <c r="C4045" s="1" t="n">
        <v>46093</v>
      </c>
      <c r="D4045" t="inlineStr">
        <is>
          <t>ÖSTERGÖTLANDS LÄN</t>
        </is>
      </c>
      <c r="E4045" t="inlineStr">
        <is>
          <t>YDRE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25829-2025</t>
        </is>
      </c>
      <c r="B4046" s="1" t="n">
        <v>45804.44505787037</v>
      </c>
      <c r="C4046" s="1" t="n">
        <v>46093</v>
      </c>
      <c r="D4046" t="inlineStr">
        <is>
          <t>ÖSTERGÖTLANDS LÄN</t>
        </is>
      </c>
      <c r="E4046" t="inlineStr">
        <is>
          <t>LINKÖPING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8403-2025</t>
        </is>
      </c>
      <c r="B4047" s="1" t="n">
        <v>45709.38167824074</v>
      </c>
      <c r="C4047" s="1" t="n">
        <v>46093</v>
      </c>
      <c r="D4047" t="inlineStr">
        <is>
          <t>ÖSTERGÖTLANDS LÄN</t>
        </is>
      </c>
      <c r="E4047" t="inlineStr">
        <is>
          <t>FINSPÅNG</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53204-2025</t>
        </is>
      </c>
      <c r="B4048" s="1" t="n">
        <v>45958.58180555556</v>
      </c>
      <c r="C4048" s="1" t="n">
        <v>46093</v>
      </c>
      <c r="D4048" t="inlineStr">
        <is>
          <t>ÖSTERGÖTLANDS LÄN</t>
        </is>
      </c>
      <c r="E4048" t="inlineStr">
        <is>
          <t>MOTALA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7064-2025</t>
        </is>
      </c>
      <c r="B4049" s="1" t="n">
        <v>45701.6612037037</v>
      </c>
      <c r="C4049" s="1" t="n">
        <v>46093</v>
      </c>
      <c r="D4049" t="inlineStr">
        <is>
          <t>ÖSTERGÖTLANDS LÄN</t>
        </is>
      </c>
      <c r="E4049" t="inlineStr">
        <is>
          <t>YDRE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53208-2025</t>
        </is>
      </c>
      <c r="B4050" s="1" t="n">
        <v>45958.59222222222</v>
      </c>
      <c r="C4050" s="1" t="n">
        <v>46093</v>
      </c>
      <c r="D4050" t="inlineStr">
        <is>
          <t>ÖSTERGÖTLANDS LÄN</t>
        </is>
      </c>
      <c r="E4050" t="inlineStr">
        <is>
          <t>ÅTVIDABERG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18636-2023</t>
        </is>
      </c>
      <c r="B4051" s="1" t="n">
        <v>45043.49425925926</v>
      </c>
      <c r="C4051" s="1" t="n">
        <v>46093</v>
      </c>
      <c r="D4051" t="inlineStr">
        <is>
          <t>ÖSTERGÖTLANDS LÄN</t>
        </is>
      </c>
      <c r="E4051" t="inlineStr">
        <is>
          <t>NORRKÖPING</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35326-2022</t>
        </is>
      </c>
      <c r="B4052" s="1" t="n">
        <v>44798</v>
      </c>
      <c r="C4052" s="1" t="n">
        <v>46093</v>
      </c>
      <c r="D4052" t="inlineStr">
        <is>
          <t>ÖSTERGÖTLANDS LÄN</t>
        </is>
      </c>
      <c r="E4052" t="inlineStr">
        <is>
          <t>SÖDERKÖPING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11867-2025</t>
        </is>
      </c>
      <c r="B4053" s="1" t="n">
        <v>45728.42060185185</v>
      </c>
      <c r="C4053" s="1" t="n">
        <v>46093</v>
      </c>
      <c r="D4053" t="inlineStr">
        <is>
          <t>ÖSTERGÖTLANDS LÄN</t>
        </is>
      </c>
      <c r="E4053" t="inlineStr">
        <is>
          <t>FINSPÅNG</t>
        </is>
      </c>
      <c r="F4053" t="inlineStr">
        <is>
          <t>Holmen skog AB</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52659-2025</t>
        </is>
      </c>
      <c r="B4054" s="1" t="n">
        <v>45955.44307870371</v>
      </c>
      <c r="C4054" s="1" t="n">
        <v>46093</v>
      </c>
      <c r="D4054" t="inlineStr">
        <is>
          <t>ÖSTERGÖTLANDS LÄN</t>
        </is>
      </c>
      <c r="E4054" t="inlineStr">
        <is>
          <t>FINSPÅNG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37524-2023</t>
        </is>
      </c>
      <c r="B4055" s="1" t="n">
        <v>45158</v>
      </c>
      <c r="C4055" s="1" t="n">
        <v>46093</v>
      </c>
      <c r="D4055" t="inlineStr">
        <is>
          <t>ÖSTERGÖTLANDS LÄN</t>
        </is>
      </c>
      <c r="E4055" t="inlineStr">
        <is>
          <t>VALDEMARSVIK</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52766-2025</t>
        </is>
      </c>
      <c r="B4056" s="1" t="n">
        <v>45957.4008912037</v>
      </c>
      <c r="C4056" s="1" t="n">
        <v>46093</v>
      </c>
      <c r="D4056" t="inlineStr">
        <is>
          <t>ÖSTERGÖTLANDS LÄN</t>
        </is>
      </c>
      <c r="E4056" t="inlineStr">
        <is>
          <t>KINDA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1315-2025</t>
        </is>
      </c>
      <c r="B4057" s="1" t="n">
        <v>45667.56173611111</v>
      </c>
      <c r="C4057" s="1" t="n">
        <v>46093</v>
      </c>
      <c r="D4057" t="inlineStr">
        <is>
          <t>ÖSTERGÖTLANDS LÄN</t>
        </is>
      </c>
      <c r="E4057" t="inlineStr">
        <is>
          <t>VALDEMARSVIK</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19184-2024</t>
        </is>
      </c>
      <c r="B4058" s="1" t="n">
        <v>45428.48278935185</v>
      </c>
      <c r="C4058" s="1" t="n">
        <v>46093</v>
      </c>
      <c r="D4058" t="inlineStr">
        <is>
          <t>ÖSTERGÖTLANDS LÄN</t>
        </is>
      </c>
      <c r="E4058" t="inlineStr">
        <is>
          <t>FINSPÅNG</t>
        </is>
      </c>
      <c r="F4058" t="inlineStr">
        <is>
          <t>Holmen skog AB</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28202-2023</t>
        </is>
      </c>
      <c r="B4059" s="1" t="n">
        <v>45099</v>
      </c>
      <c r="C4059" s="1" t="n">
        <v>46093</v>
      </c>
      <c r="D4059" t="inlineStr">
        <is>
          <t>ÖSTERGÖTLANDS LÄN</t>
        </is>
      </c>
      <c r="E4059" t="inlineStr">
        <is>
          <t>MOTALA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6419-2023</t>
        </is>
      </c>
      <c r="B4060" s="1" t="n">
        <v>44965</v>
      </c>
      <c r="C4060" s="1" t="n">
        <v>46093</v>
      </c>
      <c r="D4060" t="inlineStr">
        <is>
          <t>ÖSTERGÖTLANDS LÄN</t>
        </is>
      </c>
      <c r="E4060" t="inlineStr">
        <is>
          <t>SÖDERKÖPING</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39114-2024</t>
        </is>
      </c>
      <c r="B4061" s="1" t="n">
        <v>45548.58607638889</v>
      </c>
      <c r="C4061" s="1" t="n">
        <v>46093</v>
      </c>
      <c r="D4061" t="inlineStr">
        <is>
          <t>ÖSTERGÖTLANDS LÄN</t>
        </is>
      </c>
      <c r="E4061" t="inlineStr">
        <is>
          <t>FINSPÅNG</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49694-2024</t>
        </is>
      </c>
      <c r="B4062" s="1" t="n">
        <v>45596</v>
      </c>
      <c r="C4062" s="1" t="n">
        <v>46093</v>
      </c>
      <c r="D4062" t="inlineStr">
        <is>
          <t>ÖSTERGÖTLANDS LÄN</t>
        </is>
      </c>
      <c r="E4062" t="inlineStr">
        <is>
          <t>YDRE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44640-2023</t>
        </is>
      </c>
      <c r="B4063" s="1" t="n">
        <v>45189</v>
      </c>
      <c r="C4063" s="1" t="n">
        <v>46093</v>
      </c>
      <c r="D4063" t="inlineStr">
        <is>
          <t>ÖSTERGÖTLANDS LÄN</t>
        </is>
      </c>
      <c r="E4063" t="inlineStr">
        <is>
          <t>VALDEMARSVIK</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49798-2024</t>
        </is>
      </c>
      <c r="B4064" s="1" t="n">
        <v>45597.37384259259</v>
      </c>
      <c r="C4064" s="1" t="n">
        <v>46093</v>
      </c>
      <c r="D4064" t="inlineStr">
        <is>
          <t>ÖSTERGÖTLANDS LÄN</t>
        </is>
      </c>
      <c r="E4064" t="inlineStr">
        <is>
          <t>KINDA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49818-2024</t>
        </is>
      </c>
      <c r="B4065" s="1" t="n">
        <v>45597.40140046296</v>
      </c>
      <c r="C4065" s="1" t="n">
        <v>46093</v>
      </c>
      <c r="D4065" t="inlineStr">
        <is>
          <t>ÖSTERGÖTLANDS LÄN</t>
        </is>
      </c>
      <c r="E4065" t="inlineStr">
        <is>
          <t>NORRKÖPING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58227-2022</t>
        </is>
      </c>
      <c r="B4066" s="1" t="n">
        <v>44901.38127314814</v>
      </c>
      <c r="C4066" s="1" t="n">
        <v>46093</v>
      </c>
      <c r="D4066" t="inlineStr">
        <is>
          <t>ÖSTERGÖTLANDS LÄN</t>
        </is>
      </c>
      <c r="E4066" t="inlineStr">
        <is>
          <t>SÖDERKÖPING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59642-2024</t>
        </is>
      </c>
      <c r="B4067" s="1" t="n">
        <v>45639.31511574074</v>
      </c>
      <c r="C4067" s="1" t="n">
        <v>46093</v>
      </c>
      <c r="D4067" t="inlineStr">
        <is>
          <t>ÖSTERGÖTLANDS LÄN</t>
        </is>
      </c>
      <c r="E4067" t="inlineStr">
        <is>
          <t>LINKÖPING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43083-2023</t>
        </is>
      </c>
      <c r="B4068" s="1" t="n">
        <v>45182.86355324074</v>
      </c>
      <c r="C4068" s="1" t="n">
        <v>46093</v>
      </c>
      <c r="D4068" t="inlineStr">
        <is>
          <t>ÖSTERGÖTLANDS LÄN</t>
        </is>
      </c>
      <c r="E4068" t="inlineStr">
        <is>
          <t>ÅTVIDABERG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53209-2025</t>
        </is>
      </c>
      <c r="B4069" s="1" t="n">
        <v>45958.59449074074</v>
      </c>
      <c r="C4069" s="1" t="n">
        <v>46093</v>
      </c>
      <c r="D4069" t="inlineStr">
        <is>
          <t>ÖSTERGÖTLANDS LÄN</t>
        </is>
      </c>
      <c r="E4069" t="inlineStr">
        <is>
          <t>ÅTVIDABERG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14993-2023</t>
        </is>
      </c>
      <c r="B4070" s="1" t="n">
        <v>45015.56837962963</v>
      </c>
      <c r="C4070" s="1" t="n">
        <v>46093</v>
      </c>
      <c r="D4070" t="inlineStr">
        <is>
          <t>ÖSTERGÖTLANDS LÄN</t>
        </is>
      </c>
      <c r="E4070" t="inlineStr">
        <is>
          <t>ÖDESHÖG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58414-2024</t>
        </is>
      </c>
      <c r="B4071" s="1" t="n">
        <v>45634.78091435185</v>
      </c>
      <c r="C4071" s="1" t="n">
        <v>46093</v>
      </c>
      <c r="D4071" t="inlineStr">
        <is>
          <t>ÖSTERGÖTLANDS LÄN</t>
        </is>
      </c>
      <c r="E4071" t="inlineStr">
        <is>
          <t>YDRE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27978-2022</t>
        </is>
      </c>
      <c r="B4072" s="1" t="n">
        <v>44745</v>
      </c>
      <c r="C4072" s="1" t="n">
        <v>46093</v>
      </c>
      <c r="D4072" t="inlineStr">
        <is>
          <t>ÖSTERGÖTLANDS LÄN</t>
        </is>
      </c>
      <c r="E4072" t="inlineStr">
        <is>
          <t>ÅTVIDABERG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37944-2025</t>
        </is>
      </c>
      <c r="B4073" s="1" t="n">
        <v>45881.60783564814</v>
      </c>
      <c r="C4073" s="1" t="n">
        <v>46093</v>
      </c>
      <c r="D4073" t="inlineStr">
        <is>
          <t>ÖSTERGÖTLANDS LÄN</t>
        </is>
      </c>
      <c r="E4073" t="inlineStr">
        <is>
          <t>ÅTVIDABERG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15748-2025</t>
        </is>
      </c>
      <c r="B4074" s="1" t="n">
        <v>45748.55282407408</v>
      </c>
      <c r="C4074" s="1" t="n">
        <v>46093</v>
      </c>
      <c r="D4074" t="inlineStr">
        <is>
          <t>ÖSTERGÖTLANDS LÄN</t>
        </is>
      </c>
      <c r="E4074" t="inlineStr">
        <is>
          <t>LINKÖPING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58738-2024</t>
        </is>
      </c>
      <c r="B4075" s="1" t="n">
        <v>45635.6921875</v>
      </c>
      <c r="C4075" s="1" t="n">
        <v>46093</v>
      </c>
      <c r="D4075" t="inlineStr">
        <is>
          <t>ÖSTERGÖTLANDS LÄN</t>
        </is>
      </c>
      <c r="E4075" t="inlineStr">
        <is>
          <t>KINDA</t>
        </is>
      </c>
      <c r="G4075" t="n">
        <v>0.7</v>
      </c>
      <c r="H4075" t="n">
        <v>0</v>
      </c>
      <c r="I4075" t="n">
        <v>0</v>
      </c>
      <c r="J4075" t="n">
        <v>0</v>
      </c>
      <c r="K4075" t="n">
        <v>0</v>
      </c>
      <c r="L4075" t="n">
        <v>0</v>
      </c>
      <c r="M4075" t="n">
        <v>0</v>
      </c>
      <c r="N4075" t="n">
        <v>0</v>
      </c>
      <c r="O4075" t="n">
        <v>0</v>
      </c>
      <c r="P4075" t="n">
        <v>0</v>
      </c>
      <c r="Q4075" t="n">
        <v>0</v>
      </c>
      <c r="R4075" s="2" t="inlineStr"/>
      <c r="U4075">
        <f>HYPERLINK("https://klasma.github.io/Logging_0513/knärot/A 58738-2024 karta knärot.png", "A 58738-2024")</f>
        <v/>
      </c>
      <c r="V4075">
        <f>HYPERLINK("https://klasma.github.io/Logging_0513/klagomål/A 58738-2024 FSC-klagomål.docx", "A 58738-2024")</f>
        <v/>
      </c>
      <c r="W4075">
        <f>HYPERLINK("https://klasma.github.io/Logging_0513/klagomålsmail/A 58738-2024 FSC-klagomål mail.docx", "A 58738-2024")</f>
        <v/>
      </c>
      <c r="X4075">
        <f>HYPERLINK("https://klasma.github.io/Logging_0513/tillsyn/A 58738-2024 tillsynsbegäran.docx", "A 58738-2024")</f>
        <v/>
      </c>
      <c r="Y4075">
        <f>HYPERLINK("https://klasma.github.io/Logging_0513/tillsynsmail/A 58738-2024 tillsynsbegäran mail.docx", "A 58738-2024")</f>
        <v/>
      </c>
    </row>
    <row r="4076" ht="15" customHeight="1">
      <c r="A4076" t="inlineStr">
        <is>
          <t>A 15112-2023</t>
        </is>
      </c>
      <c r="B4076" s="1" t="n">
        <v>45016</v>
      </c>
      <c r="C4076" s="1" t="n">
        <v>46093</v>
      </c>
      <c r="D4076" t="inlineStr">
        <is>
          <t>ÖSTERGÖTLANDS LÄN</t>
        </is>
      </c>
      <c r="E4076" t="inlineStr">
        <is>
          <t>YDRE</t>
        </is>
      </c>
      <c r="F4076" t="inlineStr">
        <is>
          <t>Övriga Aktiebolag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13139-2025</t>
        </is>
      </c>
      <c r="B4077" s="1" t="n">
        <v>45735.29822916666</v>
      </c>
      <c r="C4077" s="1" t="n">
        <v>46093</v>
      </c>
      <c r="D4077" t="inlineStr">
        <is>
          <t>ÖSTERGÖTLANDS LÄN</t>
        </is>
      </c>
      <c r="E4077" t="inlineStr">
        <is>
          <t>FINSPÅNG</t>
        </is>
      </c>
      <c r="F4077" t="inlineStr">
        <is>
          <t>Sveaskog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31792-2021</t>
        </is>
      </c>
      <c r="B4078" s="1" t="n">
        <v>44369</v>
      </c>
      <c r="C4078" s="1" t="n">
        <v>46093</v>
      </c>
      <c r="D4078" t="inlineStr">
        <is>
          <t>ÖSTERGÖTLANDS LÄN</t>
        </is>
      </c>
      <c r="E4078" t="inlineStr">
        <is>
          <t>LINKÖPING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25097-2023</t>
        </is>
      </c>
      <c r="B4079" s="1" t="n">
        <v>45086</v>
      </c>
      <c r="C4079" s="1" t="n">
        <v>46093</v>
      </c>
      <c r="D4079" t="inlineStr">
        <is>
          <t>ÖSTERGÖTLANDS LÄN</t>
        </is>
      </c>
      <c r="E4079" t="inlineStr">
        <is>
          <t>LINKÖPING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26390-2024</t>
        </is>
      </c>
      <c r="B4080" s="1" t="n">
        <v>45469.43265046296</v>
      </c>
      <c r="C4080" s="1" t="n">
        <v>46093</v>
      </c>
      <c r="D4080" t="inlineStr">
        <is>
          <t>ÖSTERGÖTLANDS LÄN</t>
        </is>
      </c>
      <c r="E4080" t="inlineStr">
        <is>
          <t>NORRKÖPING</t>
        </is>
      </c>
      <c r="G4080" t="n">
        <v>0</v>
      </c>
      <c r="H4080" t="n">
        <v>0</v>
      </c>
      <c r="I4080" t="n">
        <v>0</v>
      </c>
      <c r="J4080" t="n">
        <v>0</v>
      </c>
      <c r="K4080" t="n">
        <v>0</v>
      </c>
      <c r="L4080" t="n">
        <v>0</v>
      </c>
      <c r="M4080" t="n">
        <v>0</v>
      </c>
      <c r="N4080" t="n">
        <v>0</v>
      </c>
      <c r="O4080" t="n">
        <v>0</v>
      </c>
      <c r="P4080" t="n">
        <v>0</v>
      </c>
      <c r="Q4080" t="n">
        <v>0</v>
      </c>
      <c r="R4080" s="2" t="inlineStr"/>
    </row>
    <row r="4081" ht="15" customHeight="1">
      <c r="A4081" t="inlineStr">
        <is>
          <t>A 3988-2025</t>
        </is>
      </c>
      <c r="B4081" s="1" t="n">
        <v>45684.55570601852</v>
      </c>
      <c r="C4081" s="1" t="n">
        <v>46093</v>
      </c>
      <c r="D4081" t="inlineStr">
        <is>
          <t>ÖSTERGÖTLANDS LÄN</t>
        </is>
      </c>
      <c r="E4081" t="inlineStr">
        <is>
          <t>KINDA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1862-2025</t>
        </is>
      </c>
      <c r="B4082" s="1" t="n">
        <v>45671.60892361111</v>
      </c>
      <c r="C4082" s="1" t="n">
        <v>46093</v>
      </c>
      <c r="D4082" t="inlineStr">
        <is>
          <t>ÖSTERGÖTLANDS LÄN</t>
        </is>
      </c>
      <c r="E4082" t="inlineStr">
        <is>
          <t>YDRE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3796-2025</t>
        </is>
      </c>
      <c r="B4083" s="1" t="n">
        <v>45681.64767361111</v>
      </c>
      <c r="C4083" s="1" t="n">
        <v>46093</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52740-2025</t>
        </is>
      </c>
      <c r="B4084" s="1" t="n">
        <v>45957.37747685185</v>
      </c>
      <c r="C4084" s="1" t="n">
        <v>46093</v>
      </c>
      <c r="D4084" t="inlineStr">
        <is>
          <t>ÖSTERGÖTLANDS LÄN</t>
        </is>
      </c>
      <c r="E4084" t="inlineStr">
        <is>
          <t>LINKÖPING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10461-2023</t>
        </is>
      </c>
      <c r="B4085" s="1" t="n">
        <v>44987.5969212963</v>
      </c>
      <c r="C4085" s="1" t="n">
        <v>46093</v>
      </c>
      <c r="D4085" t="inlineStr">
        <is>
          <t>ÖSTERGÖTLANDS LÄN</t>
        </is>
      </c>
      <c r="E4085" t="inlineStr">
        <is>
          <t>LINKÖPING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52743-2025</t>
        </is>
      </c>
      <c r="B4086" s="1" t="n">
        <v>45957.38039351852</v>
      </c>
      <c r="C4086" s="1" t="n">
        <v>46093</v>
      </c>
      <c r="D4086" t="inlineStr">
        <is>
          <t>ÖSTERGÖTLANDS LÄN</t>
        </is>
      </c>
      <c r="E4086" t="inlineStr">
        <is>
          <t>LINKÖPING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36401-2023</t>
        </is>
      </c>
      <c r="B4087" s="1" t="n">
        <v>45152.54942129629</v>
      </c>
      <c r="C4087" s="1" t="n">
        <v>46093</v>
      </c>
      <c r="D4087" t="inlineStr">
        <is>
          <t>ÖSTERGÖTLANDS LÄN</t>
        </is>
      </c>
      <c r="E4087" t="inlineStr">
        <is>
          <t>MJÖLBY</t>
        </is>
      </c>
      <c r="F4087" t="inlineStr">
        <is>
          <t>Allmännings- och besparingsskogar</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52797-2025</t>
        </is>
      </c>
      <c r="B4088" s="1" t="n">
        <v>45957.43980324074</v>
      </c>
      <c r="C4088" s="1" t="n">
        <v>46093</v>
      </c>
      <c r="D4088" t="inlineStr">
        <is>
          <t>ÖSTERGÖTLANDS LÄN</t>
        </is>
      </c>
      <c r="E4088" t="inlineStr">
        <is>
          <t>ÅTVIDABERG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52807-2025</t>
        </is>
      </c>
      <c r="B4089" s="1" t="n">
        <v>45957.44837962963</v>
      </c>
      <c r="C4089" s="1" t="n">
        <v>46093</v>
      </c>
      <c r="D4089" t="inlineStr">
        <is>
          <t>ÖSTERGÖTLANDS LÄN</t>
        </is>
      </c>
      <c r="E4089" t="inlineStr">
        <is>
          <t>LINKÖPING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8067-2025</t>
        </is>
      </c>
      <c r="B4090" s="1" t="n">
        <v>45707.64212962963</v>
      </c>
      <c r="C4090" s="1" t="n">
        <v>46093</v>
      </c>
      <c r="D4090" t="inlineStr">
        <is>
          <t>ÖSTERGÖTLANDS LÄN</t>
        </is>
      </c>
      <c r="E4090" t="inlineStr">
        <is>
          <t>ÖDESHÖG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11519-2025</t>
        </is>
      </c>
      <c r="B4091" s="1" t="n">
        <v>45726.90959490741</v>
      </c>
      <c r="C4091" s="1" t="n">
        <v>46093</v>
      </c>
      <c r="D4091" t="inlineStr">
        <is>
          <t>ÖSTERGÖTLANDS LÄN</t>
        </is>
      </c>
      <c r="E4091" t="inlineStr">
        <is>
          <t>NORRKÖPING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11585-2025</t>
        </is>
      </c>
      <c r="B4092" s="1" t="n">
        <v>45727.40373842593</v>
      </c>
      <c r="C4092" s="1" t="n">
        <v>46093</v>
      </c>
      <c r="D4092" t="inlineStr">
        <is>
          <t>ÖSTERGÖTLANDS LÄN</t>
        </is>
      </c>
      <c r="E4092" t="inlineStr">
        <is>
          <t>FINSPÅNG</t>
        </is>
      </c>
      <c r="F4092" t="inlineStr">
        <is>
          <t>Holmen skog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42126-2024</t>
        </is>
      </c>
      <c r="B4093" s="1" t="n">
        <v>45562.40121527778</v>
      </c>
      <c r="C4093" s="1" t="n">
        <v>46093</v>
      </c>
      <c r="D4093" t="inlineStr">
        <is>
          <t>ÖSTERGÖTLANDS LÄN</t>
        </is>
      </c>
      <c r="E4093" t="inlineStr">
        <is>
          <t>FINSPÅNG</t>
        </is>
      </c>
      <c r="F4093" t="inlineStr">
        <is>
          <t>Holmen skog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50873-2023</t>
        </is>
      </c>
      <c r="B4094" s="1" t="n">
        <v>45218.36673611111</v>
      </c>
      <c r="C4094" s="1" t="n">
        <v>46093</v>
      </c>
      <c r="D4094" t="inlineStr">
        <is>
          <t>ÖSTERGÖTLANDS LÄN</t>
        </is>
      </c>
      <c r="E4094" t="inlineStr">
        <is>
          <t>SÖDERKÖPING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18488-2025</t>
        </is>
      </c>
      <c r="B4095" s="1" t="n">
        <v>45763.32456018519</v>
      </c>
      <c r="C4095" s="1" t="n">
        <v>46093</v>
      </c>
      <c r="D4095" t="inlineStr">
        <is>
          <t>ÖSTERGÖTLANDS LÄN</t>
        </is>
      </c>
      <c r="E4095" t="inlineStr">
        <is>
          <t>FINSPÅNG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53363-2025</t>
        </is>
      </c>
      <c r="B4096" s="1" t="n">
        <v>45959.48362268518</v>
      </c>
      <c r="C4096" s="1" t="n">
        <v>46093</v>
      </c>
      <c r="D4096" t="inlineStr">
        <is>
          <t>ÖSTERGÖTLANDS LÄN</t>
        </is>
      </c>
      <c r="E4096" t="inlineStr">
        <is>
          <t>FINSPÅNG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53675-2024</t>
        </is>
      </c>
      <c r="B4097" s="1" t="n">
        <v>45615</v>
      </c>
      <c r="C4097" s="1" t="n">
        <v>46093</v>
      </c>
      <c r="D4097" t="inlineStr">
        <is>
          <t>ÖSTERGÖTLANDS LÄN</t>
        </is>
      </c>
      <c r="E4097" t="inlineStr">
        <is>
          <t>FINSPÅNG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17126-2024</t>
        </is>
      </c>
      <c r="B4098" s="1" t="n">
        <v>45412</v>
      </c>
      <c r="C4098" s="1" t="n">
        <v>46093</v>
      </c>
      <c r="D4098" t="inlineStr">
        <is>
          <t>ÖSTERGÖTLANDS LÄN</t>
        </is>
      </c>
      <c r="E4098" t="inlineStr">
        <is>
          <t>ÖDESHÖG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41345-2021</t>
        </is>
      </c>
      <c r="B4099" s="1" t="n">
        <v>44424.61851851852</v>
      </c>
      <c r="C4099" s="1" t="n">
        <v>46093</v>
      </c>
      <c r="D4099" t="inlineStr">
        <is>
          <t>ÖSTERGÖTLANDS LÄN</t>
        </is>
      </c>
      <c r="E4099" t="inlineStr">
        <is>
          <t>LINKÖPING</t>
        </is>
      </c>
      <c r="F4099" t="inlineStr">
        <is>
          <t>Sveaskog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35735-2023</t>
        </is>
      </c>
      <c r="B4100" s="1" t="n">
        <v>45147</v>
      </c>
      <c r="C4100" s="1" t="n">
        <v>46093</v>
      </c>
      <c r="D4100" t="inlineStr">
        <is>
          <t>ÖSTERGÖTLANDS LÄN</t>
        </is>
      </c>
      <c r="E4100" t="inlineStr">
        <is>
          <t>LINKÖPING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59887-2022</t>
        </is>
      </c>
      <c r="B4101" s="1" t="n">
        <v>44908</v>
      </c>
      <c r="C4101" s="1" t="n">
        <v>46093</v>
      </c>
      <c r="D4101" t="inlineStr">
        <is>
          <t>ÖSTERGÖTLANDS LÄN</t>
        </is>
      </c>
      <c r="E4101" t="inlineStr">
        <is>
          <t>NORRKÖPING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22470-2022</t>
        </is>
      </c>
      <c r="B4102" s="1" t="n">
        <v>44713.58678240741</v>
      </c>
      <c r="C4102" s="1" t="n">
        <v>46093</v>
      </c>
      <c r="D4102" t="inlineStr">
        <is>
          <t>ÖSTERGÖTLANDS LÄN</t>
        </is>
      </c>
      <c r="E4102" t="inlineStr">
        <is>
          <t>NORRKÖPING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38878-2023</t>
        </is>
      </c>
      <c r="B4103" s="1" t="n">
        <v>45161</v>
      </c>
      <c r="C4103" s="1" t="n">
        <v>46093</v>
      </c>
      <c r="D4103" t="inlineStr">
        <is>
          <t>ÖSTERGÖTLANDS LÄN</t>
        </is>
      </c>
      <c r="E4103" t="inlineStr">
        <is>
          <t>MOTALA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16462-2021</t>
        </is>
      </c>
      <c r="B4104" s="1" t="n">
        <v>44293</v>
      </c>
      <c r="C4104" s="1" t="n">
        <v>46093</v>
      </c>
      <c r="D4104" t="inlineStr">
        <is>
          <t>ÖSTERGÖTLANDS LÄN</t>
        </is>
      </c>
      <c r="E4104" t="inlineStr">
        <is>
          <t>LINKÖPING</t>
        </is>
      </c>
      <c r="F4104" t="inlineStr">
        <is>
          <t>Allmännings- och besparingsskogar</t>
        </is>
      </c>
      <c r="G4104" t="n">
        <v>24.7</v>
      </c>
      <c r="H4104" t="n">
        <v>0</v>
      </c>
      <c r="I4104" t="n">
        <v>0</v>
      </c>
      <c r="J4104" t="n">
        <v>0</v>
      </c>
      <c r="K4104" t="n">
        <v>0</v>
      </c>
      <c r="L4104" t="n">
        <v>0</v>
      </c>
      <c r="M4104" t="n">
        <v>0</v>
      </c>
      <c r="N4104" t="n">
        <v>0</v>
      </c>
      <c r="O4104" t="n">
        <v>0</v>
      </c>
      <c r="P4104" t="n">
        <v>0</v>
      </c>
      <c r="Q4104" t="n">
        <v>0</v>
      </c>
      <c r="R4104" s="2" t="inlineStr"/>
    </row>
    <row r="4105" ht="15" customHeight="1">
      <c r="A4105" t="inlineStr">
        <is>
          <t>A 16585-2021</t>
        </is>
      </c>
      <c r="B4105" s="1" t="n">
        <v>44294.33396990741</v>
      </c>
      <c r="C4105" s="1" t="n">
        <v>46093</v>
      </c>
      <c r="D4105" t="inlineStr">
        <is>
          <t>ÖSTERGÖTLANDS LÄN</t>
        </is>
      </c>
      <c r="E4105" t="inlineStr">
        <is>
          <t>KINDA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6319-2025</t>
        </is>
      </c>
      <c r="B4106" s="1" t="n">
        <v>45698.80957175926</v>
      </c>
      <c r="C4106" s="1" t="n">
        <v>46093</v>
      </c>
      <c r="D4106" t="inlineStr">
        <is>
          <t>ÖSTERGÖTLANDS LÄN</t>
        </is>
      </c>
      <c r="E4106" t="inlineStr">
        <is>
          <t>FINSPÅNG</t>
        </is>
      </c>
      <c r="F4106" t="inlineStr">
        <is>
          <t>Holmen skog AB</t>
        </is>
      </c>
      <c r="G4106" t="n">
        <v>10.3</v>
      </c>
      <c r="H4106" t="n">
        <v>0</v>
      </c>
      <c r="I4106" t="n">
        <v>0</v>
      </c>
      <c r="J4106" t="n">
        <v>0</v>
      </c>
      <c r="K4106" t="n">
        <v>0</v>
      </c>
      <c r="L4106" t="n">
        <v>0</v>
      </c>
      <c r="M4106" t="n">
        <v>0</v>
      </c>
      <c r="N4106" t="n">
        <v>0</v>
      </c>
      <c r="O4106" t="n">
        <v>0</v>
      </c>
      <c r="P4106" t="n">
        <v>0</v>
      </c>
      <c r="Q4106" t="n">
        <v>0</v>
      </c>
      <c r="R4106" s="2" t="inlineStr"/>
    </row>
    <row r="4107" ht="15" customHeight="1">
      <c r="A4107" t="inlineStr">
        <is>
          <t>A 13134-2025</t>
        </is>
      </c>
      <c r="B4107" s="1" t="n">
        <v>45735.26765046296</v>
      </c>
      <c r="C4107" s="1" t="n">
        <v>46093</v>
      </c>
      <c r="D4107" t="inlineStr">
        <is>
          <t>ÖSTERGÖTLANDS LÄN</t>
        </is>
      </c>
      <c r="E4107" t="inlineStr">
        <is>
          <t>YDRE</t>
        </is>
      </c>
      <c r="F4107" t="inlineStr">
        <is>
          <t>Övriga Aktiebolag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6334-2025</t>
        </is>
      </c>
      <c r="B4108" s="1" t="n">
        <v>45698.95604166666</v>
      </c>
      <c r="C4108" s="1" t="n">
        <v>46093</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6335-2025</t>
        </is>
      </c>
      <c r="B4109" s="1" t="n">
        <v>45698.96091435185</v>
      </c>
      <c r="C4109" s="1" t="n">
        <v>46093</v>
      </c>
      <c r="D4109" t="inlineStr">
        <is>
          <t>ÖSTERGÖTLANDS LÄN</t>
        </is>
      </c>
      <c r="E4109" t="inlineStr">
        <is>
          <t>VALDEMARSVIK</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7884-2023</t>
        </is>
      </c>
      <c r="B4110" s="1" t="n">
        <v>44973.5909375</v>
      </c>
      <c r="C4110" s="1" t="n">
        <v>46093</v>
      </c>
      <c r="D4110" t="inlineStr">
        <is>
          <t>ÖSTERGÖTLANDS LÄN</t>
        </is>
      </c>
      <c r="E4110" t="inlineStr">
        <is>
          <t>FINSPÅNG</t>
        </is>
      </c>
      <c r="F4110" t="inlineStr">
        <is>
          <t>Holmen skog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6404-2025</t>
        </is>
      </c>
      <c r="B4111" s="1" t="n">
        <v>45699.45336805555</v>
      </c>
      <c r="C4111" s="1" t="n">
        <v>46093</v>
      </c>
      <c r="D4111" t="inlineStr">
        <is>
          <t>ÖSTERGÖTLANDS LÄN</t>
        </is>
      </c>
      <c r="E4111" t="inlineStr">
        <is>
          <t>KINDA</t>
        </is>
      </c>
      <c r="F4111" t="inlineStr">
        <is>
          <t>Sveaskog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38199-2025</t>
        </is>
      </c>
      <c r="B4112" s="1" t="n">
        <v>45882.67461805556</v>
      </c>
      <c r="C4112" s="1" t="n">
        <v>46093</v>
      </c>
      <c r="D4112" t="inlineStr">
        <is>
          <t>ÖSTERGÖTLANDS LÄN</t>
        </is>
      </c>
      <c r="E4112" t="inlineStr">
        <is>
          <t>MJÖLBY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6406-2025</t>
        </is>
      </c>
      <c r="B4113" s="1" t="n">
        <v>45699.45508101852</v>
      </c>
      <c r="C4113" s="1" t="n">
        <v>46093</v>
      </c>
      <c r="D4113" t="inlineStr">
        <is>
          <t>ÖSTERGÖTLANDS LÄN</t>
        </is>
      </c>
      <c r="E4113" t="inlineStr">
        <is>
          <t>KINDA</t>
        </is>
      </c>
      <c r="F4113" t="inlineStr">
        <is>
          <t>Sveaskog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36942-2023</t>
        </is>
      </c>
      <c r="B4114" s="1" t="n">
        <v>45154.72465277778</v>
      </c>
      <c r="C4114" s="1" t="n">
        <v>46093</v>
      </c>
      <c r="D4114" t="inlineStr">
        <is>
          <t>ÖSTERGÖTLANDS LÄN</t>
        </is>
      </c>
      <c r="E4114" t="inlineStr">
        <is>
          <t>KINDA</t>
        </is>
      </c>
      <c r="F4114" t="inlineStr">
        <is>
          <t>Allmännings- och besparingsskogar</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38134-2025</t>
        </is>
      </c>
      <c r="B4115" s="1" t="n">
        <v>45882.56501157407</v>
      </c>
      <c r="C4115" s="1" t="n">
        <v>46093</v>
      </c>
      <c r="D4115" t="inlineStr">
        <is>
          <t>ÖSTERGÖTLANDS LÄN</t>
        </is>
      </c>
      <c r="E4115" t="inlineStr">
        <is>
          <t>KINDA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19217-2023</t>
        </is>
      </c>
      <c r="B4116" s="1" t="n">
        <v>45048.78258101852</v>
      </c>
      <c r="C4116" s="1" t="n">
        <v>46093</v>
      </c>
      <c r="D4116" t="inlineStr">
        <is>
          <t>ÖSTERGÖTLANDS LÄN</t>
        </is>
      </c>
      <c r="E4116" t="inlineStr">
        <is>
          <t>MOTALA</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19036-2023</t>
        </is>
      </c>
      <c r="B4117" s="1" t="n">
        <v>45047</v>
      </c>
      <c r="C4117" s="1" t="n">
        <v>46093</v>
      </c>
      <c r="D4117" t="inlineStr">
        <is>
          <t>ÖSTERGÖTLANDS LÄN</t>
        </is>
      </c>
      <c r="E4117" t="inlineStr">
        <is>
          <t>ÅTVIDABERG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4558-2025</t>
        </is>
      </c>
      <c r="B4118" s="1" t="n">
        <v>45687.45034722222</v>
      </c>
      <c r="C4118" s="1" t="n">
        <v>46093</v>
      </c>
      <c r="D4118" t="inlineStr">
        <is>
          <t>ÖSTERGÖTLANDS LÄN</t>
        </is>
      </c>
      <c r="E4118" t="inlineStr">
        <is>
          <t>FINSPÅNG</t>
        </is>
      </c>
      <c r="F4118" t="inlineStr">
        <is>
          <t>Holmen skog AB</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9162-2023</t>
        </is>
      </c>
      <c r="B4119" s="1" t="n">
        <v>44980.40400462963</v>
      </c>
      <c r="C4119" s="1" t="n">
        <v>46093</v>
      </c>
      <c r="D4119" t="inlineStr">
        <is>
          <t>ÖSTERGÖTLANDS LÄN</t>
        </is>
      </c>
      <c r="E4119" t="inlineStr">
        <is>
          <t>YDRE</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25776-2021</t>
        </is>
      </c>
      <c r="B4120" s="1" t="n">
        <v>44343</v>
      </c>
      <c r="C4120" s="1" t="n">
        <v>46093</v>
      </c>
      <c r="D4120" t="inlineStr">
        <is>
          <t>ÖSTERGÖTLANDS LÄN</t>
        </is>
      </c>
      <c r="E4120" t="inlineStr">
        <is>
          <t>LINKÖPING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37474-2025</t>
        </is>
      </c>
      <c r="B4121" s="1" t="n">
        <v>45877</v>
      </c>
      <c r="C4121" s="1" t="n">
        <v>46093</v>
      </c>
      <c r="D4121" t="inlineStr">
        <is>
          <t>ÖSTERGÖTLANDS LÄN</t>
        </is>
      </c>
      <c r="E4121" t="inlineStr">
        <is>
          <t>BOXHOLM</t>
        </is>
      </c>
      <c r="F4121" t="inlineStr">
        <is>
          <t>Övriga Aktiebolag</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7761-2025</t>
        </is>
      </c>
      <c r="B4122" s="1" t="n">
        <v>45706.54204861111</v>
      </c>
      <c r="C4122" s="1" t="n">
        <v>46093</v>
      </c>
      <c r="D4122" t="inlineStr">
        <is>
          <t>ÖSTERGÖTLANDS LÄN</t>
        </is>
      </c>
      <c r="E4122" t="inlineStr">
        <is>
          <t>NORRKÖPING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30856-2022</t>
        </is>
      </c>
      <c r="B4123" s="1" t="n">
        <v>44767</v>
      </c>
      <c r="C4123" s="1" t="n">
        <v>46093</v>
      </c>
      <c r="D4123" t="inlineStr">
        <is>
          <t>ÖSTERGÖTLANDS LÄN</t>
        </is>
      </c>
      <c r="E4123" t="inlineStr">
        <is>
          <t>LINKÖPING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53417-2025</t>
        </is>
      </c>
      <c r="B4124" s="1" t="n">
        <v>45959.58710648148</v>
      </c>
      <c r="C4124" s="1" t="n">
        <v>46093</v>
      </c>
      <c r="D4124" t="inlineStr">
        <is>
          <t>ÖSTERGÖTLANDS LÄN</t>
        </is>
      </c>
      <c r="E4124" t="inlineStr">
        <is>
          <t>KINDA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32511-2023</t>
        </is>
      </c>
      <c r="B4125" s="1" t="n">
        <v>45121</v>
      </c>
      <c r="C4125" s="1" t="n">
        <v>46093</v>
      </c>
      <c r="D4125" t="inlineStr">
        <is>
          <t>ÖSTERGÖTLANDS LÄN</t>
        </is>
      </c>
      <c r="E4125" t="inlineStr">
        <is>
          <t>NORRKÖPING</t>
        </is>
      </c>
      <c r="F4125" t="inlineStr">
        <is>
          <t>Holmen skog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16205-2024</t>
        </is>
      </c>
      <c r="B4126" s="1" t="n">
        <v>45406.80145833334</v>
      </c>
      <c r="C4126" s="1" t="n">
        <v>46093</v>
      </c>
      <c r="D4126" t="inlineStr">
        <is>
          <t>ÖSTERGÖTLANDS LÄN</t>
        </is>
      </c>
      <c r="E4126" t="inlineStr">
        <is>
          <t>YDRE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53694-2025</t>
        </is>
      </c>
      <c r="B4127" s="1" t="n">
        <v>45960.58719907407</v>
      </c>
      <c r="C4127" s="1" t="n">
        <v>46093</v>
      </c>
      <c r="D4127" t="inlineStr">
        <is>
          <t>ÖSTERGÖTLANDS LÄN</t>
        </is>
      </c>
      <c r="E4127" t="inlineStr">
        <is>
          <t>NORRKÖPING</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38003-2025</t>
        </is>
      </c>
      <c r="B4128" s="1" t="n">
        <v>45881</v>
      </c>
      <c r="C4128" s="1" t="n">
        <v>46093</v>
      </c>
      <c r="D4128" t="inlineStr">
        <is>
          <t>ÖSTERGÖTLANDS LÄN</t>
        </is>
      </c>
      <c r="E4128" t="inlineStr">
        <is>
          <t>NORRKÖPING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53369-2025</t>
        </is>
      </c>
      <c r="B4129" s="1" t="n">
        <v>45959.49478009259</v>
      </c>
      <c r="C4129" s="1" t="n">
        <v>46093</v>
      </c>
      <c r="D4129" t="inlineStr">
        <is>
          <t>ÖSTERGÖTLANDS LÄN</t>
        </is>
      </c>
      <c r="E4129" t="inlineStr">
        <is>
          <t>YDRE</t>
        </is>
      </c>
      <c r="F4129" t="inlineStr">
        <is>
          <t>Övriga Aktiebolag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32470-2022</t>
        </is>
      </c>
      <c r="B4130" s="1" t="n">
        <v>44782</v>
      </c>
      <c r="C4130" s="1" t="n">
        <v>46093</v>
      </c>
      <c r="D4130" t="inlineStr">
        <is>
          <t>ÖSTERGÖTLANDS LÄN</t>
        </is>
      </c>
      <c r="E4130" t="inlineStr">
        <is>
          <t>MOTALA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57772-2022</t>
        </is>
      </c>
      <c r="B4131" s="1" t="n">
        <v>44897</v>
      </c>
      <c r="C4131" s="1" t="n">
        <v>46093</v>
      </c>
      <c r="D4131" t="inlineStr">
        <is>
          <t>ÖSTERGÖTLANDS LÄN</t>
        </is>
      </c>
      <c r="E4131" t="inlineStr">
        <is>
          <t>NORRKÖPING</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20083-2021</t>
        </is>
      </c>
      <c r="B4132" s="1" t="n">
        <v>44314</v>
      </c>
      <c r="C4132" s="1" t="n">
        <v>46093</v>
      </c>
      <c r="D4132" t="inlineStr">
        <is>
          <t>ÖSTERGÖTLANDS LÄN</t>
        </is>
      </c>
      <c r="E4132" t="inlineStr">
        <is>
          <t>KINDA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9059-2023</t>
        </is>
      </c>
      <c r="B4133" s="1" t="n">
        <v>44979.71133101852</v>
      </c>
      <c r="C4133" s="1" t="n">
        <v>46093</v>
      </c>
      <c r="D4133" t="inlineStr">
        <is>
          <t>ÖSTERGÖTLANDS LÄN</t>
        </is>
      </c>
      <c r="E4133" t="inlineStr">
        <is>
          <t>BOXHOLM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53702-2025</t>
        </is>
      </c>
      <c r="B4134" s="1" t="n">
        <v>45960.59640046296</v>
      </c>
      <c r="C4134" s="1" t="n">
        <v>46093</v>
      </c>
      <c r="D4134" t="inlineStr">
        <is>
          <t>ÖSTERGÖTLANDS LÄN</t>
        </is>
      </c>
      <c r="E4134" t="inlineStr">
        <is>
          <t>NORRKÖPING</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58413-2024</t>
        </is>
      </c>
      <c r="B4135" s="1" t="n">
        <v>45634.76754629629</v>
      </c>
      <c r="C4135" s="1" t="n">
        <v>46093</v>
      </c>
      <c r="D4135" t="inlineStr">
        <is>
          <t>ÖSTERGÖTLANDS LÄN</t>
        </is>
      </c>
      <c r="E4135" t="inlineStr">
        <is>
          <t>YDRE</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25188-2023</t>
        </is>
      </c>
      <c r="B4136" s="1" t="n">
        <v>45086.56525462963</v>
      </c>
      <c r="C4136" s="1" t="n">
        <v>46093</v>
      </c>
      <c r="D4136" t="inlineStr">
        <is>
          <t>ÖSTERGÖTLANDS LÄN</t>
        </is>
      </c>
      <c r="E4136" t="inlineStr">
        <is>
          <t>FINSPÅNG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19187-2021</t>
        </is>
      </c>
      <c r="B4137" s="1" t="n">
        <v>44308</v>
      </c>
      <c r="C4137" s="1" t="n">
        <v>46093</v>
      </c>
      <c r="D4137" t="inlineStr">
        <is>
          <t>ÖSTERGÖTLANDS LÄN</t>
        </is>
      </c>
      <c r="E4137" t="inlineStr">
        <is>
          <t>LINKÖPING</t>
        </is>
      </c>
      <c r="F4137" t="inlineStr">
        <is>
          <t>Allmännings- och besparingsskogar</t>
        </is>
      </c>
      <c r="G4137" t="n">
        <v>20</v>
      </c>
      <c r="H4137" t="n">
        <v>0</v>
      </c>
      <c r="I4137" t="n">
        <v>0</v>
      </c>
      <c r="J4137" t="n">
        <v>0</v>
      </c>
      <c r="K4137" t="n">
        <v>0</v>
      </c>
      <c r="L4137" t="n">
        <v>0</v>
      </c>
      <c r="M4137" t="n">
        <v>0</v>
      </c>
      <c r="N4137" t="n">
        <v>0</v>
      </c>
      <c r="O4137" t="n">
        <v>0</v>
      </c>
      <c r="P4137" t="n">
        <v>0</v>
      </c>
      <c r="Q4137" t="n">
        <v>0</v>
      </c>
      <c r="R4137" s="2" t="inlineStr"/>
    </row>
    <row r="4138" ht="15" customHeight="1">
      <c r="A4138" t="inlineStr">
        <is>
          <t>A 61753-2024</t>
        </is>
      </c>
      <c r="B4138" s="1" t="n">
        <v>45649.3993287037</v>
      </c>
      <c r="C4138" s="1" t="n">
        <v>46093</v>
      </c>
      <c r="D4138" t="inlineStr">
        <is>
          <t>ÖSTERGÖTLANDS LÄN</t>
        </is>
      </c>
      <c r="E4138" t="inlineStr">
        <is>
          <t>YDRE</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6408-2023</t>
        </is>
      </c>
      <c r="B4139" s="1" t="n">
        <v>44965.69575231482</v>
      </c>
      <c r="C4139" s="1" t="n">
        <v>46093</v>
      </c>
      <c r="D4139" t="inlineStr">
        <is>
          <t>ÖSTERGÖTLANDS LÄN</t>
        </is>
      </c>
      <c r="E4139" t="inlineStr">
        <is>
          <t>YDRE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38138-2025</t>
        </is>
      </c>
      <c r="B4140" s="1" t="n">
        <v>45882.57047453704</v>
      </c>
      <c r="C4140" s="1" t="n">
        <v>46093</v>
      </c>
      <c r="D4140" t="inlineStr">
        <is>
          <t>ÖSTERGÖTLANDS LÄN</t>
        </is>
      </c>
      <c r="E4140" t="inlineStr">
        <is>
          <t>KINDA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53310-2025</t>
        </is>
      </c>
      <c r="B4141" s="1" t="n">
        <v>45959.34399305555</v>
      </c>
      <c r="C4141" s="1" t="n">
        <v>46093</v>
      </c>
      <c r="D4141" t="inlineStr">
        <is>
          <t>ÖSTERGÖTLANDS LÄN</t>
        </is>
      </c>
      <c r="E4141" t="inlineStr">
        <is>
          <t>ÅTVIDABERG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24075-2025</t>
        </is>
      </c>
      <c r="B4142" s="1" t="n">
        <v>45796.54888888889</v>
      </c>
      <c r="C4142" s="1" t="n">
        <v>46093</v>
      </c>
      <c r="D4142" t="inlineStr">
        <is>
          <t>ÖSTERGÖTLANDS LÄN</t>
        </is>
      </c>
      <c r="E4142" t="inlineStr">
        <is>
          <t>KINDA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18919-2025</t>
        </is>
      </c>
      <c r="B4143" s="1" t="n">
        <v>45764.47553240741</v>
      </c>
      <c r="C4143" s="1" t="n">
        <v>46093</v>
      </c>
      <c r="D4143" t="inlineStr">
        <is>
          <t>ÖSTERGÖTLANDS LÄN</t>
        </is>
      </c>
      <c r="E4143" t="inlineStr">
        <is>
          <t>NORRKÖPING</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60639-2024</t>
        </is>
      </c>
      <c r="B4144" s="1" t="n">
        <v>45642</v>
      </c>
      <c r="C4144" s="1" t="n">
        <v>46093</v>
      </c>
      <c r="D4144" t="inlineStr">
        <is>
          <t>ÖSTERGÖTLANDS LÄN</t>
        </is>
      </c>
      <c r="E4144" t="inlineStr">
        <is>
          <t>NORRKÖPING</t>
        </is>
      </c>
      <c r="F4144" t="inlineStr">
        <is>
          <t>Allmännings- och besparingsskogar</t>
        </is>
      </c>
      <c r="G4144" t="n">
        <v>12.7</v>
      </c>
      <c r="H4144" t="n">
        <v>0</v>
      </c>
      <c r="I4144" t="n">
        <v>0</v>
      </c>
      <c r="J4144" t="n">
        <v>0</v>
      </c>
      <c r="K4144" t="n">
        <v>0</v>
      </c>
      <c r="L4144" t="n">
        <v>0</v>
      </c>
      <c r="M4144" t="n">
        <v>0</v>
      </c>
      <c r="N4144" t="n">
        <v>0</v>
      </c>
      <c r="O4144" t="n">
        <v>0</v>
      </c>
      <c r="P4144" t="n">
        <v>0</v>
      </c>
      <c r="Q4144" t="n">
        <v>0</v>
      </c>
      <c r="R4144" s="2" t="inlineStr"/>
    </row>
    <row r="4145" ht="15" customHeight="1">
      <c r="A4145" t="inlineStr">
        <is>
          <t>A 62421-2021</t>
        </is>
      </c>
      <c r="B4145" s="1" t="n">
        <v>44503.48954861111</v>
      </c>
      <c r="C4145" s="1" t="n">
        <v>46093</v>
      </c>
      <c r="D4145" t="inlineStr">
        <is>
          <t>ÖSTERGÖTLANDS LÄN</t>
        </is>
      </c>
      <c r="E4145" t="inlineStr">
        <is>
          <t>FINSPÅNG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50774-2023</t>
        </is>
      </c>
      <c r="B4146" s="1" t="n">
        <v>45210</v>
      </c>
      <c r="C4146" s="1" t="n">
        <v>46093</v>
      </c>
      <c r="D4146" t="inlineStr">
        <is>
          <t>ÖSTERGÖTLANDS LÄN</t>
        </is>
      </c>
      <c r="E4146" t="inlineStr">
        <is>
          <t>ÖDESHÖG</t>
        </is>
      </c>
      <c r="G4146" t="n">
        <v>9.5</v>
      </c>
      <c r="H4146" t="n">
        <v>0</v>
      </c>
      <c r="I4146" t="n">
        <v>0</v>
      </c>
      <c r="J4146" t="n">
        <v>0</v>
      </c>
      <c r="K4146" t="n">
        <v>0</v>
      </c>
      <c r="L4146" t="n">
        <v>0</v>
      </c>
      <c r="M4146" t="n">
        <v>0</v>
      </c>
      <c r="N4146" t="n">
        <v>0</v>
      </c>
      <c r="O4146" t="n">
        <v>0</v>
      </c>
      <c r="P4146" t="n">
        <v>0</v>
      </c>
      <c r="Q4146" t="n">
        <v>0</v>
      </c>
      <c r="R4146" s="2" t="inlineStr"/>
    </row>
    <row r="4147" ht="15" customHeight="1">
      <c r="A4147" t="inlineStr">
        <is>
          <t>A 59062-2024</t>
        </is>
      </c>
      <c r="B4147" s="1" t="n">
        <v>45636.85886574074</v>
      </c>
      <c r="C4147" s="1" t="n">
        <v>46093</v>
      </c>
      <c r="D4147" t="inlineStr">
        <is>
          <t>ÖSTERGÖTLANDS LÄN</t>
        </is>
      </c>
      <c r="E4147" t="inlineStr">
        <is>
          <t>FINSPÅNG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12814-2025</t>
        </is>
      </c>
      <c r="B4148" s="1" t="n">
        <v>45733.62203703704</v>
      </c>
      <c r="C4148" s="1" t="n">
        <v>46093</v>
      </c>
      <c r="D4148" t="inlineStr">
        <is>
          <t>ÖSTERGÖTLANDS LÄN</t>
        </is>
      </c>
      <c r="E4148" t="inlineStr">
        <is>
          <t>NORRKÖPING</t>
        </is>
      </c>
      <c r="F4148" t="inlineStr">
        <is>
          <t>Holmen skog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61012-2023</t>
        </is>
      </c>
      <c r="B4149" s="1" t="n">
        <v>45259</v>
      </c>
      <c r="C4149" s="1" t="n">
        <v>46093</v>
      </c>
      <c r="D4149" t="inlineStr">
        <is>
          <t>ÖSTERGÖTLANDS LÄN</t>
        </is>
      </c>
      <c r="E4149" t="inlineStr">
        <is>
          <t>MJÖLBY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13529-2025</t>
        </is>
      </c>
      <c r="B4150" s="1" t="n">
        <v>45736.50564814815</v>
      </c>
      <c r="C4150" s="1" t="n">
        <v>46093</v>
      </c>
      <c r="D4150" t="inlineStr">
        <is>
          <t>ÖSTERGÖTLANDS LÄN</t>
        </is>
      </c>
      <c r="E4150" t="inlineStr">
        <is>
          <t>YDRE</t>
        </is>
      </c>
      <c r="F4150" t="inlineStr">
        <is>
          <t>Övriga Aktiebolag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15386-2025</t>
        </is>
      </c>
      <c r="B4151" s="1" t="n">
        <v>45747.42486111111</v>
      </c>
      <c r="C4151" s="1" t="n">
        <v>46093</v>
      </c>
      <c r="D4151" t="inlineStr">
        <is>
          <t>ÖSTERGÖTLANDS LÄN</t>
        </is>
      </c>
      <c r="E4151" t="inlineStr">
        <is>
          <t>BOXHOLM</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15402-2025</t>
        </is>
      </c>
      <c r="B4152" s="1" t="n">
        <v>45747.44502314815</v>
      </c>
      <c r="C4152" s="1" t="n">
        <v>46093</v>
      </c>
      <c r="D4152" t="inlineStr">
        <is>
          <t>ÖSTERGÖTLANDS LÄN</t>
        </is>
      </c>
      <c r="E4152" t="inlineStr">
        <is>
          <t>NORRKÖPING</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13084-2023</t>
        </is>
      </c>
      <c r="B4153" s="1" t="n">
        <v>45002</v>
      </c>
      <c r="C4153" s="1" t="n">
        <v>46093</v>
      </c>
      <c r="D4153" t="inlineStr">
        <is>
          <t>ÖSTERGÖTLANDS LÄN</t>
        </is>
      </c>
      <c r="E4153" t="inlineStr">
        <is>
          <t>FINSPÅNG</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15783-2022</t>
        </is>
      </c>
      <c r="B4154" s="1" t="n">
        <v>44663.6975</v>
      </c>
      <c r="C4154" s="1" t="n">
        <v>46093</v>
      </c>
      <c r="D4154" t="inlineStr">
        <is>
          <t>ÖSTERGÖTLANDS LÄN</t>
        </is>
      </c>
      <c r="E4154" t="inlineStr">
        <is>
          <t>MJÖLBY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53389-2025</t>
        </is>
      </c>
      <c r="B4155" s="1" t="n">
        <v>45959.54793981482</v>
      </c>
      <c r="C4155" s="1" t="n">
        <v>46093</v>
      </c>
      <c r="D4155" t="inlineStr">
        <is>
          <t>ÖSTERGÖTLANDS LÄN</t>
        </is>
      </c>
      <c r="E4155" t="inlineStr">
        <is>
          <t>YDRE</t>
        </is>
      </c>
      <c r="F4155" t="inlineStr">
        <is>
          <t>Övriga Aktiebolag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10250-2023</t>
        </is>
      </c>
      <c r="B4156" s="1" t="n">
        <v>44980</v>
      </c>
      <c r="C4156" s="1" t="n">
        <v>46093</v>
      </c>
      <c r="D4156" t="inlineStr">
        <is>
          <t>ÖSTERGÖTLANDS LÄN</t>
        </is>
      </c>
      <c r="E4156" t="inlineStr">
        <is>
          <t>BOXHOLM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47051-2023</t>
        </is>
      </c>
      <c r="B4157" s="1" t="n">
        <v>45201.56556712963</v>
      </c>
      <c r="C4157" s="1" t="n">
        <v>46093</v>
      </c>
      <c r="D4157" t="inlineStr">
        <is>
          <t>ÖSTERGÖTLANDS LÄN</t>
        </is>
      </c>
      <c r="E4157" t="inlineStr">
        <is>
          <t>NORRKÖPING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34521-2024</t>
        </is>
      </c>
      <c r="B4158" s="1" t="n">
        <v>45525.68068287037</v>
      </c>
      <c r="C4158" s="1" t="n">
        <v>46093</v>
      </c>
      <c r="D4158" t="inlineStr">
        <is>
          <t>ÖSTERGÖTLANDS LÄN</t>
        </is>
      </c>
      <c r="E4158" t="inlineStr">
        <is>
          <t>MJÖLBY</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16696-2023</t>
        </is>
      </c>
      <c r="B4159" s="1" t="n">
        <v>45030.61489583334</v>
      </c>
      <c r="C4159" s="1" t="n">
        <v>46093</v>
      </c>
      <c r="D4159" t="inlineStr">
        <is>
          <t>ÖSTERGÖTLANDS LÄN</t>
        </is>
      </c>
      <c r="E4159" t="inlineStr">
        <is>
          <t>NORRKÖPING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16698-2023</t>
        </is>
      </c>
      <c r="B4160" s="1" t="n">
        <v>45030.61744212963</v>
      </c>
      <c r="C4160" s="1" t="n">
        <v>46093</v>
      </c>
      <c r="D4160" t="inlineStr">
        <is>
          <t>ÖSTERGÖTLANDS LÄN</t>
        </is>
      </c>
      <c r="E4160" t="inlineStr">
        <is>
          <t>NORRKÖPING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35346-2024</t>
        </is>
      </c>
      <c r="B4161" s="1" t="n">
        <v>45530.94261574074</v>
      </c>
      <c r="C4161" s="1" t="n">
        <v>46093</v>
      </c>
      <c r="D4161" t="inlineStr">
        <is>
          <t>ÖSTERGÖTLANDS LÄN</t>
        </is>
      </c>
      <c r="E4161" t="inlineStr">
        <is>
          <t>FINSPÅNG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4471-2025</t>
        </is>
      </c>
      <c r="B4162" s="1" t="n">
        <v>45686.61590277778</v>
      </c>
      <c r="C4162" s="1" t="n">
        <v>46093</v>
      </c>
      <c r="D4162" t="inlineStr">
        <is>
          <t>ÖSTERGÖTLANDS LÄN</t>
        </is>
      </c>
      <c r="E4162" t="inlineStr">
        <is>
          <t>NORRKÖPING</t>
        </is>
      </c>
      <c r="F4162" t="inlineStr">
        <is>
          <t>Allmännings- och besparingsskogar</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38131-2025</t>
        </is>
      </c>
      <c r="B4163" s="1" t="n">
        <v>45882.56136574074</v>
      </c>
      <c r="C4163" s="1" t="n">
        <v>46093</v>
      </c>
      <c r="D4163" t="inlineStr">
        <is>
          <t>ÖSTERGÖTLANDS LÄN</t>
        </is>
      </c>
      <c r="E4163" t="inlineStr">
        <is>
          <t>KINDA</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37477-2025</t>
        </is>
      </c>
      <c r="B4164" s="1" t="n">
        <v>45877</v>
      </c>
      <c r="C4164" s="1" t="n">
        <v>46093</v>
      </c>
      <c r="D4164" t="inlineStr">
        <is>
          <t>ÖSTERGÖTLANDS LÄN</t>
        </is>
      </c>
      <c r="E4164" t="inlineStr">
        <is>
          <t>BOXHOLM</t>
        </is>
      </c>
      <c r="F4164" t="inlineStr">
        <is>
          <t>Övriga Aktiebolag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53881-2025</t>
        </is>
      </c>
      <c r="B4165" s="1" t="n">
        <v>45961.39773148148</v>
      </c>
      <c r="C4165" s="1" t="n">
        <v>46093</v>
      </c>
      <c r="D4165" t="inlineStr">
        <is>
          <t>ÖSTERGÖTLANDS LÄN</t>
        </is>
      </c>
      <c r="E4165" t="inlineStr">
        <is>
          <t>NORRKÖPING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37876-2025</t>
        </is>
      </c>
      <c r="B4166" s="1" t="n">
        <v>45881</v>
      </c>
      <c r="C4166" s="1" t="n">
        <v>46093</v>
      </c>
      <c r="D4166" t="inlineStr">
        <is>
          <t>ÖSTERGÖTLANDS LÄN</t>
        </is>
      </c>
      <c r="E4166" t="inlineStr">
        <is>
          <t>NORRKÖPING</t>
        </is>
      </c>
      <c r="F4166" t="inlineStr">
        <is>
          <t>Holmen skog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45370-2022</t>
        </is>
      </c>
      <c r="B4167" s="1" t="n">
        <v>44844.6397337963</v>
      </c>
      <c r="C4167" s="1" t="n">
        <v>46093</v>
      </c>
      <c r="D4167" t="inlineStr">
        <is>
          <t>ÖSTERGÖTLANDS LÄN</t>
        </is>
      </c>
      <c r="E4167" t="inlineStr">
        <is>
          <t>VADSTENA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1028-2025</t>
        </is>
      </c>
      <c r="B4168" s="1" t="n">
        <v>45666.50974537037</v>
      </c>
      <c r="C4168" s="1" t="n">
        <v>46093</v>
      </c>
      <c r="D4168" t="inlineStr">
        <is>
          <t>ÖSTERGÖTLANDS LÄN</t>
        </is>
      </c>
      <c r="E4168" t="inlineStr">
        <is>
          <t>YDRE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69425-2021</t>
        </is>
      </c>
      <c r="B4169" s="1" t="n">
        <v>44531</v>
      </c>
      <c r="C4169" s="1" t="n">
        <v>46093</v>
      </c>
      <c r="D4169" t="inlineStr">
        <is>
          <t>ÖSTERGÖTLANDS LÄN</t>
        </is>
      </c>
      <c r="E4169" t="inlineStr">
        <is>
          <t>SÖDERKÖPING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11280-2025</t>
        </is>
      </c>
      <c r="B4170" s="1" t="n">
        <v>45726.41981481481</v>
      </c>
      <c r="C4170" s="1" t="n">
        <v>46093</v>
      </c>
      <c r="D4170" t="inlineStr">
        <is>
          <t>ÖSTERGÖTLANDS LÄN</t>
        </is>
      </c>
      <c r="E4170" t="inlineStr">
        <is>
          <t>ÖDESHÖG</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47477-2022</t>
        </is>
      </c>
      <c r="B4171" s="1" t="n">
        <v>44853.64244212963</v>
      </c>
      <c r="C4171" s="1" t="n">
        <v>46093</v>
      </c>
      <c r="D4171" t="inlineStr">
        <is>
          <t>ÖSTERGÖTLANDS LÄN</t>
        </is>
      </c>
      <c r="E4171" t="inlineStr">
        <is>
          <t>NORRKÖPING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7645-2024</t>
        </is>
      </c>
      <c r="B4172" s="1" t="n">
        <v>45348.65997685185</v>
      </c>
      <c r="C4172" s="1" t="n">
        <v>46093</v>
      </c>
      <c r="D4172" t="inlineStr">
        <is>
          <t>ÖSTERGÖTLANDS LÄN</t>
        </is>
      </c>
      <c r="E4172" t="inlineStr">
        <is>
          <t>KINDA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38128-2025</t>
        </is>
      </c>
      <c r="B4173" s="1" t="n">
        <v>45882.55935185185</v>
      </c>
      <c r="C4173" s="1" t="n">
        <v>46093</v>
      </c>
      <c r="D4173" t="inlineStr">
        <is>
          <t>ÖSTERGÖTLANDS LÄN</t>
        </is>
      </c>
      <c r="E4173" t="inlineStr">
        <is>
          <t>KINDA</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37806-2025</t>
        </is>
      </c>
      <c r="B4174" s="1" t="n">
        <v>45881</v>
      </c>
      <c r="C4174" s="1" t="n">
        <v>46093</v>
      </c>
      <c r="D4174" t="inlineStr">
        <is>
          <t>ÖSTERGÖTLANDS LÄN</t>
        </is>
      </c>
      <c r="E4174" t="inlineStr">
        <is>
          <t>MJÖLBY</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8889-2025</t>
        </is>
      </c>
      <c r="B4175" s="1" t="n">
        <v>45713.39555555556</v>
      </c>
      <c r="C4175" s="1" t="n">
        <v>46093</v>
      </c>
      <c r="D4175" t="inlineStr">
        <is>
          <t>ÖSTERGÖTLANDS LÄN</t>
        </is>
      </c>
      <c r="E4175" t="inlineStr">
        <is>
          <t>KINDA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21511-2023</t>
        </is>
      </c>
      <c r="B4176" s="1" t="n">
        <v>45063</v>
      </c>
      <c r="C4176" s="1" t="n">
        <v>46093</v>
      </c>
      <c r="D4176" t="inlineStr">
        <is>
          <t>ÖSTERGÖTLANDS LÄN</t>
        </is>
      </c>
      <c r="E4176" t="inlineStr">
        <is>
          <t>ÅTVIDABERG</t>
        </is>
      </c>
      <c r="F4176" t="inlineStr">
        <is>
          <t>Kyrkan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8924-2025</t>
        </is>
      </c>
      <c r="B4177" s="1" t="n">
        <v>45713.4383912037</v>
      </c>
      <c r="C4177" s="1" t="n">
        <v>46093</v>
      </c>
      <c r="D4177" t="inlineStr">
        <is>
          <t>ÖSTERGÖTLANDS LÄN</t>
        </is>
      </c>
      <c r="E4177" t="inlineStr">
        <is>
          <t>FINSPÅNG</t>
        </is>
      </c>
      <c r="F4177" t="inlineStr">
        <is>
          <t>Holmen skog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17797-2021</t>
        </is>
      </c>
      <c r="B4178" s="1" t="n">
        <v>44300</v>
      </c>
      <c r="C4178" s="1" t="n">
        <v>46093</v>
      </c>
      <c r="D4178" t="inlineStr">
        <is>
          <t>ÖSTERGÖTLANDS LÄN</t>
        </is>
      </c>
      <c r="E4178" t="inlineStr">
        <is>
          <t>MJÖLBY</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53545-2025</t>
        </is>
      </c>
      <c r="B4179" s="1" t="n">
        <v>45960</v>
      </c>
      <c r="C4179" s="1" t="n">
        <v>46093</v>
      </c>
      <c r="D4179" t="inlineStr">
        <is>
          <t>ÖSTERGÖTLANDS LÄN</t>
        </is>
      </c>
      <c r="E4179" t="inlineStr">
        <is>
          <t>FINSPÅNG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57500-2024</t>
        </is>
      </c>
      <c r="B4180" s="1" t="n">
        <v>45629</v>
      </c>
      <c r="C4180" s="1" t="n">
        <v>46093</v>
      </c>
      <c r="D4180" t="inlineStr">
        <is>
          <t>ÖSTERGÖTLANDS LÄN</t>
        </is>
      </c>
      <c r="E4180" t="inlineStr">
        <is>
          <t>KINDA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37551-2025</t>
        </is>
      </c>
      <c r="B4181" s="1" t="n">
        <v>45880</v>
      </c>
      <c r="C4181" s="1" t="n">
        <v>46093</v>
      </c>
      <c r="D4181" t="inlineStr">
        <is>
          <t>ÖSTERGÖTLANDS LÄN</t>
        </is>
      </c>
      <c r="E4181" t="inlineStr">
        <is>
          <t>BOXHOLM</t>
        </is>
      </c>
      <c r="F4181" t="inlineStr">
        <is>
          <t>Övriga Aktiebolag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39219-2021</t>
        </is>
      </c>
      <c r="B4182" s="1" t="n">
        <v>44413</v>
      </c>
      <c r="C4182" s="1" t="n">
        <v>46093</v>
      </c>
      <c r="D4182" t="inlineStr">
        <is>
          <t>ÖSTERGÖTLANDS LÄN</t>
        </is>
      </c>
      <c r="E4182" t="inlineStr">
        <is>
          <t>LINKÖPING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39224-2021</t>
        </is>
      </c>
      <c r="B4183" s="1" t="n">
        <v>44413</v>
      </c>
      <c r="C4183" s="1" t="n">
        <v>46093</v>
      </c>
      <c r="D4183" t="inlineStr">
        <is>
          <t>ÖSTERGÖTLANDS LÄN</t>
        </is>
      </c>
      <c r="E4183" t="inlineStr">
        <is>
          <t>LINKÖPING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44203-2021</t>
        </is>
      </c>
      <c r="B4184" s="1" t="n">
        <v>44434</v>
      </c>
      <c r="C4184" s="1" t="n">
        <v>46093</v>
      </c>
      <c r="D4184" t="inlineStr">
        <is>
          <t>ÖSTERGÖTLANDS LÄN</t>
        </is>
      </c>
      <c r="E4184" t="inlineStr">
        <is>
          <t>KINDA</t>
        </is>
      </c>
      <c r="F4184" t="inlineStr">
        <is>
          <t>Allmännings- och besparingsskogar</t>
        </is>
      </c>
      <c r="G4184" t="n">
        <v>12.7</v>
      </c>
      <c r="H4184" t="n">
        <v>0</v>
      </c>
      <c r="I4184" t="n">
        <v>0</v>
      </c>
      <c r="J4184" t="n">
        <v>0</v>
      </c>
      <c r="K4184" t="n">
        <v>0</v>
      </c>
      <c r="L4184" t="n">
        <v>0</v>
      </c>
      <c r="M4184" t="n">
        <v>0</v>
      </c>
      <c r="N4184" t="n">
        <v>0</v>
      </c>
      <c r="O4184" t="n">
        <v>0</v>
      </c>
      <c r="P4184" t="n">
        <v>0</v>
      </c>
      <c r="Q4184" t="n">
        <v>0</v>
      </c>
      <c r="R4184" s="2" t="inlineStr"/>
    </row>
    <row r="4185" ht="15" customHeight="1">
      <c r="A4185" t="inlineStr">
        <is>
          <t>A 35443-2022</t>
        </is>
      </c>
      <c r="B4185" s="1" t="n">
        <v>44798</v>
      </c>
      <c r="C4185" s="1" t="n">
        <v>46093</v>
      </c>
      <c r="D4185" t="inlineStr">
        <is>
          <t>ÖSTERGÖTLANDS LÄN</t>
        </is>
      </c>
      <c r="E4185" t="inlineStr">
        <is>
          <t>ÖDESHÖG</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54221-2025</t>
        </is>
      </c>
      <c r="B4186" s="1" t="n">
        <v>45964.60148148148</v>
      </c>
      <c r="C4186" s="1" t="n">
        <v>46093</v>
      </c>
      <c r="D4186" t="inlineStr">
        <is>
          <t>ÖSTERGÖTLANDS LÄN</t>
        </is>
      </c>
      <c r="E4186" t="inlineStr">
        <is>
          <t>NORRKÖPING</t>
        </is>
      </c>
      <c r="F4186" t="inlineStr">
        <is>
          <t>Holmen skog AB</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11222-2022</t>
        </is>
      </c>
      <c r="B4187" s="1" t="n">
        <v>44629</v>
      </c>
      <c r="C4187" s="1" t="n">
        <v>46093</v>
      </c>
      <c r="D4187" t="inlineStr">
        <is>
          <t>ÖSTERGÖTLANDS LÄN</t>
        </is>
      </c>
      <c r="E4187" t="inlineStr">
        <is>
          <t>ÅTVIDABERG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11479-2025</t>
        </is>
      </c>
      <c r="B4188" s="1" t="n">
        <v>45726.6749537037</v>
      </c>
      <c r="C4188" s="1" t="n">
        <v>46093</v>
      </c>
      <c r="D4188" t="inlineStr">
        <is>
          <t>ÖSTERGÖTLANDS LÄN</t>
        </is>
      </c>
      <c r="E4188" t="inlineStr">
        <is>
          <t>KINDA</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54264-2025</t>
        </is>
      </c>
      <c r="B4189" s="1" t="n">
        <v>45964.66417824074</v>
      </c>
      <c r="C4189" s="1" t="n">
        <v>46093</v>
      </c>
      <c r="D4189" t="inlineStr">
        <is>
          <t>ÖSTERGÖTLANDS LÄN</t>
        </is>
      </c>
      <c r="E4189" t="inlineStr">
        <is>
          <t>MOTALA</t>
        </is>
      </c>
      <c r="F4189" t="inlineStr">
        <is>
          <t>Sveaskog</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43905-2021</t>
        </is>
      </c>
      <c r="B4190" s="1" t="n">
        <v>44434</v>
      </c>
      <c r="C4190" s="1" t="n">
        <v>46093</v>
      </c>
      <c r="D4190" t="inlineStr">
        <is>
          <t>ÖSTERGÖTLANDS LÄN</t>
        </is>
      </c>
      <c r="E4190" t="inlineStr">
        <is>
          <t>MOTALA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7445-2022</t>
        </is>
      </c>
      <c r="B4191" s="1" t="n">
        <v>44607.28710648148</v>
      </c>
      <c r="C4191" s="1" t="n">
        <v>46093</v>
      </c>
      <c r="D4191" t="inlineStr">
        <is>
          <t>ÖSTERGÖTLANDS LÄN</t>
        </is>
      </c>
      <c r="E4191" t="inlineStr">
        <is>
          <t>FINSPÅNG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54166-2025</t>
        </is>
      </c>
      <c r="B4192" s="1" t="n">
        <v>45964.51869212963</v>
      </c>
      <c r="C4192" s="1" t="n">
        <v>46093</v>
      </c>
      <c r="D4192" t="inlineStr">
        <is>
          <t>ÖSTERGÖTLANDS LÄN</t>
        </is>
      </c>
      <c r="E4192" t="inlineStr">
        <is>
          <t>MOTALA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54261-2025</t>
        </is>
      </c>
      <c r="B4193" s="1" t="n">
        <v>45964.66202546296</v>
      </c>
      <c r="C4193" s="1" t="n">
        <v>46093</v>
      </c>
      <c r="D4193" t="inlineStr">
        <is>
          <t>ÖSTERGÖTLANDS LÄN</t>
        </is>
      </c>
      <c r="E4193" t="inlineStr">
        <is>
          <t>MOTALA</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61307-2021</t>
        </is>
      </c>
      <c r="B4194" s="1" t="n">
        <v>44498.63928240741</v>
      </c>
      <c r="C4194" s="1" t="n">
        <v>46093</v>
      </c>
      <c r="D4194" t="inlineStr">
        <is>
          <t>ÖSTERGÖTLANDS LÄN</t>
        </is>
      </c>
      <c r="E4194" t="inlineStr">
        <is>
          <t>LINKÖPING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61325-2021</t>
        </is>
      </c>
      <c r="B4195" s="1" t="n">
        <v>44498.66814814815</v>
      </c>
      <c r="C4195" s="1" t="n">
        <v>46093</v>
      </c>
      <c r="D4195" t="inlineStr">
        <is>
          <t>ÖSTERGÖTLANDS LÄN</t>
        </is>
      </c>
      <c r="E4195" t="inlineStr">
        <is>
          <t>LINKÖPING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38142-2025</t>
        </is>
      </c>
      <c r="B4196" s="1" t="n">
        <v>45882.58010416666</v>
      </c>
      <c r="C4196" s="1" t="n">
        <v>46093</v>
      </c>
      <c r="D4196" t="inlineStr">
        <is>
          <t>ÖSTERGÖTLANDS LÄN</t>
        </is>
      </c>
      <c r="E4196" t="inlineStr">
        <is>
          <t>KINDA</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22853-2023</t>
        </is>
      </c>
      <c r="B4197" s="1" t="n">
        <v>45072.47035879629</v>
      </c>
      <c r="C4197" s="1" t="n">
        <v>46093</v>
      </c>
      <c r="D4197" t="inlineStr">
        <is>
          <t>ÖSTERGÖTLANDS LÄN</t>
        </is>
      </c>
      <c r="E4197" t="inlineStr">
        <is>
          <t>BOXHOLM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37936-2025</t>
        </is>
      </c>
      <c r="B4198" s="1" t="n">
        <v>45881.59574074074</v>
      </c>
      <c r="C4198" s="1" t="n">
        <v>46093</v>
      </c>
      <c r="D4198" t="inlineStr">
        <is>
          <t>ÖSTERGÖTLANDS LÄN</t>
        </is>
      </c>
      <c r="E4198" t="inlineStr">
        <is>
          <t>FINSPÅNG</t>
        </is>
      </c>
      <c r="F4198" t="inlineStr">
        <is>
          <t>Naturvårdsverket</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53874-2025</t>
        </is>
      </c>
      <c r="B4199" s="1" t="n">
        <v>45961.39364583333</v>
      </c>
      <c r="C4199" s="1" t="n">
        <v>46093</v>
      </c>
      <c r="D4199" t="inlineStr">
        <is>
          <t>ÖSTERGÖTLANDS LÄN</t>
        </is>
      </c>
      <c r="E4199" t="inlineStr">
        <is>
          <t>SÖDERKÖPING</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60010-2022</t>
        </is>
      </c>
      <c r="B4200" s="1" t="n">
        <v>44909.4740625</v>
      </c>
      <c r="C4200" s="1" t="n">
        <v>46093</v>
      </c>
      <c r="D4200" t="inlineStr">
        <is>
          <t>ÖSTERGÖTLANDS LÄN</t>
        </is>
      </c>
      <c r="E4200" t="inlineStr">
        <is>
          <t>LINKÖPING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27503-2022</t>
        </is>
      </c>
      <c r="B4201" s="1" t="n">
        <v>44742</v>
      </c>
      <c r="C4201" s="1" t="n">
        <v>46093</v>
      </c>
      <c r="D4201" t="inlineStr">
        <is>
          <t>ÖSTERGÖTLANDS LÄN</t>
        </is>
      </c>
      <c r="E4201" t="inlineStr">
        <is>
          <t>NORRKÖPING</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35187-2021</t>
        </is>
      </c>
      <c r="B4202" s="1" t="n">
        <v>44384</v>
      </c>
      <c r="C4202" s="1" t="n">
        <v>46093</v>
      </c>
      <c r="D4202" t="inlineStr">
        <is>
          <t>ÖSTERGÖTLANDS LÄN</t>
        </is>
      </c>
      <c r="E4202" t="inlineStr">
        <is>
          <t>BOXHOLM</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50960-2022</t>
        </is>
      </c>
      <c r="B4203" s="1" t="n">
        <v>44867</v>
      </c>
      <c r="C4203" s="1" t="n">
        <v>46093</v>
      </c>
      <c r="D4203" t="inlineStr">
        <is>
          <t>ÖSTERGÖTLANDS LÄN</t>
        </is>
      </c>
      <c r="E4203" t="inlineStr">
        <is>
          <t>NORRKÖPING</t>
        </is>
      </c>
      <c r="F4203" t="inlineStr">
        <is>
          <t>Allmännings- och besparingsskogar</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12511-2023</t>
        </is>
      </c>
      <c r="B4204" s="1" t="n">
        <v>44999</v>
      </c>
      <c r="C4204" s="1" t="n">
        <v>46093</v>
      </c>
      <c r="D4204" t="inlineStr">
        <is>
          <t>ÖSTERGÖTLANDS LÄN</t>
        </is>
      </c>
      <c r="E4204" t="inlineStr">
        <is>
          <t>NORRKÖPING</t>
        </is>
      </c>
      <c r="F4204" t="inlineStr">
        <is>
          <t>Allmännings- och besparingsskogar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58262-2022</t>
        </is>
      </c>
      <c r="B4205" s="1" t="n">
        <v>44894</v>
      </c>
      <c r="C4205" s="1" t="n">
        <v>46093</v>
      </c>
      <c r="D4205" t="inlineStr">
        <is>
          <t>ÖSTERGÖTLANDS LÄN</t>
        </is>
      </c>
      <c r="E4205" t="inlineStr">
        <is>
          <t>VALDEMARSVIK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15097-2025</t>
        </is>
      </c>
      <c r="B4206" s="1" t="n">
        <v>45744.33431712963</v>
      </c>
      <c r="C4206" s="1" t="n">
        <v>46093</v>
      </c>
      <c r="D4206" t="inlineStr">
        <is>
          <t>ÖSTERGÖTLANDS LÄN</t>
        </is>
      </c>
      <c r="E4206" t="inlineStr">
        <is>
          <t>FINSPÅNG</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44770-2025</t>
        </is>
      </c>
      <c r="B4207" s="1" t="n">
        <v>45917.74980324074</v>
      </c>
      <c r="C4207" s="1" t="n">
        <v>46093</v>
      </c>
      <c r="D4207" t="inlineStr">
        <is>
          <t>ÖSTERGÖTLANDS LÄN</t>
        </is>
      </c>
      <c r="E4207" t="inlineStr">
        <is>
          <t>MJÖLBY</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31430-2023</t>
        </is>
      </c>
      <c r="B4208" s="1" t="n">
        <v>45114</v>
      </c>
      <c r="C4208" s="1" t="n">
        <v>46093</v>
      </c>
      <c r="D4208" t="inlineStr">
        <is>
          <t>ÖSTERGÖTLANDS LÄN</t>
        </is>
      </c>
      <c r="E4208" t="inlineStr">
        <is>
          <t>MOTALA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31458-2023</t>
        </is>
      </c>
      <c r="B4209" s="1" t="n">
        <v>45114</v>
      </c>
      <c r="C4209" s="1" t="n">
        <v>46093</v>
      </c>
      <c r="D4209" t="inlineStr">
        <is>
          <t>ÖSTERGÖTLANDS LÄN</t>
        </is>
      </c>
      <c r="E4209" t="inlineStr">
        <is>
          <t>ÅTVIDABERG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12455-2021</t>
        </is>
      </c>
      <c r="B4210" s="1" t="n">
        <v>44267</v>
      </c>
      <c r="C4210" s="1" t="n">
        <v>46093</v>
      </c>
      <c r="D4210" t="inlineStr">
        <is>
          <t>ÖSTERGÖTLANDS LÄN</t>
        </is>
      </c>
      <c r="E4210" t="inlineStr">
        <is>
          <t>FINSPÅNG</t>
        </is>
      </c>
      <c r="F4210" t="inlineStr">
        <is>
          <t>Övriga Aktiebolag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12460-2021</t>
        </is>
      </c>
      <c r="B4211" s="1" t="n">
        <v>44267</v>
      </c>
      <c r="C4211" s="1" t="n">
        <v>46093</v>
      </c>
      <c r="D4211" t="inlineStr">
        <is>
          <t>ÖSTERGÖTLANDS LÄN</t>
        </is>
      </c>
      <c r="E4211" t="inlineStr">
        <is>
          <t>YDRE</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54066-2025</t>
        </is>
      </c>
      <c r="B4212" s="1" t="n">
        <v>45964.3387962963</v>
      </c>
      <c r="C4212" s="1" t="n">
        <v>46093</v>
      </c>
      <c r="D4212" t="inlineStr">
        <is>
          <t>ÖSTERGÖTLANDS LÄN</t>
        </is>
      </c>
      <c r="E4212" t="inlineStr">
        <is>
          <t>YDRE</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54075-2025</t>
        </is>
      </c>
      <c r="B4213" s="1" t="n">
        <v>45964.35825231481</v>
      </c>
      <c r="C4213" s="1" t="n">
        <v>46093</v>
      </c>
      <c r="D4213" t="inlineStr">
        <is>
          <t>ÖSTERGÖTLANDS LÄN</t>
        </is>
      </c>
      <c r="E4213" t="inlineStr">
        <is>
          <t>YDRE</t>
        </is>
      </c>
      <c r="F4213" t="inlineStr">
        <is>
          <t>Sveaskog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12464-2021</t>
        </is>
      </c>
      <c r="B4214" s="1" t="n">
        <v>44267</v>
      </c>
      <c r="C4214" s="1" t="n">
        <v>46093</v>
      </c>
      <c r="D4214" t="inlineStr">
        <is>
          <t>ÖSTERGÖTLANDS LÄN</t>
        </is>
      </c>
      <c r="E4214" t="inlineStr">
        <is>
          <t>FINSPÅNG</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59805-2022</t>
        </is>
      </c>
      <c r="B4215" s="1" t="n">
        <v>44908.57074074074</v>
      </c>
      <c r="C4215" s="1" t="n">
        <v>46093</v>
      </c>
      <c r="D4215" t="inlineStr">
        <is>
          <t>ÖSTERGÖTLANDS LÄN</t>
        </is>
      </c>
      <c r="E4215" t="inlineStr">
        <is>
          <t>YDRE</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44769-2025</t>
        </is>
      </c>
      <c r="B4216" s="1" t="n">
        <v>45917.74508101852</v>
      </c>
      <c r="C4216" s="1" t="n">
        <v>46093</v>
      </c>
      <c r="D4216" t="inlineStr">
        <is>
          <t>ÖSTERGÖTLANDS LÄN</t>
        </is>
      </c>
      <c r="E4216" t="inlineStr">
        <is>
          <t>MJÖLBY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26696-2021</t>
        </is>
      </c>
      <c r="B4217" s="1" t="n">
        <v>44348</v>
      </c>
      <c r="C4217" s="1" t="n">
        <v>46093</v>
      </c>
      <c r="D4217" t="inlineStr">
        <is>
          <t>ÖSTERGÖTLANDS LÄN</t>
        </is>
      </c>
      <c r="E4217" t="inlineStr">
        <is>
          <t>MJÖLBY</t>
        </is>
      </c>
      <c r="G4217" t="n">
        <v>15.5</v>
      </c>
      <c r="H4217" t="n">
        <v>0</v>
      </c>
      <c r="I4217" t="n">
        <v>0</v>
      </c>
      <c r="J4217" t="n">
        <v>0</v>
      </c>
      <c r="K4217" t="n">
        <v>0</v>
      </c>
      <c r="L4217" t="n">
        <v>0</v>
      </c>
      <c r="M4217" t="n">
        <v>0</v>
      </c>
      <c r="N4217" t="n">
        <v>0</v>
      </c>
      <c r="O4217" t="n">
        <v>0</v>
      </c>
      <c r="P4217" t="n">
        <v>0</v>
      </c>
      <c r="Q4217" t="n">
        <v>0</v>
      </c>
      <c r="R4217" s="2" t="inlineStr"/>
    </row>
    <row r="4218" ht="15" customHeight="1">
      <c r="A4218" t="inlineStr">
        <is>
          <t>A 4280-2023</t>
        </is>
      </c>
      <c r="B4218" s="1" t="n">
        <v>44953</v>
      </c>
      <c r="C4218" s="1" t="n">
        <v>46093</v>
      </c>
      <c r="D4218" t="inlineStr">
        <is>
          <t>ÖSTERGÖTLANDS LÄN</t>
        </is>
      </c>
      <c r="E4218" t="inlineStr">
        <is>
          <t>FINSPÅNG</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4288-2023</t>
        </is>
      </c>
      <c r="B4219" s="1" t="n">
        <v>44953</v>
      </c>
      <c r="C4219" s="1" t="n">
        <v>46093</v>
      </c>
      <c r="D4219" t="inlineStr">
        <is>
          <t>ÖSTERGÖTLANDS LÄN</t>
        </is>
      </c>
      <c r="E4219" t="inlineStr">
        <is>
          <t>KINDA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54115-2025</t>
        </is>
      </c>
      <c r="B4220" s="1" t="n">
        <v>45964.44224537037</v>
      </c>
      <c r="C4220" s="1" t="n">
        <v>46093</v>
      </c>
      <c r="D4220" t="inlineStr">
        <is>
          <t>ÖSTERGÖTLANDS LÄN</t>
        </is>
      </c>
      <c r="E4220" t="inlineStr">
        <is>
          <t>FINSPÅNG</t>
        </is>
      </c>
      <c r="F4220" t="inlineStr">
        <is>
          <t>Naturvårdsverket</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60160-2021</t>
        </is>
      </c>
      <c r="B4221" s="1" t="n">
        <v>44495</v>
      </c>
      <c r="C4221" s="1" t="n">
        <v>46093</v>
      </c>
      <c r="D4221" t="inlineStr">
        <is>
          <t>ÖSTERGÖTLANDS LÄN</t>
        </is>
      </c>
      <c r="E4221" t="inlineStr">
        <is>
          <t>SÖDERKÖPING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43432-2023</t>
        </is>
      </c>
      <c r="B4222" s="1" t="n">
        <v>45184.40974537037</v>
      </c>
      <c r="C4222" s="1" t="n">
        <v>46093</v>
      </c>
      <c r="D4222" t="inlineStr">
        <is>
          <t>ÖSTERGÖTLANDS LÄN</t>
        </is>
      </c>
      <c r="E4222" t="inlineStr">
        <is>
          <t>KINDA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54059-2025</t>
        </is>
      </c>
      <c r="B4223" s="1" t="n">
        <v>45964.33012731482</v>
      </c>
      <c r="C4223" s="1" t="n">
        <v>46093</v>
      </c>
      <c r="D4223" t="inlineStr">
        <is>
          <t>ÖSTERGÖTLANDS LÄN</t>
        </is>
      </c>
      <c r="E4223" t="inlineStr">
        <is>
          <t>YDRE</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54063-2025</t>
        </is>
      </c>
      <c r="B4224" s="1" t="n">
        <v>45964.33347222222</v>
      </c>
      <c r="C4224" s="1" t="n">
        <v>46093</v>
      </c>
      <c r="D4224" t="inlineStr">
        <is>
          <t>ÖSTERGÖTLANDS LÄN</t>
        </is>
      </c>
      <c r="E4224" t="inlineStr">
        <is>
          <t>YDRE</t>
        </is>
      </c>
      <c r="F4224" t="inlineStr">
        <is>
          <t>Sveaskog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1011-2025</t>
        </is>
      </c>
      <c r="B4225" s="1" t="n">
        <v>45666.48438657408</v>
      </c>
      <c r="C4225" s="1" t="n">
        <v>46093</v>
      </c>
      <c r="D4225" t="inlineStr">
        <is>
          <t>ÖSTERGÖTLANDS LÄN</t>
        </is>
      </c>
      <c r="E4225" t="inlineStr">
        <is>
          <t>MJÖLBY</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1013-2025</t>
        </is>
      </c>
      <c r="B4226" s="1" t="n">
        <v>45666.48954861111</v>
      </c>
      <c r="C4226" s="1" t="n">
        <v>46093</v>
      </c>
      <c r="D4226" t="inlineStr">
        <is>
          <t>ÖSTERGÖTLANDS LÄN</t>
        </is>
      </c>
      <c r="E4226" t="inlineStr">
        <is>
          <t>MJÖLBY</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53808-2025</t>
        </is>
      </c>
      <c r="B4227" s="1" t="n">
        <v>45960.86200231482</v>
      </c>
      <c r="C4227" s="1" t="n">
        <v>46093</v>
      </c>
      <c r="D4227" t="inlineStr">
        <is>
          <t>ÖSTERGÖTLANDS LÄN</t>
        </is>
      </c>
      <c r="E4227" t="inlineStr">
        <is>
          <t>KINDA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72696-2021</t>
        </is>
      </c>
      <c r="B4228" s="1" t="n">
        <v>44546</v>
      </c>
      <c r="C4228" s="1" t="n">
        <v>46093</v>
      </c>
      <c r="D4228" t="inlineStr">
        <is>
          <t>ÖSTERGÖTLANDS LÄN</t>
        </is>
      </c>
      <c r="E4228" t="inlineStr">
        <is>
          <t>ÅTVIDABERG</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9399-2023</t>
        </is>
      </c>
      <c r="B4229" s="1" t="n">
        <v>44981</v>
      </c>
      <c r="C4229" s="1" t="n">
        <v>46093</v>
      </c>
      <c r="D4229" t="inlineStr">
        <is>
          <t>ÖSTERGÖTLANDS LÄN</t>
        </is>
      </c>
      <c r="E4229" t="inlineStr">
        <is>
          <t>KINDA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8037-2025</t>
        </is>
      </c>
      <c r="B4230" s="1" t="n">
        <v>45707.5974537037</v>
      </c>
      <c r="C4230" s="1" t="n">
        <v>46093</v>
      </c>
      <c r="D4230" t="inlineStr">
        <is>
          <t>ÖSTERGÖTLANDS LÄN</t>
        </is>
      </c>
      <c r="E4230" t="inlineStr">
        <is>
          <t>ÖDESHÖG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15568-2023</t>
        </is>
      </c>
      <c r="B4231" s="1" t="n">
        <v>45020.61570601852</v>
      </c>
      <c r="C4231" s="1" t="n">
        <v>46093</v>
      </c>
      <c r="D4231" t="inlineStr">
        <is>
          <t>ÖSTERGÖTLANDS LÄN</t>
        </is>
      </c>
      <c r="E4231" t="inlineStr">
        <is>
          <t>KINDA</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8049-2025</t>
        </is>
      </c>
      <c r="B4232" s="1" t="n">
        <v>45707.60672453704</v>
      </c>
      <c r="C4232" s="1" t="n">
        <v>46093</v>
      </c>
      <c r="D4232" t="inlineStr">
        <is>
          <t>ÖSTERGÖTLANDS LÄN</t>
        </is>
      </c>
      <c r="E4232" t="inlineStr">
        <is>
          <t>ÖDESHÖG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61695-2021</t>
        </is>
      </c>
      <c r="B4233" s="1" t="n">
        <v>44501</v>
      </c>
      <c r="C4233" s="1" t="n">
        <v>46093</v>
      </c>
      <c r="D4233" t="inlineStr">
        <is>
          <t>ÖSTERGÖTLANDS LÄN</t>
        </is>
      </c>
      <c r="E4233" t="inlineStr">
        <is>
          <t>FINSPÅNG</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30518-2024</t>
        </is>
      </c>
      <c r="B4234" s="1" t="n">
        <v>45492</v>
      </c>
      <c r="C4234" s="1" t="n">
        <v>46093</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35598-2023</t>
        </is>
      </c>
      <c r="B4235" s="1" t="n">
        <v>45147</v>
      </c>
      <c r="C4235" s="1" t="n">
        <v>46093</v>
      </c>
      <c r="D4235" t="inlineStr">
        <is>
          <t>ÖSTERGÖTLANDS LÄN</t>
        </is>
      </c>
      <c r="E4235" t="inlineStr">
        <is>
          <t>FINSPÅNG</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54549-2025</t>
        </is>
      </c>
      <c r="B4236" s="1" t="n">
        <v>45965.65498842593</v>
      </c>
      <c r="C4236" s="1" t="n">
        <v>46093</v>
      </c>
      <c r="D4236" t="inlineStr">
        <is>
          <t>ÖSTERGÖTLANDS LÄN</t>
        </is>
      </c>
      <c r="E4236" t="inlineStr">
        <is>
          <t>YDRE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21813-2024</t>
        </is>
      </c>
      <c r="B4237" s="1" t="n">
        <v>45442.68033564815</v>
      </c>
      <c r="C4237" s="1" t="n">
        <v>46093</v>
      </c>
      <c r="D4237" t="inlineStr">
        <is>
          <t>ÖSTERGÖTLANDS LÄN</t>
        </is>
      </c>
      <c r="E4237" t="inlineStr">
        <is>
          <t>NORRKÖPING</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4826-2023</t>
        </is>
      </c>
      <c r="B4238" s="1" t="n">
        <v>44957</v>
      </c>
      <c r="C4238" s="1" t="n">
        <v>46093</v>
      </c>
      <c r="D4238" t="inlineStr">
        <is>
          <t>ÖSTERGÖTLANDS LÄN</t>
        </is>
      </c>
      <c r="E4238" t="inlineStr">
        <is>
          <t>NORRKÖPING</t>
        </is>
      </c>
      <c r="F4238" t="inlineStr">
        <is>
          <t>Holmen skog AB</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30095-2023</t>
        </is>
      </c>
      <c r="B4239" s="1" t="n">
        <v>45110</v>
      </c>
      <c r="C4239" s="1" t="n">
        <v>46093</v>
      </c>
      <c r="D4239" t="inlineStr">
        <is>
          <t>ÖSTERGÖTLANDS LÄN</t>
        </is>
      </c>
      <c r="E4239" t="inlineStr">
        <is>
          <t>NORRKÖPING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38404-2025</t>
        </is>
      </c>
      <c r="B4240" s="1" t="n">
        <v>45883.58974537037</v>
      </c>
      <c r="C4240" s="1" t="n">
        <v>46093</v>
      </c>
      <c r="D4240" t="inlineStr">
        <is>
          <t>ÖSTERGÖTLANDS LÄN</t>
        </is>
      </c>
      <c r="E4240" t="inlineStr">
        <is>
          <t>NORRKÖPING</t>
        </is>
      </c>
      <c r="F4240" t="inlineStr">
        <is>
          <t>Allmännings- och besparingsskogar</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4908-2023</t>
        </is>
      </c>
      <c r="B4241" s="1" t="n">
        <v>44958</v>
      </c>
      <c r="C4241" s="1" t="n">
        <v>46093</v>
      </c>
      <c r="D4241" t="inlineStr">
        <is>
          <t>ÖSTERGÖTLANDS LÄN</t>
        </is>
      </c>
      <c r="E4241" t="inlineStr">
        <is>
          <t>LINKÖPING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54602-2025</t>
        </is>
      </c>
      <c r="B4242" s="1" t="n">
        <v>45965.85481481482</v>
      </c>
      <c r="C4242" s="1" t="n">
        <v>46093</v>
      </c>
      <c r="D4242" t="inlineStr">
        <is>
          <t>ÖSTERGÖTLANDS LÄN</t>
        </is>
      </c>
      <c r="E4242" t="inlineStr">
        <is>
          <t>YDRE</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54540-2025</t>
        </is>
      </c>
      <c r="B4243" s="1" t="n">
        <v>45965.64679398148</v>
      </c>
      <c r="C4243" s="1" t="n">
        <v>46093</v>
      </c>
      <c r="D4243" t="inlineStr">
        <is>
          <t>ÖSTERGÖTLANDS LÄN</t>
        </is>
      </c>
      <c r="E4243" t="inlineStr">
        <is>
          <t>BOXHOLM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54544-2025</t>
        </is>
      </c>
      <c r="B4244" s="1" t="n">
        <v>45965.64865740741</v>
      </c>
      <c r="C4244" s="1" t="n">
        <v>46093</v>
      </c>
      <c r="D4244" t="inlineStr">
        <is>
          <t>ÖSTERGÖTLANDS LÄN</t>
        </is>
      </c>
      <c r="E4244" t="inlineStr">
        <is>
          <t>YDRE</t>
        </is>
      </c>
      <c r="F4244" t="inlineStr">
        <is>
          <t>Sveaskog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54564-2025</t>
        </is>
      </c>
      <c r="B4245" s="1" t="n">
        <v>45965.66885416667</v>
      </c>
      <c r="C4245" s="1" t="n">
        <v>46093</v>
      </c>
      <c r="D4245" t="inlineStr">
        <is>
          <t>ÖSTERGÖTLANDS LÄN</t>
        </is>
      </c>
      <c r="E4245" t="inlineStr">
        <is>
          <t>YDRE</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31953-2022</t>
        </is>
      </c>
      <c r="B4246" s="1" t="n">
        <v>44777</v>
      </c>
      <c r="C4246" s="1" t="n">
        <v>46093</v>
      </c>
      <c r="D4246" t="inlineStr">
        <is>
          <t>ÖSTERGÖTLANDS LÄN</t>
        </is>
      </c>
      <c r="E4246" t="inlineStr">
        <is>
          <t>ÅTVIDABERG</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43934-2023</t>
        </is>
      </c>
      <c r="B4247" s="1" t="n">
        <v>45187</v>
      </c>
      <c r="C4247" s="1" t="n">
        <v>46093</v>
      </c>
      <c r="D4247" t="inlineStr">
        <is>
          <t>ÖSTERGÖTLANDS LÄN</t>
        </is>
      </c>
      <c r="E4247" t="inlineStr">
        <is>
          <t>LINKÖPING</t>
        </is>
      </c>
      <c r="F4247" t="inlineStr">
        <is>
          <t>Övriga Aktiebolag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38928-2022</t>
        </is>
      </c>
      <c r="B4248" s="1" t="n">
        <v>44816.64356481482</v>
      </c>
      <c r="C4248" s="1" t="n">
        <v>46093</v>
      </c>
      <c r="D4248" t="inlineStr">
        <is>
          <t>ÖSTERGÖTLANDS LÄN</t>
        </is>
      </c>
      <c r="E4248" t="inlineStr">
        <is>
          <t>YDRE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54465-2025</t>
        </is>
      </c>
      <c r="B4249" s="1" t="n">
        <v>45965.56792824074</v>
      </c>
      <c r="C4249" s="1" t="n">
        <v>46093</v>
      </c>
      <c r="D4249" t="inlineStr">
        <is>
          <t>ÖSTERGÖTLANDS LÄN</t>
        </is>
      </c>
      <c r="E4249" t="inlineStr">
        <is>
          <t>BOXHOLM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38463-2025</t>
        </is>
      </c>
      <c r="B4250" s="1" t="n">
        <v>45883.74664351852</v>
      </c>
      <c r="C4250" s="1" t="n">
        <v>46093</v>
      </c>
      <c r="D4250" t="inlineStr">
        <is>
          <t>ÖSTERGÖTLANDS LÄN</t>
        </is>
      </c>
      <c r="E4250" t="inlineStr">
        <is>
          <t>NORRKÖPING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54403-2025</t>
        </is>
      </c>
      <c r="B4251" s="1" t="n">
        <v>45965.45344907408</v>
      </c>
      <c r="C4251" s="1" t="n">
        <v>46093</v>
      </c>
      <c r="D4251" t="inlineStr">
        <is>
          <t>ÖSTERGÖTLANDS LÄN</t>
        </is>
      </c>
      <c r="E4251" t="inlineStr">
        <is>
          <t>KINDA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54431-2025</t>
        </is>
      </c>
      <c r="B4252" s="1" t="n">
        <v>45965.49458333333</v>
      </c>
      <c r="C4252" s="1" t="n">
        <v>46093</v>
      </c>
      <c r="D4252" t="inlineStr">
        <is>
          <t>ÖSTERGÖTLANDS LÄN</t>
        </is>
      </c>
      <c r="E4252" t="inlineStr">
        <is>
          <t>YDRE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29081-2021</t>
        </is>
      </c>
      <c r="B4253" s="1" t="n">
        <v>44358</v>
      </c>
      <c r="C4253" s="1" t="n">
        <v>46093</v>
      </c>
      <c r="D4253" t="inlineStr">
        <is>
          <t>ÖSTERGÖTLANDS LÄN</t>
        </is>
      </c>
      <c r="E4253" t="inlineStr">
        <is>
          <t>MOTALA</t>
        </is>
      </c>
      <c r="F4253" t="inlineStr">
        <is>
          <t>Allmännings- och besparingsskogar</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64825-2023</t>
        </is>
      </c>
      <c r="B4254" s="1" t="n">
        <v>45282</v>
      </c>
      <c r="C4254" s="1" t="n">
        <v>46093</v>
      </c>
      <c r="D4254" t="inlineStr">
        <is>
          <t>ÖSTERGÖTLANDS LÄN</t>
        </is>
      </c>
      <c r="E4254" t="inlineStr">
        <is>
          <t>SÖDERKÖPING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37715-2022</t>
        </is>
      </c>
      <c r="B4255" s="1" t="n">
        <v>44810</v>
      </c>
      <c r="C4255" s="1" t="n">
        <v>46093</v>
      </c>
      <c r="D4255" t="inlineStr">
        <is>
          <t>ÖSTERGÖTLANDS LÄN</t>
        </is>
      </c>
      <c r="E4255" t="inlineStr">
        <is>
          <t>LINKÖPING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39356-2022</t>
        </is>
      </c>
      <c r="B4256" s="1" t="n">
        <v>44817</v>
      </c>
      <c r="C4256" s="1" t="n">
        <v>46093</v>
      </c>
      <c r="D4256" t="inlineStr">
        <is>
          <t>ÖSTERGÖTLANDS LÄN</t>
        </is>
      </c>
      <c r="E4256" t="inlineStr">
        <is>
          <t>FINSPÅNG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9704-2024</t>
        </is>
      </c>
      <c r="B4257" s="1" t="n">
        <v>45362.50371527778</v>
      </c>
      <c r="C4257" s="1" t="n">
        <v>46093</v>
      </c>
      <c r="D4257" t="inlineStr">
        <is>
          <t>ÖSTERGÖTLANDS LÄN</t>
        </is>
      </c>
      <c r="E4257" t="inlineStr">
        <is>
          <t>ÅTVIDABERG</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34063-2022</t>
        </is>
      </c>
      <c r="B4258" s="1" t="n">
        <v>44791</v>
      </c>
      <c r="C4258" s="1" t="n">
        <v>46093</v>
      </c>
      <c r="D4258" t="inlineStr">
        <is>
          <t>ÖSTERGÖTLANDS LÄN</t>
        </is>
      </c>
      <c r="E4258" t="inlineStr">
        <is>
          <t>ÅTVIDABERG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1272-2025</t>
        </is>
      </c>
      <c r="B4259" s="1" t="n">
        <v>45667.48078703704</v>
      </c>
      <c r="C4259" s="1" t="n">
        <v>46093</v>
      </c>
      <c r="D4259" t="inlineStr">
        <is>
          <t>ÖSTERGÖTLANDS LÄN</t>
        </is>
      </c>
      <c r="E4259" t="inlineStr">
        <is>
          <t>VALDEMARSVIK</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1280-2025</t>
        </is>
      </c>
      <c r="B4260" s="1" t="n">
        <v>45667.49322916667</v>
      </c>
      <c r="C4260" s="1" t="n">
        <v>46093</v>
      </c>
      <c r="D4260" t="inlineStr">
        <is>
          <t>ÖSTERGÖTLANDS LÄN</t>
        </is>
      </c>
      <c r="E4260" t="inlineStr">
        <is>
          <t>VALDEMARSVIK</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18661-2023</t>
        </is>
      </c>
      <c r="B4261" s="1" t="n">
        <v>45043</v>
      </c>
      <c r="C4261" s="1" t="n">
        <v>46093</v>
      </c>
      <c r="D4261" t="inlineStr">
        <is>
          <t>ÖSTERGÖTLANDS LÄN</t>
        </is>
      </c>
      <c r="E4261" t="inlineStr">
        <is>
          <t>NORRKÖPING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46757-2022</t>
        </is>
      </c>
      <c r="B4262" s="1" t="n">
        <v>44851</v>
      </c>
      <c r="C4262" s="1" t="n">
        <v>46093</v>
      </c>
      <c r="D4262" t="inlineStr">
        <is>
          <t>ÖSTERGÖTLANDS LÄN</t>
        </is>
      </c>
      <c r="E4262" t="inlineStr">
        <is>
          <t>KINDA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23438-2021</t>
        </is>
      </c>
      <c r="B4263" s="1" t="n">
        <v>44333</v>
      </c>
      <c r="C4263" s="1" t="n">
        <v>46093</v>
      </c>
      <c r="D4263" t="inlineStr">
        <is>
          <t>ÖSTERGÖTLANDS LÄN</t>
        </is>
      </c>
      <c r="E4263" t="inlineStr">
        <is>
          <t>NORRKÖPING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41223-2022</t>
        </is>
      </c>
      <c r="B4264" s="1" t="n">
        <v>44826</v>
      </c>
      <c r="C4264" s="1" t="n">
        <v>46093</v>
      </c>
      <c r="D4264" t="inlineStr">
        <is>
          <t>ÖSTERGÖTLANDS LÄN</t>
        </is>
      </c>
      <c r="E4264" t="inlineStr">
        <is>
          <t>NORRKÖPING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39024-2023</t>
        </is>
      </c>
      <c r="B4265" s="1" t="n">
        <v>45163.82409722222</v>
      </c>
      <c r="C4265" s="1" t="n">
        <v>46093</v>
      </c>
      <c r="D4265" t="inlineStr">
        <is>
          <t>ÖSTERGÖTLANDS LÄN</t>
        </is>
      </c>
      <c r="E4265" t="inlineStr">
        <is>
          <t>ÖDESHÖG</t>
        </is>
      </c>
      <c r="F4265" t="inlineStr">
        <is>
          <t>Allmännings- och besparingsskogar</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54171-2025</t>
        </is>
      </c>
      <c r="B4266" s="1" t="n">
        <v>45964</v>
      </c>
      <c r="C4266" s="1" t="n">
        <v>46093</v>
      </c>
      <c r="D4266" t="inlineStr">
        <is>
          <t>ÖSTERGÖTLANDS LÄN</t>
        </is>
      </c>
      <c r="E4266" t="inlineStr">
        <is>
          <t>MOTALA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54469-2025</t>
        </is>
      </c>
      <c r="B4267" s="1" t="n">
        <v>45965.57197916666</v>
      </c>
      <c r="C4267" s="1" t="n">
        <v>46093</v>
      </c>
      <c r="D4267" t="inlineStr">
        <is>
          <t>ÖSTERGÖTLANDS LÄN</t>
        </is>
      </c>
      <c r="E4267" t="inlineStr">
        <is>
          <t>BOXHOLM</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21664-2024</t>
        </is>
      </c>
      <c r="B4268" s="1" t="n">
        <v>45442.38490740741</v>
      </c>
      <c r="C4268" s="1" t="n">
        <v>46093</v>
      </c>
      <c r="D4268" t="inlineStr">
        <is>
          <t>ÖSTERGÖTLANDS LÄN</t>
        </is>
      </c>
      <c r="E4268" t="inlineStr">
        <is>
          <t>NORRKÖPING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30271-2022</t>
        </is>
      </c>
      <c r="B4269" s="1" t="n">
        <v>44759.65983796296</v>
      </c>
      <c r="C4269" s="1" t="n">
        <v>46093</v>
      </c>
      <c r="D4269" t="inlineStr">
        <is>
          <t>ÖSTERGÖTLANDS LÄN</t>
        </is>
      </c>
      <c r="E4269" t="inlineStr">
        <is>
          <t>FINSPÅNG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65828-2021</t>
        </is>
      </c>
      <c r="B4270" s="1" t="n">
        <v>44517</v>
      </c>
      <c r="C4270" s="1" t="n">
        <v>46093</v>
      </c>
      <c r="D4270" t="inlineStr">
        <is>
          <t>ÖSTERGÖTLANDS LÄN</t>
        </is>
      </c>
      <c r="E4270" t="inlineStr">
        <is>
          <t>ÅTVIDABERG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16146-2023</t>
        </is>
      </c>
      <c r="B4271" s="1" t="n">
        <v>45027.6528125</v>
      </c>
      <c r="C4271" s="1" t="n">
        <v>46093</v>
      </c>
      <c r="D4271" t="inlineStr">
        <is>
          <t>ÖSTERGÖTLANDS LÄN</t>
        </is>
      </c>
      <c r="E4271" t="inlineStr">
        <is>
          <t>BOXHOLM</t>
        </is>
      </c>
      <c r="F4271" t="inlineStr">
        <is>
          <t>Allmännings- och besparingsskogar</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45243-2022</t>
        </is>
      </c>
      <c r="B4272" s="1" t="n">
        <v>44840</v>
      </c>
      <c r="C4272" s="1" t="n">
        <v>46093</v>
      </c>
      <c r="D4272" t="inlineStr">
        <is>
          <t>ÖSTERGÖTLANDS LÄN</t>
        </is>
      </c>
      <c r="E4272" t="inlineStr">
        <is>
          <t>FINSPÅNG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54333-2025</t>
        </is>
      </c>
      <c r="B4273" s="1" t="n">
        <v>45965.35090277778</v>
      </c>
      <c r="C4273" s="1" t="n">
        <v>46093</v>
      </c>
      <c r="D4273" t="inlineStr">
        <is>
          <t>ÖSTERGÖTLANDS LÄN</t>
        </is>
      </c>
      <c r="E4273" t="inlineStr">
        <is>
          <t>LINKÖPING</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34001-2024</t>
        </is>
      </c>
      <c r="B4274" s="1" t="n">
        <v>45523.55290509259</v>
      </c>
      <c r="C4274" s="1" t="n">
        <v>46093</v>
      </c>
      <c r="D4274" t="inlineStr">
        <is>
          <t>ÖSTERGÖTLANDS LÄN</t>
        </is>
      </c>
      <c r="E4274" t="inlineStr">
        <is>
          <t>FINSPÅNG</t>
        </is>
      </c>
      <c r="F4274" t="inlineStr">
        <is>
          <t>Holmen skog AB</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39078-2022</t>
        </is>
      </c>
      <c r="B4275" s="1" t="n">
        <v>44817</v>
      </c>
      <c r="C4275" s="1" t="n">
        <v>46093</v>
      </c>
      <c r="D4275" t="inlineStr">
        <is>
          <t>ÖSTERGÖTLANDS LÄN</t>
        </is>
      </c>
      <c r="E4275" t="inlineStr">
        <is>
          <t>FINSPÅNG</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1102-2023</t>
        </is>
      </c>
      <c r="B4276" s="1" t="n">
        <v>44935.58886574074</v>
      </c>
      <c r="C4276" s="1" t="n">
        <v>46093</v>
      </c>
      <c r="D4276" t="inlineStr">
        <is>
          <t>ÖSTERGÖTLANDS LÄN</t>
        </is>
      </c>
      <c r="E4276" t="inlineStr">
        <is>
          <t>MOTALA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38231-2025</t>
        </is>
      </c>
      <c r="B4277" s="1" t="n">
        <v>45883.35074074074</v>
      </c>
      <c r="C4277" s="1" t="n">
        <v>46093</v>
      </c>
      <c r="D4277" t="inlineStr">
        <is>
          <t>ÖSTERGÖTLANDS LÄN</t>
        </is>
      </c>
      <c r="E4277" t="inlineStr">
        <is>
          <t>FINSPÅNG</t>
        </is>
      </c>
      <c r="F4277" t="inlineStr">
        <is>
          <t>Holmen skog AB</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73260-2021</t>
        </is>
      </c>
      <c r="B4278" s="1" t="n">
        <v>44550.79950231482</v>
      </c>
      <c r="C4278" s="1" t="n">
        <v>46093</v>
      </c>
      <c r="D4278" t="inlineStr">
        <is>
          <t>ÖSTERGÖTLANDS LÄN</t>
        </is>
      </c>
      <c r="E4278" t="inlineStr">
        <is>
          <t>FINSPÅNG</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45362-2021</t>
        </is>
      </c>
      <c r="B4279" s="1" t="n">
        <v>44439.97621527778</v>
      </c>
      <c r="C4279" s="1" t="n">
        <v>46093</v>
      </c>
      <c r="D4279" t="inlineStr">
        <is>
          <t>ÖSTERGÖTLANDS LÄN</t>
        </is>
      </c>
      <c r="E4279" t="inlineStr">
        <is>
          <t>NORRKÖPING</t>
        </is>
      </c>
      <c r="F4279" t="inlineStr">
        <is>
          <t>Allmännings- och besparingsskogar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49487-2022</t>
        </is>
      </c>
      <c r="B4280" s="1" t="n">
        <v>44861</v>
      </c>
      <c r="C4280" s="1" t="n">
        <v>46093</v>
      </c>
      <c r="D4280" t="inlineStr">
        <is>
          <t>ÖSTERGÖTLANDS LÄN</t>
        </is>
      </c>
      <c r="E4280" t="inlineStr">
        <is>
          <t>NORRKÖPING</t>
        </is>
      </c>
      <c r="F4280" t="inlineStr">
        <is>
          <t>Holmen skog AB</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29628-2024</t>
        </is>
      </c>
      <c r="B4281" s="1" t="n">
        <v>45484.66387731482</v>
      </c>
      <c r="C4281" s="1" t="n">
        <v>46093</v>
      </c>
      <c r="D4281" t="inlineStr">
        <is>
          <t>ÖSTERGÖTLANDS LÄN</t>
        </is>
      </c>
      <c r="E4281" t="inlineStr">
        <is>
          <t>MOTALA</t>
        </is>
      </c>
      <c r="F4281" t="inlineStr">
        <is>
          <t>Holmen skog AB</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20914-2021</t>
        </is>
      </c>
      <c r="B4282" s="1" t="n">
        <v>44319</v>
      </c>
      <c r="C4282" s="1" t="n">
        <v>46093</v>
      </c>
      <c r="D4282" t="inlineStr">
        <is>
          <t>ÖSTERGÖTLANDS LÄN</t>
        </is>
      </c>
      <c r="E4282" t="inlineStr">
        <is>
          <t>KINDA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54529-2025</t>
        </is>
      </c>
      <c r="B4283" s="1" t="n">
        <v>45965.63504629629</v>
      </c>
      <c r="C4283" s="1" t="n">
        <v>46093</v>
      </c>
      <c r="D4283" t="inlineStr">
        <is>
          <t>ÖSTERGÖTLANDS LÄN</t>
        </is>
      </c>
      <c r="E4283" t="inlineStr">
        <is>
          <t>YDRE</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31373-2021</t>
        </is>
      </c>
      <c r="B4284" s="1" t="n">
        <v>44368</v>
      </c>
      <c r="C4284" s="1" t="n">
        <v>46093</v>
      </c>
      <c r="D4284" t="inlineStr">
        <is>
          <t>ÖSTERGÖTLANDS LÄN</t>
        </is>
      </c>
      <c r="E4284" t="inlineStr">
        <is>
          <t>FINSPÅNG</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31377-2021</t>
        </is>
      </c>
      <c r="B4285" s="1" t="n">
        <v>44369.24979166667</v>
      </c>
      <c r="C4285" s="1" t="n">
        <v>46093</v>
      </c>
      <c r="D4285" t="inlineStr">
        <is>
          <t>ÖSTERGÖTLANDS LÄN</t>
        </is>
      </c>
      <c r="E4285" t="inlineStr">
        <is>
          <t>FINSPÅNG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21399-2023</t>
        </is>
      </c>
      <c r="B4286" s="1" t="n">
        <v>45063.3709375</v>
      </c>
      <c r="C4286" s="1" t="n">
        <v>46093</v>
      </c>
      <c r="D4286" t="inlineStr">
        <is>
          <t>ÖSTERGÖTLANDS LÄN</t>
        </is>
      </c>
      <c r="E4286" t="inlineStr">
        <is>
          <t>VALDEMARSVIK</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54427-2025</t>
        </is>
      </c>
      <c r="B4287" s="1" t="n">
        <v>45965.49116898148</v>
      </c>
      <c r="C4287" s="1" t="n">
        <v>46093</v>
      </c>
      <c r="D4287" t="inlineStr">
        <is>
          <t>ÖSTERGÖTLANDS LÄN</t>
        </is>
      </c>
      <c r="E4287" t="inlineStr">
        <is>
          <t>YDRE</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13918-2023</t>
        </is>
      </c>
      <c r="B4288" s="1" t="n">
        <v>45008</v>
      </c>
      <c r="C4288" s="1" t="n">
        <v>46093</v>
      </c>
      <c r="D4288" t="inlineStr">
        <is>
          <t>ÖSTERGÖTLANDS LÄN</t>
        </is>
      </c>
      <c r="E4288" t="inlineStr">
        <is>
          <t>NORRKÖPING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63321-2021</t>
        </is>
      </c>
      <c r="B4289" s="1" t="n">
        <v>44508</v>
      </c>
      <c r="C4289" s="1" t="n">
        <v>46093</v>
      </c>
      <c r="D4289" t="inlineStr">
        <is>
          <t>ÖSTERGÖTLANDS LÄN</t>
        </is>
      </c>
      <c r="E4289" t="inlineStr">
        <is>
          <t>FINSPÅNG</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35096-2021</t>
        </is>
      </c>
      <c r="B4290" s="1" t="n">
        <v>44383</v>
      </c>
      <c r="C4290" s="1" t="n">
        <v>46093</v>
      </c>
      <c r="D4290" t="inlineStr">
        <is>
          <t>ÖSTERGÖTLANDS LÄN</t>
        </is>
      </c>
      <c r="E4290" t="inlineStr">
        <is>
          <t>FINSPÅNG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40698-2023</t>
        </is>
      </c>
      <c r="B4291" s="1" t="n">
        <v>45170</v>
      </c>
      <c r="C4291" s="1" t="n">
        <v>46093</v>
      </c>
      <c r="D4291" t="inlineStr">
        <is>
          <t>ÖSTERGÖTLANDS LÄN</t>
        </is>
      </c>
      <c r="E4291" t="inlineStr">
        <is>
          <t>YDRE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54484-2022</t>
        </is>
      </c>
      <c r="B4292" s="1" t="n">
        <v>44882</v>
      </c>
      <c r="C4292" s="1" t="n">
        <v>46093</v>
      </c>
      <c r="D4292" t="inlineStr">
        <is>
          <t>ÖSTERGÖTLANDS LÄN</t>
        </is>
      </c>
      <c r="E4292" t="inlineStr">
        <is>
          <t>KINDA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54332-2025</t>
        </is>
      </c>
      <c r="B4293" s="1" t="n">
        <v>45965.34915509259</v>
      </c>
      <c r="C4293" s="1" t="n">
        <v>46093</v>
      </c>
      <c r="D4293" t="inlineStr">
        <is>
          <t>ÖSTERGÖTLANDS LÄN</t>
        </is>
      </c>
      <c r="E4293" t="inlineStr">
        <is>
          <t>LINKÖPING</t>
        </is>
      </c>
      <c r="F4293" t="inlineStr">
        <is>
          <t>Sveaskog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41397-2021</t>
        </is>
      </c>
      <c r="B4294" s="1" t="n">
        <v>44424</v>
      </c>
      <c r="C4294" s="1" t="n">
        <v>46093</v>
      </c>
      <c r="D4294" t="inlineStr">
        <is>
          <t>ÖSTERGÖTLANDS LÄN</t>
        </is>
      </c>
      <c r="E4294" t="inlineStr">
        <is>
          <t>FINSPÅNG</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37279-2024</t>
        </is>
      </c>
      <c r="B4295" s="1" t="n">
        <v>45540</v>
      </c>
      <c r="C4295" s="1" t="n">
        <v>46093</v>
      </c>
      <c r="D4295" t="inlineStr">
        <is>
          <t>ÖSTERGÖTLANDS LÄN</t>
        </is>
      </c>
      <c r="E4295" t="inlineStr">
        <is>
          <t>MOTALA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5287-2025</t>
        </is>
      </c>
      <c r="B4296" s="1" t="n">
        <v>45692.44277777777</v>
      </c>
      <c r="C4296" s="1" t="n">
        <v>46093</v>
      </c>
      <c r="D4296" t="inlineStr">
        <is>
          <t>ÖSTERGÖTLANDS LÄN</t>
        </is>
      </c>
      <c r="E4296" t="inlineStr">
        <is>
          <t>YDRE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5336-2025</t>
        </is>
      </c>
      <c r="B4297" s="1" t="n">
        <v>45692</v>
      </c>
      <c r="C4297" s="1" t="n">
        <v>46093</v>
      </c>
      <c r="D4297" t="inlineStr">
        <is>
          <t>ÖSTERGÖTLANDS LÄN</t>
        </is>
      </c>
      <c r="E4297" t="inlineStr">
        <is>
          <t>FINSPÅNG</t>
        </is>
      </c>
      <c r="F4297" t="inlineStr">
        <is>
          <t>Holmen skog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5339-2025</t>
        </is>
      </c>
      <c r="B4298" s="1" t="n">
        <v>45692</v>
      </c>
      <c r="C4298" s="1" t="n">
        <v>46093</v>
      </c>
      <c r="D4298" t="inlineStr">
        <is>
          <t>ÖSTERGÖTLANDS LÄN</t>
        </is>
      </c>
      <c r="E4298" t="inlineStr">
        <is>
          <t>SÖDERKÖPING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54516-2025</t>
        </is>
      </c>
      <c r="B4299" s="1" t="n">
        <v>45965.62333333334</v>
      </c>
      <c r="C4299" s="1" t="n">
        <v>46093</v>
      </c>
      <c r="D4299" t="inlineStr">
        <is>
          <t>ÖSTERGÖTLANDS LÄN</t>
        </is>
      </c>
      <c r="E4299" t="inlineStr">
        <is>
          <t>YDRE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32825-2021</t>
        </is>
      </c>
      <c r="B4300" s="1" t="n">
        <v>44375.6209837963</v>
      </c>
      <c r="C4300" s="1" t="n">
        <v>46093</v>
      </c>
      <c r="D4300" t="inlineStr">
        <is>
          <t>ÖSTERGÖTLANDS LÄN</t>
        </is>
      </c>
      <c r="E4300" t="inlineStr">
        <is>
          <t>KINDA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38046-2025</t>
        </is>
      </c>
      <c r="B4301" s="1" t="n">
        <v>45882.39939814815</v>
      </c>
      <c r="C4301" s="1" t="n">
        <v>46093</v>
      </c>
      <c r="D4301" t="inlineStr">
        <is>
          <t>ÖSTERGÖTLANDS LÄN</t>
        </is>
      </c>
      <c r="E4301" t="inlineStr">
        <is>
          <t>LINKÖPING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24150-2024</t>
        </is>
      </c>
      <c r="B4302" s="1" t="n">
        <v>45456</v>
      </c>
      <c r="C4302" s="1" t="n">
        <v>46093</v>
      </c>
      <c r="D4302" t="inlineStr">
        <is>
          <t>ÖSTERGÖTLANDS LÄN</t>
        </is>
      </c>
      <c r="E4302" t="inlineStr">
        <is>
          <t>KINDA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55405-2022</t>
        </is>
      </c>
      <c r="B4303" s="1" t="n">
        <v>44887.57861111111</v>
      </c>
      <c r="C4303" s="1" t="n">
        <v>46093</v>
      </c>
      <c r="D4303" t="inlineStr">
        <is>
          <t>ÖSTERGÖTLANDS LÄN</t>
        </is>
      </c>
      <c r="E4303" t="inlineStr">
        <is>
          <t>YDRE</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54851-2025</t>
        </is>
      </c>
      <c r="B4304" s="1" t="n">
        <v>45966.71596064815</v>
      </c>
      <c r="C4304" s="1" t="n">
        <v>46093</v>
      </c>
      <c r="D4304" t="inlineStr">
        <is>
          <t>ÖSTERGÖTLANDS LÄN</t>
        </is>
      </c>
      <c r="E4304" t="inlineStr">
        <is>
          <t>NORRKÖPING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54521-2025</t>
        </is>
      </c>
      <c r="B4305" s="1" t="n">
        <v>45965.62938657407</v>
      </c>
      <c r="C4305" s="1" t="n">
        <v>46093</v>
      </c>
      <c r="D4305" t="inlineStr">
        <is>
          <t>ÖSTERGÖTLANDS LÄN</t>
        </is>
      </c>
      <c r="E4305" t="inlineStr">
        <is>
          <t>BOXHOLM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5203-2022</t>
        </is>
      </c>
      <c r="B4306" s="1" t="n">
        <v>44594</v>
      </c>
      <c r="C4306" s="1" t="n">
        <v>46093</v>
      </c>
      <c r="D4306" t="inlineStr">
        <is>
          <t>ÖSTERGÖTLANDS LÄN</t>
        </is>
      </c>
      <c r="E4306" t="inlineStr">
        <is>
          <t>KINDA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1277-2023</t>
        </is>
      </c>
      <c r="B4307" s="1" t="n">
        <v>44936</v>
      </c>
      <c r="C4307" s="1" t="n">
        <v>46093</v>
      </c>
      <c r="D4307" t="inlineStr">
        <is>
          <t>ÖSTERGÖTLANDS LÄN</t>
        </is>
      </c>
      <c r="E4307" t="inlineStr">
        <is>
          <t>NORRKÖPING</t>
        </is>
      </c>
      <c r="F4307" t="inlineStr">
        <is>
          <t>Holmen skog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1281-2023</t>
        </is>
      </c>
      <c r="B4308" s="1" t="n">
        <v>44936</v>
      </c>
      <c r="C4308" s="1" t="n">
        <v>46093</v>
      </c>
      <c r="D4308" t="inlineStr">
        <is>
          <t>ÖSTERGÖTLANDS LÄN</t>
        </is>
      </c>
      <c r="E4308" t="inlineStr">
        <is>
          <t>NORRKÖPING</t>
        </is>
      </c>
      <c r="F4308" t="inlineStr">
        <is>
          <t>Holmen skog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1722-2023</t>
        </is>
      </c>
      <c r="B4309" s="1" t="n">
        <v>44938.46847222222</v>
      </c>
      <c r="C4309" s="1" t="n">
        <v>46093</v>
      </c>
      <c r="D4309" t="inlineStr">
        <is>
          <t>ÖSTERGÖTLANDS LÄN</t>
        </is>
      </c>
      <c r="E4309" t="inlineStr">
        <is>
          <t>ÅTVIDABERG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13273-2021</t>
        </is>
      </c>
      <c r="B4310" s="1" t="n">
        <v>44272</v>
      </c>
      <c r="C4310" s="1" t="n">
        <v>46093</v>
      </c>
      <c r="D4310" t="inlineStr">
        <is>
          <t>ÖSTERGÖTLANDS LÄN</t>
        </is>
      </c>
      <c r="E4310" t="inlineStr">
        <is>
          <t>KINDA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16700-2023</t>
        </is>
      </c>
      <c r="B4311" s="1" t="n">
        <v>45030</v>
      </c>
      <c r="C4311" s="1" t="n">
        <v>46093</v>
      </c>
      <c r="D4311" t="inlineStr">
        <is>
          <t>ÖSTERGÖTLANDS LÄN</t>
        </is>
      </c>
      <c r="E4311" t="inlineStr">
        <is>
          <t>NORRKÖPING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43688-2023</t>
        </is>
      </c>
      <c r="B4312" s="1" t="n">
        <v>45187</v>
      </c>
      <c r="C4312" s="1" t="n">
        <v>46093</v>
      </c>
      <c r="D4312" t="inlineStr">
        <is>
          <t>ÖSTERGÖTLANDS LÄN</t>
        </is>
      </c>
      <c r="E4312" t="inlineStr">
        <is>
          <t>KINDA</t>
        </is>
      </c>
      <c r="F4312" t="inlineStr">
        <is>
          <t>Övriga Aktiebolag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23603-2021</t>
        </is>
      </c>
      <c r="B4313" s="1" t="n">
        <v>44334</v>
      </c>
      <c r="C4313" s="1" t="n">
        <v>46093</v>
      </c>
      <c r="D4313" t="inlineStr">
        <is>
          <t>ÖSTERGÖTLANDS LÄN</t>
        </is>
      </c>
      <c r="E4313" t="inlineStr">
        <is>
          <t>MOTALA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49627-2021</t>
        </is>
      </c>
      <c r="B4314" s="1" t="n">
        <v>44455</v>
      </c>
      <c r="C4314" s="1" t="n">
        <v>46093</v>
      </c>
      <c r="D4314" t="inlineStr">
        <is>
          <t>ÖSTERGÖTLANDS LÄN</t>
        </is>
      </c>
      <c r="E4314" t="inlineStr">
        <is>
          <t>MOTALA</t>
        </is>
      </c>
      <c r="G4314" t="n">
        <v>14.2</v>
      </c>
      <c r="H4314" t="n">
        <v>0</v>
      </c>
      <c r="I4314" t="n">
        <v>0</v>
      </c>
      <c r="J4314" t="n">
        <v>0</v>
      </c>
      <c r="K4314" t="n">
        <v>0</v>
      </c>
      <c r="L4314" t="n">
        <v>0</v>
      </c>
      <c r="M4314" t="n">
        <v>0</v>
      </c>
      <c r="N4314" t="n">
        <v>0</v>
      </c>
      <c r="O4314" t="n">
        <v>0</v>
      </c>
      <c r="P4314" t="n">
        <v>0</v>
      </c>
      <c r="Q4314" t="n">
        <v>0</v>
      </c>
      <c r="R4314" s="2" t="inlineStr"/>
    </row>
    <row r="4315" ht="15" customHeight="1">
      <c r="A4315" t="inlineStr">
        <is>
          <t>A 38152-2023</t>
        </is>
      </c>
      <c r="B4315" s="1" t="n">
        <v>45161.39238425926</v>
      </c>
      <c r="C4315" s="1" t="n">
        <v>46093</v>
      </c>
      <c r="D4315" t="inlineStr">
        <is>
          <t>ÖSTERGÖTLANDS LÄN</t>
        </is>
      </c>
      <c r="E4315" t="inlineStr">
        <is>
          <t>ÖDESHÖG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54510-2025</t>
        </is>
      </c>
      <c r="B4316" s="1" t="n">
        <v>45965.61924768519</v>
      </c>
      <c r="C4316" s="1" t="n">
        <v>46093</v>
      </c>
      <c r="D4316" t="inlineStr">
        <is>
          <t>ÖSTERGÖTLANDS LÄN</t>
        </is>
      </c>
      <c r="E4316" t="inlineStr">
        <is>
          <t>YDRE</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54530-2025</t>
        </is>
      </c>
      <c r="B4317" s="1" t="n">
        <v>45965.63539351852</v>
      </c>
      <c r="C4317" s="1" t="n">
        <v>46093</v>
      </c>
      <c r="D4317" t="inlineStr">
        <is>
          <t>ÖSTERGÖTLANDS LÄN</t>
        </is>
      </c>
      <c r="E4317" t="inlineStr">
        <is>
          <t>BOXHOLM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54560-2025</t>
        </is>
      </c>
      <c r="B4318" s="1" t="n">
        <v>45965.66423611111</v>
      </c>
      <c r="C4318" s="1" t="n">
        <v>46093</v>
      </c>
      <c r="D4318" t="inlineStr">
        <is>
          <t>ÖSTERGÖTLANDS LÄN</t>
        </is>
      </c>
      <c r="E4318" t="inlineStr">
        <is>
          <t>NORRKÖPING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57657-2022</t>
        </is>
      </c>
      <c r="B4319" s="1" t="n">
        <v>44897.43328703703</v>
      </c>
      <c r="C4319" s="1" t="n">
        <v>46093</v>
      </c>
      <c r="D4319" t="inlineStr">
        <is>
          <t>ÖSTERGÖTLANDS LÄN</t>
        </is>
      </c>
      <c r="E4319" t="inlineStr">
        <is>
          <t>ÅTVIDABERG</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49881-2021</t>
        </is>
      </c>
      <c r="B4320" s="1" t="n">
        <v>44455.68322916667</v>
      </c>
      <c r="C4320" s="1" t="n">
        <v>46093</v>
      </c>
      <c r="D4320" t="inlineStr">
        <is>
          <t>ÖSTERGÖTLANDS LÄN</t>
        </is>
      </c>
      <c r="E4320" t="inlineStr">
        <is>
          <t>KINDA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38136-2025</t>
        </is>
      </c>
      <c r="B4321" s="1" t="n">
        <v>45882.56710648148</v>
      </c>
      <c r="C4321" s="1" t="n">
        <v>46093</v>
      </c>
      <c r="D4321" t="inlineStr">
        <is>
          <t>ÖSTERGÖTLANDS LÄN</t>
        </is>
      </c>
      <c r="E4321" t="inlineStr">
        <is>
          <t>KINDA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34127-2021</t>
        </is>
      </c>
      <c r="B4322" s="1" t="n">
        <v>44379</v>
      </c>
      <c r="C4322" s="1" t="n">
        <v>46093</v>
      </c>
      <c r="D4322" t="inlineStr">
        <is>
          <t>ÖSTERGÖTLANDS LÄN</t>
        </is>
      </c>
      <c r="E4322" t="inlineStr">
        <is>
          <t>KINDA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38827-2021</t>
        </is>
      </c>
      <c r="B4323" s="1" t="n">
        <v>44411</v>
      </c>
      <c r="C4323" s="1" t="n">
        <v>46093</v>
      </c>
      <c r="D4323" t="inlineStr">
        <is>
          <t>ÖSTERGÖTLANDS LÄN</t>
        </is>
      </c>
      <c r="E4323" t="inlineStr">
        <is>
          <t>KINDA</t>
        </is>
      </c>
      <c r="F4323" t="inlineStr">
        <is>
          <t>Övriga Aktiebolag</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38805-2021</t>
        </is>
      </c>
      <c r="B4324" s="1" t="n">
        <v>44410</v>
      </c>
      <c r="C4324" s="1" t="n">
        <v>46093</v>
      </c>
      <c r="D4324" t="inlineStr">
        <is>
          <t>ÖSTERGÖTLANDS LÄN</t>
        </is>
      </c>
      <c r="E4324" t="inlineStr">
        <is>
          <t>ÅTVIDABERG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21772-2024</t>
        </is>
      </c>
      <c r="B4325" s="1" t="n">
        <v>45442.61221064815</v>
      </c>
      <c r="C4325" s="1" t="n">
        <v>46093</v>
      </c>
      <c r="D4325" t="inlineStr">
        <is>
          <t>ÖSTERGÖTLANDS LÄN</t>
        </is>
      </c>
      <c r="E4325" t="inlineStr">
        <is>
          <t>NORRKÖPING</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1-2022</t>
        </is>
      </c>
      <c r="B4326" s="1" t="n">
        <v>44562.76653935185</v>
      </c>
      <c r="C4326" s="1" t="n">
        <v>46093</v>
      </c>
      <c r="D4326" t="inlineStr">
        <is>
          <t>ÖSTERGÖTLANDS LÄN</t>
        </is>
      </c>
      <c r="E4326" t="inlineStr">
        <is>
          <t>YDRE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45761-2021</t>
        </is>
      </c>
      <c r="B4327" s="1" t="n">
        <v>44441</v>
      </c>
      <c r="C4327" s="1" t="n">
        <v>46093</v>
      </c>
      <c r="D4327" t="inlineStr">
        <is>
          <t>ÖSTERGÖTLANDS LÄN</t>
        </is>
      </c>
      <c r="E4327" t="inlineStr">
        <is>
          <t>FINSPÅNG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54568-2025</t>
        </is>
      </c>
      <c r="B4328" s="1" t="n">
        <v>45965.67278935185</v>
      </c>
      <c r="C4328" s="1" t="n">
        <v>46093</v>
      </c>
      <c r="D4328" t="inlineStr">
        <is>
          <t>ÖSTERGÖTLANDS LÄN</t>
        </is>
      </c>
      <c r="E4328" t="inlineStr">
        <is>
          <t>MOTALA</t>
        </is>
      </c>
      <c r="G4328" t="n">
        <v>8.4</v>
      </c>
      <c r="H4328" t="n">
        <v>0</v>
      </c>
      <c r="I4328" t="n">
        <v>0</v>
      </c>
      <c r="J4328" t="n">
        <v>0</v>
      </c>
      <c r="K4328" t="n">
        <v>0</v>
      </c>
      <c r="L4328" t="n">
        <v>0</v>
      </c>
      <c r="M4328" t="n">
        <v>0</v>
      </c>
      <c r="N4328" t="n">
        <v>0</v>
      </c>
      <c r="O4328" t="n">
        <v>0</v>
      </c>
      <c r="P4328" t="n">
        <v>0</v>
      </c>
      <c r="Q4328" t="n">
        <v>0</v>
      </c>
      <c r="R4328" s="2" t="inlineStr"/>
    </row>
    <row r="4329" ht="15" customHeight="1">
      <c r="A4329" t="inlineStr">
        <is>
          <t>A 54575-2025</t>
        </is>
      </c>
      <c r="B4329" s="1" t="n">
        <v>45965.68137731482</v>
      </c>
      <c r="C4329" s="1" t="n">
        <v>46093</v>
      </c>
      <c r="D4329" t="inlineStr">
        <is>
          <t>ÖSTERGÖTLANDS LÄN</t>
        </is>
      </c>
      <c r="E4329" t="inlineStr">
        <is>
          <t>YDRE</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7337-2023</t>
        </is>
      </c>
      <c r="B4330" s="1" t="n">
        <v>44971</v>
      </c>
      <c r="C4330" s="1" t="n">
        <v>46093</v>
      </c>
      <c r="D4330" t="inlineStr">
        <is>
          <t>ÖSTERGÖTLANDS LÄN</t>
        </is>
      </c>
      <c r="E4330" t="inlineStr">
        <is>
          <t>MJÖLBY</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22151-2024</t>
        </is>
      </c>
      <c r="B4331" s="1" t="n">
        <v>45445.39447916667</v>
      </c>
      <c r="C4331" s="1" t="n">
        <v>46093</v>
      </c>
      <c r="D4331" t="inlineStr">
        <is>
          <t>ÖSTERGÖTLANDS LÄN</t>
        </is>
      </c>
      <c r="E4331" t="inlineStr">
        <is>
          <t>KINDA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54547-2025</t>
        </is>
      </c>
      <c r="B4332" s="1" t="n">
        <v>45965.65302083334</v>
      </c>
      <c r="C4332" s="1" t="n">
        <v>46093</v>
      </c>
      <c r="D4332" t="inlineStr">
        <is>
          <t>ÖSTERGÖTLANDS LÄN</t>
        </is>
      </c>
      <c r="E4332" t="inlineStr">
        <is>
          <t>BOXHOLM</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54569-2025</t>
        </is>
      </c>
      <c r="B4333" s="1" t="n">
        <v>45965.67322916666</v>
      </c>
      <c r="C4333" s="1" t="n">
        <v>46093</v>
      </c>
      <c r="D4333" t="inlineStr">
        <is>
          <t>ÖSTERGÖTLANDS LÄN</t>
        </is>
      </c>
      <c r="E4333" t="inlineStr">
        <is>
          <t>YDRE</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7061-2025</t>
        </is>
      </c>
      <c r="B4334" s="1" t="n">
        <v>45701.65594907408</v>
      </c>
      <c r="C4334" s="1" t="n">
        <v>46093</v>
      </c>
      <c r="D4334" t="inlineStr">
        <is>
          <t>ÖSTERGÖTLANDS LÄN</t>
        </is>
      </c>
      <c r="E4334" t="inlineStr">
        <is>
          <t>YDRE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7066-2025</t>
        </is>
      </c>
      <c r="B4335" s="1" t="n">
        <v>45701.66253472222</v>
      </c>
      <c r="C4335" s="1" t="n">
        <v>46093</v>
      </c>
      <c r="D4335" t="inlineStr">
        <is>
          <t>ÖSTERGÖTLANDS LÄN</t>
        </is>
      </c>
      <c r="E4335" t="inlineStr">
        <is>
          <t>YDRE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3144-2022</t>
        </is>
      </c>
      <c r="B4336" s="1" t="n">
        <v>44582.54878472222</v>
      </c>
      <c r="C4336" s="1" t="n">
        <v>46093</v>
      </c>
      <c r="D4336" t="inlineStr">
        <is>
          <t>ÖSTERGÖTLANDS LÄN</t>
        </is>
      </c>
      <c r="E4336" t="inlineStr">
        <is>
          <t>ÅTVIDABERG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28291-2023</t>
        </is>
      </c>
      <c r="B4337" s="1" t="n">
        <v>45098</v>
      </c>
      <c r="C4337" s="1" t="n">
        <v>46093</v>
      </c>
      <c r="D4337" t="inlineStr">
        <is>
          <t>ÖSTERGÖTLANDS LÄN</t>
        </is>
      </c>
      <c r="E4337" t="inlineStr">
        <is>
          <t>KINDA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54329-2025</t>
        </is>
      </c>
      <c r="B4338" s="1" t="n">
        <v>45965.34706018519</v>
      </c>
      <c r="C4338" s="1" t="n">
        <v>46093</v>
      </c>
      <c r="D4338" t="inlineStr">
        <is>
          <t>ÖSTERGÖTLANDS LÄN</t>
        </is>
      </c>
      <c r="E4338" t="inlineStr">
        <is>
          <t>LINKÖPING</t>
        </is>
      </c>
      <c r="F4338" t="inlineStr">
        <is>
          <t>Sveaskog</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7071-2025</t>
        </is>
      </c>
      <c r="B4339" s="1" t="n">
        <v>45701.66480324074</v>
      </c>
      <c r="C4339" s="1" t="n">
        <v>46093</v>
      </c>
      <c r="D4339" t="inlineStr">
        <is>
          <t>ÖSTERGÖTLANDS LÄN</t>
        </is>
      </c>
      <c r="E4339" t="inlineStr">
        <is>
          <t>SÖDERKÖPING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1543-2022</t>
        </is>
      </c>
      <c r="B4340" s="1" t="n">
        <v>44573</v>
      </c>
      <c r="C4340" s="1" t="n">
        <v>46093</v>
      </c>
      <c r="D4340" t="inlineStr">
        <is>
          <t>ÖSTERGÖTLANDS LÄN</t>
        </is>
      </c>
      <c r="E4340" t="inlineStr">
        <is>
          <t>VALDEMARSVIK</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377-2022</t>
        </is>
      </c>
      <c r="B4341" s="1" t="n">
        <v>44565.64885416667</v>
      </c>
      <c r="C4341" s="1" t="n">
        <v>46093</v>
      </c>
      <c r="D4341" t="inlineStr">
        <is>
          <t>ÖSTERGÖTLANDS LÄN</t>
        </is>
      </c>
      <c r="E4341" t="inlineStr">
        <is>
          <t>ÅTVIDABERG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4754-2025</t>
        </is>
      </c>
      <c r="B4342" s="1" t="n">
        <v>45688.46846064815</v>
      </c>
      <c r="C4342" s="1" t="n">
        <v>46093</v>
      </c>
      <c r="D4342" t="inlineStr">
        <is>
          <t>ÖSTERGÖTLANDS LÄN</t>
        </is>
      </c>
      <c r="E4342" t="inlineStr">
        <is>
          <t>FINSPÅNG</t>
        </is>
      </c>
      <c r="F4342" t="inlineStr">
        <is>
          <t>Holmen skog AB</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54513-2025</t>
        </is>
      </c>
      <c r="B4343" s="1" t="n">
        <v>45965.62236111111</v>
      </c>
      <c r="C4343" s="1" t="n">
        <v>46093</v>
      </c>
      <c r="D4343" t="inlineStr">
        <is>
          <t>ÖSTERGÖTLANDS LÄN</t>
        </is>
      </c>
      <c r="E4343" t="inlineStr">
        <is>
          <t>YDRE</t>
        </is>
      </c>
      <c r="F4343" t="inlineStr">
        <is>
          <t>Sveaskog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54478-2025</t>
        </is>
      </c>
      <c r="B4344" s="1" t="n">
        <v>45965.57989583333</v>
      </c>
      <c r="C4344" s="1" t="n">
        <v>46093</v>
      </c>
      <c r="D4344" t="inlineStr">
        <is>
          <t>ÖSTERGÖTLANDS LÄN</t>
        </is>
      </c>
      <c r="E4344" t="inlineStr">
        <is>
          <t>BOXHOLM</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45456-2023</t>
        </is>
      </c>
      <c r="B4345" s="1" t="n">
        <v>45194.41381944445</v>
      </c>
      <c r="C4345" s="1" t="n">
        <v>46093</v>
      </c>
      <c r="D4345" t="inlineStr">
        <is>
          <t>ÖSTERGÖTLANDS LÄN</t>
        </is>
      </c>
      <c r="E4345" t="inlineStr">
        <is>
          <t>YDRE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45457-2023</t>
        </is>
      </c>
      <c r="B4346" s="1" t="n">
        <v>45194</v>
      </c>
      <c r="C4346" s="1" t="n">
        <v>46093</v>
      </c>
      <c r="D4346" t="inlineStr">
        <is>
          <t>ÖSTERGÖTLANDS LÄN</t>
        </is>
      </c>
      <c r="E4346" t="inlineStr">
        <is>
          <t>SÖDERKÖPING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35789-2022</t>
        </is>
      </c>
      <c r="B4347" s="1" t="n">
        <v>44801</v>
      </c>
      <c r="C4347" s="1" t="n">
        <v>46093</v>
      </c>
      <c r="D4347" t="inlineStr">
        <is>
          <t>ÖSTERGÖTLANDS LÄN</t>
        </is>
      </c>
      <c r="E4347" t="inlineStr">
        <is>
          <t>KINDA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54520-2025</t>
        </is>
      </c>
      <c r="B4348" s="1" t="n">
        <v>45965.62857638889</v>
      </c>
      <c r="C4348" s="1" t="n">
        <v>46093</v>
      </c>
      <c r="D4348" t="inlineStr">
        <is>
          <t>ÖSTERGÖTLANDS LÄN</t>
        </is>
      </c>
      <c r="E4348" t="inlineStr">
        <is>
          <t>YDRE</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44256-2022</t>
        </is>
      </c>
      <c r="B4349" s="1" t="n">
        <v>44839</v>
      </c>
      <c r="C4349" s="1" t="n">
        <v>46093</v>
      </c>
      <c r="D4349" t="inlineStr">
        <is>
          <t>ÖSTERGÖTLANDS LÄN</t>
        </is>
      </c>
      <c r="E4349" t="inlineStr">
        <is>
          <t>ÅTVIDABERG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50811-2022</t>
        </is>
      </c>
      <c r="B4350" s="1" t="n">
        <v>44867.47490740741</v>
      </c>
      <c r="C4350" s="1" t="n">
        <v>46093</v>
      </c>
      <c r="D4350" t="inlineStr">
        <is>
          <t>ÖSTERGÖTLANDS LÄN</t>
        </is>
      </c>
      <c r="E4350" t="inlineStr">
        <is>
          <t>FINSPÅNG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54555-2025</t>
        </is>
      </c>
      <c r="B4351" s="1" t="n">
        <v>45965.65871527778</v>
      </c>
      <c r="C4351" s="1" t="n">
        <v>46093</v>
      </c>
      <c r="D4351" t="inlineStr">
        <is>
          <t>ÖSTERGÖTLANDS LÄN</t>
        </is>
      </c>
      <c r="E4351" t="inlineStr">
        <is>
          <t>YDRE</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35152-2024</t>
        </is>
      </c>
      <c r="B4352" s="1" t="n">
        <v>45530.38082175926</v>
      </c>
      <c r="C4352" s="1" t="n">
        <v>46093</v>
      </c>
      <c r="D4352" t="inlineStr">
        <is>
          <t>ÖSTERGÖTLANDS LÄN</t>
        </is>
      </c>
      <c r="E4352" t="inlineStr">
        <is>
          <t>KINDA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55046-2025</t>
        </is>
      </c>
      <c r="B4353" s="1" t="n">
        <v>45967.66217592593</v>
      </c>
      <c r="C4353" s="1" t="n">
        <v>46093</v>
      </c>
      <c r="D4353" t="inlineStr">
        <is>
          <t>ÖSTERGÖTLANDS LÄN</t>
        </is>
      </c>
      <c r="E4353" t="inlineStr">
        <is>
          <t>YDRE</t>
        </is>
      </c>
      <c r="F4353" t="inlineStr">
        <is>
          <t>Övriga Aktiebolag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55037-2025</t>
        </is>
      </c>
      <c r="B4354" s="1" t="n">
        <v>45967.64871527778</v>
      </c>
      <c r="C4354" s="1" t="n">
        <v>46093</v>
      </c>
      <c r="D4354" t="inlineStr">
        <is>
          <t>ÖSTERGÖTLANDS LÄN</t>
        </is>
      </c>
      <c r="E4354" t="inlineStr">
        <is>
          <t>YDRE</t>
        </is>
      </c>
      <c r="F4354" t="inlineStr">
        <is>
          <t>Övriga Aktiebolag</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5840-2024</t>
        </is>
      </c>
      <c r="B4355" s="1" t="n">
        <v>45335.60512731481</v>
      </c>
      <c r="C4355" s="1" t="n">
        <v>46093</v>
      </c>
      <c r="D4355" t="inlineStr">
        <is>
          <t>ÖSTERGÖTLANDS LÄN</t>
        </is>
      </c>
      <c r="E4355" t="inlineStr">
        <is>
          <t>YDRE</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27977-2022</t>
        </is>
      </c>
      <c r="B4356" s="1" t="n">
        <v>44745</v>
      </c>
      <c r="C4356" s="1" t="n">
        <v>46093</v>
      </c>
      <c r="D4356" t="inlineStr">
        <is>
          <t>ÖSTERGÖTLANDS LÄN</t>
        </is>
      </c>
      <c r="E4356" t="inlineStr">
        <is>
          <t>ÅTVIDABERG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25356-2022</t>
        </is>
      </c>
      <c r="B4357" s="1" t="n">
        <v>44732</v>
      </c>
      <c r="C4357" s="1" t="n">
        <v>46093</v>
      </c>
      <c r="D4357" t="inlineStr">
        <is>
          <t>ÖSTERGÖTLANDS LÄN</t>
        </is>
      </c>
      <c r="E4357" t="inlineStr">
        <is>
          <t>FINSPÅNG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55156-2025</t>
        </is>
      </c>
      <c r="B4358" s="1" t="n">
        <v>45968.46388888889</v>
      </c>
      <c r="C4358" s="1" t="n">
        <v>46093</v>
      </c>
      <c r="D4358" t="inlineStr">
        <is>
          <t>ÖSTERGÖTLANDS LÄN</t>
        </is>
      </c>
      <c r="E4358" t="inlineStr">
        <is>
          <t>NORRKÖPING</t>
        </is>
      </c>
      <c r="F4358" t="inlineStr">
        <is>
          <t>Holmen skog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32302-2021</t>
        </is>
      </c>
      <c r="B4359" s="1" t="n">
        <v>44371</v>
      </c>
      <c r="C4359" s="1" t="n">
        <v>46093</v>
      </c>
      <c r="D4359" t="inlineStr">
        <is>
          <t>ÖSTERGÖTLANDS LÄN</t>
        </is>
      </c>
      <c r="E4359" t="inlineStr">
        <is>
          <t>ÅTVIDABERG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55612-2021</t>
        </is>
      </c>
      <c r="B4360" s="1" t="n">
        <v>44476.24972222222</v>
      </c>
      <c r="C4360" s="1" t="n">
        <v>46093</v>
      </c>
      <c r="D4360" t="inlineStr">
        <is>
          <t>ÖSTERGÖTLANDS LÄN</t>
        </is>
      </c>
      <c r="E4360" t="inlineStr">
        <is>
          <t>FINSPÅNG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26026-2023</t>
        </is>
      </c>
      <c r="B4361" s="1" t="n">
        <v>45091.30315972222</v>
      </c>
      <c r="C4361" s="1" t="n">
        <v>46093</v>
      </c>
      <c r="D4361" t="inlineStr">
        <is>
          <t>ÖSTERGÖTLANDS LÄN</t>
        </is>
      </c>
      <c r="E4361" t="inlineStr">
        <is>
          <t>YDRE</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61942-2021</t>
        </is>
      </c>
      <c r="B4362" s="1" t="n">
        <v>44502</v>
      </c>
      <c r="C4362" s="1" t="n">
        <v>46093</v>
      </c>
      <c r="D4362" t="inlineStr">
        <is>
          <t>ÖSTERGÖTLANDS LÄN</t>
        </is>
      </c>
      <c r="E4362" t="inlineStr">
        <is>
          <t>YDRE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29065-2021</t>
        </is>
      </c>
      <c r="B4363" s="1" t="n">
        <v>44358</v>
      </c>
      <c r="C4363" s="1" t="n">
        <v>46093</v>
      </c>
      <c r="D4363" t="inlineStr">
        <is>
          <t>ÖSTERGÖTLANDS LÄN</t>
        </is>
      </c>
      <c r="E4363" t="inlineStr">
        <is>
          <t>MOTALA</t>
        </is>
      </c>
      <c r="F4363" t="inlineStr">
        <is>
          <t>Allmännings- och besparingsskogar</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6022-2024</t>
        </is>
      </c>
      <c r="B4364" s="1" t="n">
        <v>45336.62203703704</v>
      </c>
      <c r="C4364" s="1" t="n">
        <v>46093</v>
      </c>
      <c r="D4364" t="inlineStr">
        <is>
          <t>ÖSTERGÖTLANDS LÄN</t>
        </is>
      </c>
      <c r="E4364" t="inlineStr">
        <is>
          <t>VALDEMARSVIK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29079-2021</t>
        </is>
      </c>
      <c r="B4365" s="1" t="n">
        <v>44358</v>
      </c>
      <c r="C4365" s="1" t="n">
        <v>46093</v>
      </c>
      <c r="D4365" t="inlineStr">
        <is>
          <t>ÖSTERGÖTLANDS LÄN</t>
        </is>
      </c>
      <c r="E4365" t="inlineStr">
        <is>
          <t>NORRKÖPING</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3011-2023</t>
        </is>
      </c>
      <c r="B4366" s="1" t="n">
        <v>44945</v>
      </c>
      <c r="C4366" s="1" t="n">
        <v>46093</v>
      </c>
      <c r="D4366" t="inlineStr">
        <is>
          <t>ÖSTERGÖTLANDS LÄN</t>
        </is>
      </c>
      <c r="E4366" t="inlineStr">
        <is>
          <t>LINKÖPING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42956-2023</t>
        </is>
      </c>
      <c r="B4367" s="1" t="n">
        <v>45182</v>
      </c>
      <c r="C4367" s="1" t="n">
        <v>46093</v>
      </c>
      <c r="D4367" t="inlineStr">
        <is>
          <t>ÖSTERGÖTLANDS LÄN</t>
        </is>
      </c>
      <c r="E4367" t="inlineStr">
        <is>
          <t>KINDA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54870-2025</t>
        </is>
      </c>
      <c r="B4368" s="1" t="n">
        <v>45966.87212962963</v>
      </c>
      <c r="C4368" s="1" t="n">
        <v>46093</v>
      </c>
      <c r="D4368" t="inlineStr">
        <is>
          <t>ÖSTERGÖTLANDS LÄN</t>
        </is>
      </c>
      <c r="E4368" t="inlineStr">
        <is>
          <t>KINDA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54867-2025</t>
        </is>
      </c>
      <c r="B4369" s="1" t="n">
        <v>45966.83594907408</v>
      </c>
      <c r="C4369" s="1" t="n">
        <v>46093</v>
      </c>
      <c r="D4369" t="inlineStr">
        <is>
          <t>ÖSTERGÖTLANDS LÄN</t>
        </is>
      </c>
      <c r="E4369" t="inlineStr">
        <is>
          <t>FINSPÅNG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3776-2023</t>
        </is>
      </c>
      <c r="B4370" s="1" t="n">
        <v>44949</v>
      </c>
      <c r="C4370" s="1" t="n">
        <v>46093</v>
      </c>
      <c r="D4370" t="inlineStr">
        <is>
          <t>ÖSTERGÖTLANDS LÄN</t>
        </is>
      </c>
      <c r="E4370" t="inlineStr">
        <is>
          <t>FINSPÅNG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3786-2023</t>
        </is>
      </c>
      <c r="B4371" s="1" t="n">
        <v>44951.5440625</v>
      </c>
      <c r="C4371" s="1" t="n">
        <v>46093</v>
      </c>
      <c r="D4371" t="inlineStr">
        <is>
          <t>ÖSTERGÖTLANDS LÄN</t>
        </is>
      </c>
      <c r="E4371" t="inlineStr">
        <is>
          <t>SÖDERKÖPING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55208-2025</t>
        </is>
      </c>
      <c r="B4372" s="1" t="n">
        <v>45968.57751157408</v>
      </c>
      <c r="C4372" s="1" t="n">
        <v>46093</v>
      </c>
      <c r="D4372" t="inlineStr">
        <is>
          <t>ÖSTERGÖTLANDS LÄN</t>
        </is>
      </c>
      <c r="E4372" t="inlineStr">
        <is>
          <t>NORRKÖPING</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6837-2023</t>
        </is>
      </c>
      <c r="B4373" s="1" t="n">
        <v>44967</v>
      </c>
      <c r="C4373" s="1" t="n">
        <v>46093</v>
      </c>
      <c r="D4373" t="inlineStr">
        <is>
          <t>ÖSTERGÖTLANDS LÄN</t>
        </is>
      </c>
      <c r="E4373" t="inlineStr">
        <is>
          <t>KINDA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6884-2023</t>
        </is>
      </c>
      <c r="B4374" s="1" t="n">
        <v>44967</v>
      </c>
      <c r="C4374" s="1" t="n">
        <v>46093</v>
      </c>
      <c r="D4374" t="inlineStr">
        <is>
          <t>ÖSTERGÖTLANDS LÄN</t>
        </is>
      </c>
      <c r="E4374" t="inlineStr">
        <is>
          <t>ÅTVIDABERG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15500-2023</t>
        </is>
      </c>
      <c r="B4375" s="1" t="n">
        <v>45020.48318287037</v>
      </c>
      <c r="C4375" s="1" t="n">
        <v>46093</v>
      </c>
      <c r="D4375" t="inlineStr">
        <is>
          <t>ÖSTERGÖTLANDS LÄN</t>
        </is>
      </c>
      <c r="E4375" t="inlineStr">
        <is>
          <t>BOXHOLM</t>
        </is>
      </c>
      <c r="G4375" t="n">
        <v>0</v>
      </c>
      <c r="H4375" t="n">
        <v>0</v>
      </c>
      <c r="I4375" t="n">
        <v>0</v>
      </c>
      <c r="J4375" t="n">
        <v>0</v>
      </c>
      <c r="K4375" t="n">
        <v>0</v>
      </c>
      <c r="L4375" t="n">
        <v>0</v>
      </c>
      <c r="M4375" t="n">
        <v>0</v>
      </c>
      <c r="N4375" t="n">
        <v>0</v>
      </c>
      <c r="O4375" t="n">
        <v>0</v>
      </c>
      <c r="P4375" t="n">
        <v>0</v>
      </c>
      <c r="Q4375" t="n">
        <v>0</v>
      </c>
      <c r="R4375" s="2" t="inlineStr"/>
    </row>
    <row r="4376" ht="15" customHeight="1">
      <c r="A4376" t="inlineStr">
        <is>
          <t>A 55000-2025</t>
        </is>
      </c>
      <c r="B4376" s="1" t="n">
        <v>45967.60479166666</v>
      </c>
      <c r="C4376" s="1" t="n">
        <v>46093</v>
      </c>
      <c r="D4376" t="inlineStr">
        <is>
          <t>ÖSTERGÖTLANDS LÄN</t>
        </is>
      </c>
      <c r="E4376" t="inlineStr">
        <is>
          <t>KINDA</t>
        </is>
      </c>
      <c r="F4376" t="inlineStr">
        <is>
          <t>Övriga Aktiebolag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16607-2023</t>
        </is>
      </c>
      <c r="B4377" s="1" t="n">
        <v>45030</v>
      </c>
      <c r="C4377" s="1" t="n">
        <v>46093</v>
      </c>
      <c r="D4377" t="inlineStr">
        <is>
          <t>ÖSTERGÖTLANDS LÄN</t>
        </is>
      </c>
      <c r="E4377" t="inlineStr">
        <is>
          <t>KINDA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16609-2023</t>
        </is>
      </c>
      <c r="B4378" s="1" t="n">
        <v>45030</v>
      </c>
      <c r="C4378" s="1" t="n">
        <v>46093</v>
      </c>
      <c r="D4378" t="inlineStr">
        <is>
          <t>ÖSTERGÖTLANDS LÄN</t>
        </is>
      </c>
      <c r="E4378" t="inlineStr">
        <is>
          <t>KINDA</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16610-2023</t>
        </is>
      </c>
      <c r="B4379" s="1" t="n">
        <v>45030</v>
      </c>
      <c r="C4379" s="1" t="n">
        <v>46093</v>
      </c>
      <c r="D4379" t="inlineStr">
        <is>
          <t>ÖSTERGÖTLANDS LÄN</t>
        </is>
      </c>
      <c r="E4379" t="inlineStr">
        <is>
          <t>KINDA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11140-2023</t>
        </is>
      </c>
      <c r="B4380" s="1" t="n">
        <v>44992.49708333334</v>
      </c>
      <c r="C4380" s="1" t="n">
        <v>46093</v>
      </c>
      <c r="D4380" t="inlineStr">
        <is>
          <t>ÖSTERGÖTLANDS LÄN</t>
        </is>
      </c>
      <c r="E4380" t="inlineStr">
        <is>
          <t>FINSPÅNG</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24748-2023</t>
        </is>
      </c>
      <c r="B4381" s="1" t="n">
        <v>45078</v>
      </c>
      <c r="C4381" s="1" t="n">
        <v>46093</v>
      </c>
      <c r="D4381" t="inlineStr">
        <is>
          <t>ÖSTERGÖTLANDS LÄN</t>
        </is>
      </c>
      <c r="E4381" t="inlineStr">
        <is>
          <t>KINDA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14031-2023</t>
        </is>
      </c>
      <c r="B4382" s="1" t="n">
        <v>45008.62458333333</v>
      </c>
      <c r="C4382" s="1" t="n">
        <v>46093</v>
      </c>
      <c r="D4382" t="inlineStr">
        <is>
          <t>ÖSTERGÖTLANDS LÄN</t>
        </is>
      </c>
      <c r="E4382" t="inlineStr">
        <is>
          <t>NORRKÖPING</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55207-2025</t>
        </is>
      </c>
      <c r="B4383" s="1" t="n">
        <v>45968.57597222222</v>
      </c>
      <c r="C4383" s="1" t="n">
        <v>46093</v>
      </c>
      <c r="D4383" t="inlineStr">
        <is>
          <t>ÖSTERGÖTLANDS LÄN</t>
        </is>
      </c>
      <c r="E4383" t="inlineStr">
        <is>
          <t>NORRKÖPING</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9233-2023</t>
        </is>
      </c>
      <c r="B4384" s="1" t="n">
        <v>44980</v>
      </c>
      <c r="C4384" s="1" t="n">
        <v>46093</v>
      </c>
      <c r="D4384" t="inlineStr">
        <is>
          <t>ÖSTERGÖTLANDS LÄN</t>
        </is>
      </c>
      <c r="E4384" t="inlineStr">
        <is>
          <t>NORRKÖPING</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42137-2024</t>
        </is>
      </c>
      <c r="B4385" s="1" t="n">
        <v>45562.4177662037</v>
      </c>
      <c r="C4385" s="1" t="n">
        <v>46093</v>
      </c>
      <c r="D4385" t="inlineStr">
        <is>
          <t>ÖSTERGÖTLANDS LÄN</t>
        </is>
      </c>
      <c r="E4385" t="inlineStr">
        <is>
          <t>MOTALA</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45442-2024</t>
        </is>
      </c>
      <c r="B4386" s="1" t="n">
        <v>45576.64189814815</v>
      </c>
      <c r="C4386" s="1" t="n">
        <v>46093</v>
      </c>
      <c r="D4386" t="inlineStr">
        <is>
          <t>ÖSTERGÖTLANDS LÄN</t>
        </is>
      </c>
      <c r="E4386" t="inlineStr">
        <is>
          <t>LINKÖPING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54609-2021</t>
        </is>
      </c>
      <c r="B4387" s="1" t="n">
        <v>44473</v>
      </c>
      <c r="C4387" s="1" t="n">
        <v>46093</v>
      </c>
      <c r="D4387" t="inlineStr">
        <is>
          <t>ÖSTERGÖTLANDS LÄN</t>
        </is>
      </c>
      <c r="E4387" t="inlineStr">
        <is>
          <t>FINSPÅNG</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9176-2025</t>
        </is>
      </c>
      <c r="B4388" s="1" t="n">
        <v>45714.41366898148</v>
      </c>
      <c r="C4388" s="1" t="n">
        <v>46093</v>
      </c>
      <c r="D4388" t="inlineStr">
        <is>
          <t>ÖSTERGÖTLANDS LÄN</t>
        </is>
      </c>
      <c r="E4388" t="inlineStr">
        <is>
          <t>MJÖLBY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55109-2025</t>
        </is>
      </c>
      <c r="B4389" s="1" t="n">
        <v>45968.37731481482</v>
      </c>
      <c r="C4389" s="1" t="n">
        <v>46093</v>
      </c>
      <c r="D4389" t="inlineStr">
        <is>
          <t>ÖSTERGÖTLANDS LÄN</t>
        </is>
      </c>
      <c r="E4389" t="inlineStr">
        <is>
          <t>LINKÖPING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45292-2024</t>
        </is>
      </c>
      <c r="B4390" s="1" t="n">
        <v>45576.39782407408</v>
      </c>
      <c r="C4390" s="1" t="n">
        <v>46093</v>
      </c>
      <c r="D4390" t="inlineStr">
        <is>
          <t>ÖSTERGÖTLANDS LÄN</t>
        </is>
      </c>
      <c r="E4390" t="inlineStr">
        <is>
          <t>MJÖLBY</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7317-2025</t>
        </is>
      </c>
      <c r="B4391" s="1" t="n">
        <v>45702.76590277778</v>
      </c>
      <c r="C4391" s="1" t="n">
        <v>46093</v>
      </c>
      <c r="D4391" t="inlineStr">
        <is>
          <t>ÖSTERGÖTLANDS LÄN</t>
        </is>
      </c>
      <c r="E4391" t="inlineStr">
        <is>
          <t>NORRKÖPING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7354-2025</t>
        </is>
      </c>
      <c r="B4392" s="1" t="n">
        <v>45704.41174768518</v>
      </c>
      <c r="C4392" s="1" t="n">
        <v>46093</v>
      </c>
      <c r="D4392" t="inlineStr">
        <is>
          <t>ÖSTERGÖTLANDS LÄN</t>
        </is>
      </c>
      <c r="E4392" t="inlineStr">
        <is>
          <t>LINKÖPING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11168-2023</t>
        </is>
      </c>
      <c r="B4393" s="1" t="n">
        <v>44992.55997685185</v>
      </c>
      <c r="C4393" s="1" t="n">
        <v>46093</v>
      </c>
      <c r="D4393" t="inlineStr">
        <is>
          <t>ÖSTERGÖTLANDS LÄN</t>
        </is>
      </c>
      <c r="E4393" t="inlineStr">
        <is>
          <t>MOTALA</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11193-2023</t>
        </is>
      </c>
      <c r="B4394" s="1" t="n">
        <v>44992</v>
      </c>
      <c r="C4394" s="1" t="n">
        <v>46093</v>
      </c>
      <c r="D4394" t="inlineStr">
        <is>
          <t>ÖSTERGÖTLANDS LÄN</t>
        </is>
      </c>
      <c r="E4394" t="inlineStr">
        <is>
          <t>ÖDESHÖG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40194-2022</t>
        </is>
      </c>
      <c r="B4395" s="1" t="n">
        <v>44820.59762731481</v>
      </c>
      <c r="C4395" s="1" t="n">
        <v>46093</v>
      </c>
      <c r="D4395" t="inlineStr">
        <is>
          <t>ÖSTERGÖTLANDS LÄN</t>
        </is>
      </c>
      <c r="E4395" t="inlineStr">
        <is>
          <t>FINSPÅNG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55165-2025</t>
        </is>
      </c>
      <c r="B4396" s="1" t="n">
        <v>45968.48194444444</v>
      </c>
      <c r="C4396" s="1" t="n">
        <v>46093</v>
      </c>
      <c r="D4396" t="inlineStr">
        <is>
          <t>ÖSTERGÖTLANDS LÄN</t>
        </is>
      </c>
      <c r="E4396" t="inlineStr">
        <is>
          <t>LINKÖPING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14611-2023</t>
        </is>
      </c>
      <c r="B4397" s="1" t="n">
        <v>45013.63658564815</v>
      </c>
      <c r="C4397" s="1" t="n">
        <v>46093</v>
      </c>
      <c r="D4397" t="inlineStr">
        <is>
          <t>ÖSTERGÖTLANDS LÄN</t>
        </is>
      </c>
      <c r="E4397" t="inlineStr">
        <is>
          <t>NORRKÖPING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12274-2022</t>
        </is>
      </c>
      <c r="B4398" s="1" t="n">
        <v>44637</v>
      </c>
      <c r="C4398" s="1" t="n">
        <v>46093</v>
      </c>
      <c r="D4398" t="inlineStr">
        <is>
          <t>ÖSTERGÖTLANDS LÄN</t>
        </is>
      </c>
      <c r="E4398" t="inlineStr">
        <is>
          <t>MOTALA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7514-2025</t>
        </is>
      </c>
      <c r="B4399" s="1" t="n">
        <v>45705.51585648148</v>
      </c>
      <c r="C4399" s="1" t="n">
        <v>46093</v>
      </c>
      <c r="D4399" t="inlineStr">
        <is>
          <t>ÖSTERGÖTLANDS LÄN</t>
        </is>
      </c>
      <c r="E4399" t="inlineStr">
        <is>
          <t>YDRE</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7529-2025</t>
        </is>
      </c>
      <c r="B4400" s="1" t="n">
        <v>45705.55550925926</v>
      </c>
      <c r="C4400" s="1" t="n">
        <v>46093</v>
      </c>
      <c r="D4400" t="inlineStr">
        <is>
          <t>ÖSTERGÖTLANDS LÄN</t>
        </is>
      </c>
      <c r="E4400" t="inlineStr">
        <is>
          <t>FINSPÅNG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7531-2025</t>
        </is>
      </c>
      <c r="B4401" s="1" t="n">
        <v>45705.55886574074</v>
      </c>
      <c r="C4401" s="1" t="n">
        <v>46093</v>
      </c>
      <c r="D4401" t="inlineStr">
        <is>
          <t>ÖSTERGÖTLANDS LÄN</t>
        </is>
      </c>
      <c r="E4401" t="inlineStr">
        <is>
          <t>FINSPÅNG</t>
        </is>
      </c>
      <c r="F4401" t="inlineStr">
        <is>
          <t>Holmen skog AB</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55102-2025</t>
        </is>
      </c>
      <c r="B4402" s="1" t="n">
        <v>45968.35410879629</v>
      </c>
      <c r="C4402" s="1" t="n">
        <v>46093</v>
      </c>
      <c r="D4402" t="inlineStr">
        <is>
          <t>ÖSTERGÖTLANDS LÄN</t>
        </is>
      </c>
      <c r="E4402" t="inlineStr">
        <is>
          <t>LINKÖPING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3415-2023</t>
        </is>
      </c>
      <c r="B4403" s="1" t="n">
        <v>44949.55903935185</v>
      </c>
      <c r="C4403" s="1" t="n">
        <v>46093</v>
      </c>
      <c r="D4403" t="inlineStr">
        <is>
          <t>ÖSTERGÖTLANDS LÄN</t>
        </is>
      </c>
      <c r="E4403" t="inlineStr">
        <is>
          <t>FINSPÅNG</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55132-2025</t>
        </is>
      </c>
      <c r="B4404" s="1" t="n">
        <v>45968.41912037037</v>
      </c>
      <c r="C4404" s="1" t="n">
        <v>46093</v>
      </c>
      <c r="D4404" t="inlineStr">
        <is>
          <t>ÖSTERGÖTLANDS LÄN</t>
        </is>
      </c>
      <c r="E4404" t="inlineStr">
        <is>
          <t>LINKÖPING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3432-2023</t>
        </is>
      </c>
      <c r="B4405" s="1" t="n">
        <v>44949</v>
      </c>
      <c r="C4405" s="1" t="n">
        <v>46093</v>
      </c>
      <c r="D4405" t="inlineStr">
        <is>
          <t>ÖSTERGÖTLANDS LÄN</t>
        </is>
      </c>
      <c r="E4405" t="inlineStr">
        <is>
          <t>LINKÖPING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3436-2023</t>
        </is>
      </c>
      <c r="B4406" s="1" t="n">
        <v>44949.5928587963</v>
      </c>
      <c r="C4406" s="1" t="n">
        <v>46093</v>
      </c>
      <c r="D4406" t="inlineStr">
        <is>
          <t>ÖSTERGÖTLANDS LÄN</t>
        </is>
      </c>
      <c r="E4406" t="inlineStr">
        <is>
          <t>FINSPÅNG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55703-2025</t>
        </is>
      </c>
      <c r="B4407" s="1" t="n">
        <v>45972.46515046297</v>
      </c>
      <c r="C4407" s="1" t="n">
        <v>46093</v>
      </c>
      <c r="D4407" t="inlineStr">
        <is>
          <t>ÖSTERGÖTLANDS LÄN</t>
        </is>
      </c>
      <c r="E4407" t="inlineStr">
        <is>
          <t>VALDEMARSVIK</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4282-2025</t>
        </is>
      </c>
      <c r="B4408" s="1" t="n">
        <v>45685</v>
      </c>
      <c r="C4408" s="1" t="n">
        <v>46093</v>
      </c>
      <c r="D4408" t="inlineStr">
        <is>
          <t>ÖSTERGÖTLANDS LÄN</t>
        </is>
      </c>
      <c r="E4408" t="inlineStr">
        <is>
          <t>SÖDERKÖPING</t>
        </is>
      </c>
      <c r="F4408" t="inlineStr">
        <is>
          <t>Kommuner</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55423-2025</t>
        </is>
      </c>
      <c r="B4409" s="1" t="n">
        <v>45971.47230324074</v>
      </c>
      <c r="C4409" s="1" t="n">
        <v>46093</v>
      </c>
      <c r="D4409" t="inlineStr">
        <is>
          <t>ÖSTERGÖTLANDS LÄN</t>
        </is>
      </c>
      <c r="E4409" t="inlineStr">
        <is>
          <t>MOTALA</t>
        </is>
      </c>
      <c r="F4409" t="inlineStr">
        <is>
          <t>Sveaskog</t>
        </is>
      </c>
      <c r="G4409" t="n">
        <v>23.3</v>
      </c>
      <c r="H4409" t="n">
        <v>0</v>
      </c>
      <c r="I4409" t="n">
        <v>0</v>
      </c>
      <c r="J4409" t="n">
        <v>0</v>
      </c>
      <c r="K4409" t="n">
        <v>0</v>
      </c>
      <c r="L4409" t="n">
        <v>0</v>
      </c>
      <c r="M4409" t="n">
        <v>0</v>
      </c>
      <c r="N4409" t="n">
        <v>0</v>
      </c>
      <c r="O4409" t="n">
        <v>0</v>
      </c>
      <c r="P4409" t="n">
        <v>0</v>
      </c>
      <c r="Q4409" t="n">
        <v>0</v>
      </c>
      <c r="R4409" s="2" t="inlineStr"/>
    </row>
    <row r="4410" ht="15" customHeight="1">
      <c r="A4410" t="inlineStr">
        <is>
          <t>A 8813-2023</t>
        </is>
      </c>
      <c r="B4410" s="1" t="n">
        <v>44978.63537037037</v>
      </c>
      <c r="C4410" s="1" t="n">
        <v>46093</v>
      </c>
      <c r="D4410" t="inlineStr">
        <is>
          <t>ÖSTERGÖTLANDS LÄN</t>
        </is>
      </c>
      <c r="E4410" t="inlineStr">
        <is>
          <t>KINDA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8515-2022</t>
        </is>
      </c>
      <c r="B4411" s="1" t="n">
        <v>44613</v>
      </c>
      <c r="C4411" s="1" t="n">
        <v>46093</v>
      </c>
      <c r="D4411" t="inlineStr">
        <is>
          <t>ÖSTERGÖTLANDS LÄN</t>
        </is>
      </c>
      <c r="E4411" t="inlineStr">
        <is>
          <t>ÖDESHÖG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8528-2022</t>
        </is>
      </c>
      <c r="B4412" s="1" t="n">
        <v>44613.45770833334</v>
      </c>
      <c r="C4412" s="1" t="n">
        <v>46093</v>
      </c>
      <c r="D4412" t="inlineStr">
        <is>
          <t>ÖSTERGÖTLANDS LÄN</t>
        </is>
      </c>
      <c r="E4412" t="inlineStr">
        <is>
          <t>FINSPÅNG</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63935-2021</t>
        </is>
      </c>
      <c r="B4413" s="1" t="n">
        <v>44509</v>
      </c>
      <c r="C4413" s="1" t="n">
        <v>46093</v>
      </c>
      <c r="D4413" t="inlineStr">
        <is>
          <t>ÖSTERGÖTLANDS LÄN</t>
        </is>
      </c>
      <c r="E4413" t="inlineStr">
        <is>
          <t>LINKÖPING</t>
        </is>
      </c>
      <c r="F4413" t="inlineStr">
        <is>
          <t>Övriga statliga verk och myndigheter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60472-2022</t>
        </is>
      </c>
      <c r="B4414" s="1" t="n">
        <v>44911.41037037037</v>
      </c>
      <c r="C4414" s="1" t="n">
        <v>46093</v>
      </c>
      <c r="D4414" t="inlineStr">
        <is>
          <t>ÖSTERGÖTLANDS LÄN</t>
        </is>
      </c>
      <c r="E4414" t="inlineStr">
        <is>
          <t>LINKÖPING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13352-2022</t>
        </is>
      </c>
      <c r="B4415" s="1" t="n">
        <v>44645</v>
      </c>
      <c r="C4415" s="1" t="n">
        <v>46093</v>
      </c>
      <c r="D4415" t="inlineStr">
        <is>
          <t>ÖSTERGÖTLANDS LÄN</t>
        </is>
      </c>
      <c r="E4415" t="inlineStr">
        <is>
          <t>KINDA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12643-2022</t>
        </is>
      </c>
      <c r="B4416" s="1" t="n">
        <v>44641</v>
      </c>
      <c r="C4416" s="1" t="n">
        <v>46093</v>
      </c>
      <c r="D4416" t="inlineStr">
        <is>
          <t>ÖSTERGÖTLANDS LÄN</t>
        </is>
      </c>
      <c r="E4416" t="inlineStr">
        <is>
          <t>MOTALA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12720-2022</t>
        </is>
      </c>
      <c r="B4417" s="1" t="n">
        <v>44641</v>
      </c>
      <c r="C4417" s="1" t="n">
        <v>46093</v>
      </c>
      <c r="D4417" t="inlineStr">
        <is>
          <t>ÖSTERGÖTLANDS LÄN</t>
        </is>
      </c>
      <c r="E4417" t="inlineStr">
        <is>
          <t>LINKÖPING</t>
        </is>
      </c>
      <c r="F4417" t="inlineStr">
        <is>
          <t>Övriga Aktiebolag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25486-2021</t>
        </is>
      </c>
      <c r="B4418" s="1" t="n">
        <v>44342</v>
      </c>
      <c r="C4418" s="1" t="n">
        <v>46093</v>
      </c>
      <c r="D4418" t="inlineStr">
        <is>
          <t>ÖSTERGÖTLANDS LÄN</t>
        </is>
      </c>
      <c r="E4418" t="inlineStr">
        <is>
          <t>ÅTVIDABERG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52223-2021</t>
        </is>
      </c>
      <c r="B4419" s="1" t="n">
        <v>44463</v>
      </c>
      <c r="C4419" s="1" t="n">
        <v>46093</v>
      </c>
      <c r="D4419" t="inlineStr">
        <is>
          <t>ÖSTERGÖTLANDS LÄN</t>
        </is>
      </c>
      <c r="E4419" t="inlineStr">
        <is>
          <t>VALDEMARSVIK</t>
        </is>
      </c>
      <c r="F4419" t="inlineStr">
        <is>
          <t>Övriga Aktiebolag</t>
        </is>
      </c>
      <c r="G4419" t="n">
        <v>10.8</v>
      </c>
      <c r="H4419" t="n">
        <v>0</v>
      </c>
      <c r="I4419" t="n">
        <v>0</v>
      </c>
      <c r="J4419" t="n">
        <v>0</v>
      </c>
      <c r="K4419" t="n">
        <v>0</v>
      </c>
      <c r="L4419" t="n">
        <v>0</v>
      </c>
      <c r="M4419" t="n">
        <v>0</v>
      </c>
      <c r="N4419" t="n">
        <v>0</v>
      </c>
      <c r="O4419" t="n">
        <v>0</v>
      </c>
      <c r="P4419" t="n">
        <v>0</v>
      </c>
      <c r="Q4419" t="n">
        <v>0</v>
      </c>
      <c r="R4419" s="2" t="inlineStr"/>
    </row>
    <row r="4420" ht="15" customHeight="1">
      <c r="A4420" t="inlineStr">
        <is>
          <t>A 50051-2023</t>
        </is>
      </c>
      <c r="B4420" s="1" t="n">
        <v>45215.50618055555</v>
      </c>
      <c r="C4420" s="1" t="n">
        <v>46093</v>
      </c>
      <c r="D4420" t="inlineStr">
        <is>
          <t>ÖSTERGÖTLANDS LÄN</t>
        </is>
      </c>
      <c r="E4420" t="inlineStr">
        <is>
          <t>SÖDERKÖPING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55531-2025</t>
        </is>
      </c>
      <c r="B4421" s="1" t="n">
        <v>45971.62304398148</v>
      </c>
      <c r="C4421" s="1" t="n">
        <v>46093</v>
      </c>
      <c r="D4421" t="inlineStr">
        <is>
          <t>ÖSTERGÖTLANDS LÄN</t>
        </is>
      </c>
      <c r="E4421" t="inlineStr">
        <is>
          <t>KINDA</t>
        </is>
      </c>
      <c r="F4421" t="inlineStr">
        <is>
          <t>Övriga Aktiebolag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8042-2025</t>
        </is>
      </c>
      <c r="B4422" s="1" t="n">
        <v>45707.60079861111</v>
      </c>
      <c r="C4422" s="1" t="n">
        <v>46093</v>
      </c>
      <c r="D4422" t="inlineStr">
        <is>
          <t>ÖSTERGÖTLANDS LÄN</t>
        </is>
      </c>
      <c r="E4422" t="inlineStr">
        <is>
          <t>ÖDESHÖG</t>
        </is>
      </c>
      <c r="G4422" t="n">
        <v>14.5</v>
      </c>
      <c r="H4422" t="n">
        <v>0</v>
      </c>
      <c r="I4422" t="n">
        <v>0</v>
      </c>
      <c r="J4422" t="n">
        <v>0</v>
      </c>
      <c r="K4422" t="n">
        <v>0</v>
      </c>
      <c r="L4422" t="n">
        <v>0</v>
      </c>
      <c r="M4422" t="n">
        <v>0</v>
      </c>
      <c r="N4422" t="n">
        <v>0</v>
      </c>
      <c r="O4422" t="n">
        <v>0</v>
      </c>
      <c r="P4422" t="n">
        <v>0</v>
      </c>
      <c r="Q4422" t="n">
        <v>0</v>
      </c>
      <c r="R4422" s="2" t="inlineStr"/>
    </row>
    <row r="4423" ht="15" customHeight="1">
      <c r="A4423" t="inlineStr">
        <is>
          <t>A 8079-2025</t>
        </is>
      </c>
      <c r="B4423" s="1" t="n">
        <v>45707.65875</v>
      </c>
      <c r="C4423" s="1" t="n">
        <v>46093</v>
      </c>
      <c r="D4423" t="inlineStr">
        <is>
          <t>ÖSTERGÖTLANDS LÄN</t>
        </is>
      </c>
      <c r="E4423" t="inlineStr">
        <is>
          <t>BOXHOLM</t>
        </is>
      </c>
      <c r="F4423" t="inlineStr">
        <is>
          <t>Allmännings- och besparingsskogar</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8081-2025</t>
        </is>
      </c>
      <c r="B4424" s="1" t="n">
        <v>45707.6619212963</v>
      </c>
      <c r="C4424" s="1" t="n">
        <v>46093</v>
      </c>
      <c r="D4424" t="inlineStr">
        <is>
          <t>ÖSTERGÖTLANDS LÄN</t>
        </is>
      </c>
      <c r="E4424" t="inlineStr">
        <is>
          <t>BOXHOLM</t>
        </is>
      </c>
      <c r="F4424" t="inlineStr">
        <is>
          <t>Allmännings- och besparingsskogar</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8088-2025</t>
        </is>
      </c>
      <c r="B4425" s="1" t="n">
        <v>45707.67384259259</v>
      </c>
      <c r="C4425" s="1" t="n">
        <v>46093</v>
      </c>
      <c r="D4425" t="inlineStr">
        <is>
          <t>ÖSTERGÖTLANDS LÄN</t>
        </is>
      </c>
      <c r="E4425" t="inlineStr">
        <is>
          <t>YDRE</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20720-2025</t>
        </is>
      </c>
      <c r="B4426" s="1" t="n">
        <v>45776.49586805556</v>
      </c>
      <c r="C4426" s="1" t="n">
        <v>46093</v>
      </c>
      <c r="D4426" t="inlineStr">
        <is>
          <t>ÖSTERGÖTLANDS LÄN</t>
        </is>
      </c>
      <c r="E4426" t="inlineStr">
        <is>
          <t>ÖDESHÖG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60244-2023</t>
        </is>
      </c>
      <c r="B4427" s="1" t="n">
        <v>45257</v>
      </c>
      <c r="C4427" s="1" t="n">
        <v>46093</v>
      </c>
      <c r="D4427" t="inlineStr">
        <is>
          <t>ÖSTERGÖTLANDS LÄN</t>
        </is>
      </c>
      <c r="E4427" t="inlineStr">
        <is>
          <t>YDRE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55292-2025</t>
        </is>
      </c>
      <c r="B4428" s="1" t="n">
        <v>45969.36766203704</v>
      </c>
      <c r="C4428" s="1" t="n">
        <v>46093</v>
      </c>
      <c r="D4428" t="inlineStr">
        <is>
          <t>ÖSTERGÖTLANDS LÄN</t>
        </is>
      </c>
      <c r="E4428" t="inlineStr">
        <is>
          <t>FINSPÅNG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21293-2021</t>
        </is>
      </c>
      <c r="B4429" s="1" t="n">
        <v>44320.65725694445</v>
      </c>
      <c r="C4429" s="1" t="n">
        <v>46093</v>
      </c>
      <c r="D4429" t="inlineStr">
        <is>
          <t>ÖSTERGÖTLANDS LÄN</t>
        </is>
      </c>
      <c r="E4429" t="inlineStr">
        <is>
          <t>KINDA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15855-2025</t>
        </is>
      </c>
      <c r="B4430" s="1" t="n">
        <v>45749.3371875</v>
      </c>
      <c r="C4430" s="1" t="n">
        <v>46093</v>
      </c>
      <c r="D4430" t="inlineStr">
        <is>
          <t>ÖSTERGÖTLANDS LÄN</t>
        </is>
      </c>
      <c r="E4430" t="inlineStr">
        <is>
          <t>FINSPÅNG</t>
        </is>
      </c>
      <c r="F4430" t="inlineStr">
        <is>
          <t>Holmen skog AB</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41367-2023</t>
        </is>
      </c>
      <c r="B4431" s="1" t="n">
        <v>45174</v>
      </c>
      <c r="C4431" s="1" t="n">
        <v>46093</v>
      </c>
      <c r="D4431" t="inlineStr">
        <is>
          <t>ÖSTERGÖTLANDS LÄN</t>
        </is>
      </c>
      <c r="E4431" t="inlineStr">
        <is>
          <t>NORRKÖPING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41375-2023</t>
        </is>
      </c>
      <c r="B4432" s="1" t="n">
        <v>45174.87439814815</v>
      </c>
      <c r="C4432" s="1" t="n">
        <v>46093</v>
      </c>
      <c r="D4432" t="inlineStr">
        <is>
          <t>ÖSTERGÖTLANDS LÄN</t>
        </is>
      </c>
      <c r="E4432" t="inlineStr">
        <is>
          <t>NORRKÖPING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39123-2021</t>
        </is>
      </c>
      <c r="B4433" s="1" t="n">
        <v>44412</v>
      </c>
      <c r="C4433" s="1" t="n">
        <v>46093</v>
      </c>
      <c r="D4433" t="inlineStr">
        <is>
          <t>ÖSTERGÖTLANDS LÄN</t>
        </is>
      </c>
      <c r="E4433" t="inlineStr">
        <is>
          <t>ÅTVIDABERG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4624-2022</t>
        </is>
      </c>
      <c r="B4434" s="1" t="n">
        <v>44592</v>
      </c>
      <c r="C4434" s="1" t="n">
        <v>46093</v>
      </c>
      <c r="D4434" t="inlineStr">
        <is>
          <t>ÖSTERGÖTLANDS LÄN</t>
        </is>
      </c>
      <c r="E4434" t="inlineStr">
        <is>
          <t>YDRE</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5656-2023</t>
        </is>
      </c>
      <c r="B4435" s="1" t="n">
        <v>44960.61972222223</v>
      </c>
      <c r="C4435" s="1" t="n">
        <v>46093</v>
      </c>
      <c r="D4435" t="inlineStr">
        <is>
          <t>ÖSTERGÖTLANDS LÄN</t>
        </is>
      </c>
      <c r="E4435" t="inlineStr">
        <is>
          <t>FINSPÅNG</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6733-2023</t>
        </is>
      </c>
      <c r="B4436" s="1" t="n">
        <v>44966.73841435185</v>
      </c>
      <c r="C4436" s="1" t="n">
        <v>46093</v>
      </c>
      <c r="D4436" t="inlineStr">
        <is>
          <t>ÖSTERGÖTLANDS LÄN</t>
        </is>
      </c>
      <c r="E4436" t="inlineStr">
        <is>
          <t>FINSPÅNG</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16417-2025</t>
        </is>
      </c>
      <c r="B4437" s="1" t="n">
        <v>45751.46355324074</v>
      </c>
      <c r="C4437" s="1" t="n">
        <v>46093</v>
      </c>
      <c r="D4437" t="inlineStr">
        <is>
          <t>ÖSTERGÖTLANDS LÄN</t>
        </is>
      </c>
      <c r="E4437" t="inlineStr">
        <is>
          <t>SÖDERKÖPING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53278-2023</t>
        </is>
      </c>
      <c r="B4438" s="1" t="n">
        <v>45229</v>
      </c>
      <c r="C4438" s="1" t="n">
        <v>46093</v>
      </c>
      <c r="D4438" t="inlineStr">
        <is>
          <t>ÖSTERGÖTLANDS LÄN</t>
        </is>
      </c>
      <c r="E4438" t="inlineStr">
        <is>
          <t>NORRKÖPING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55431-2025</t>
        </is>
      </c>
      <c r="B4439" s="1" t="n">
        <v>45971.48018518519</v>
      </c>
      <c r="C4439" s="1" t="n">
        <v>46093</v>
      </c>
      <c r="D4439" t="inlineStr">
        <is>
          <t>ÖSTERGÖTLANDS LÄN</t>
        </is>
      </c>
      <c r="E4439" t="inlineStr">
        <is>
          <t>FINSPÅNG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55521-2025</t>
        </is>
      </c>
      <c r="B4440" s="1" t="n">
        <v>45971.60863425926</v>
      </c>
      <c r="C4440" s="1" t="n">
        <v>46093</v>
      </c>
      <c r="D4440" t="inlineStr">
        <is>
          <t>ÖSTERGÖTLANDS LÄN</t>
        </is>
      </c>
      <c r="E4440" t="inlineStr">
        <is>
          <t>KINDA</t>
        </is>
      </c>
      <c r="F4440" t="inlineStr">
        <is>
          <t>Övriga Aktiebolag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55479-2025</t>
        </is>
      </c>
      <c r="B4441" s="1" t="n">
        <v>45971.56327546296</v>
      </c>
      <c r="C4441" s="1" t="n">
        <v>46093</v>
      </c>
      <c r="D4441" t="inlineStr">
        <is>
          <t>ÖSTERGÖTLANDS LÄN</t>
        </is>
      </c>
      <c r="E4441" t="inlineStr">
        <is>
          <t>MOTALA</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18306-2023</t>
        </is>
      </c>
      <c r="B4442" s="1" t="n">
        <v>45041</v>
      </c>
      <c r="C4442" s="1" t="n">
        <v>46093</v>
      </c>
      <c r="D4442" t="inlineStr">
        <is>
          <t>ÖSTERGÖTLANDS LÄN</t>
        </is>
      </c>
      <c r="E4442" t="inlineStr">
        <is>
          <t>FINSPÅNG</t>
        </is>
      </c>
      <c r="F4442" t="inlineStr">
        <is>
          <t>Naturvårdsverket</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24513-2023</t>
        </is>
      </c>
      <c r="B4443" s="1" t="n">
        <v>45082.66623842593</v>
      </c>
      <c r="C4443" s="1" t="n">
        <v>46093</v>
      </c>
      <c r="D4443" t="inlineStr">
        <is>
          <t>ÖSTERGÖTLANDS LÄN</t>
        </is>
      </c>
      <c r="E4443" t="inlineStr">
        <is>
          <t>FINSPÅNG</t>
        </is>
      </c>
      <c r="F4443" t="inlineStr">
        <is>
          <t>Holmen skog AB</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10148-2025</t>
        </is>
      </c>
      <c r="B4444" s="1" t="n">
        <v>45719.63878472222</v>
      </c>
      <c r="C4444" s="1" t="n">
        <v>46093</v>
      </c>
      <c r="D4444" t="inlineStr">
        <is>
          <t>ÖSTERGÖTLANDS LÄN</t>
        </is>
      </c>
      <c r="E4444" t="inlineStr">
        <is>
          <t>FINSPÅNG</t>
        </is>
      </c>
      <c r="F4444" t="inlineStr">
        <is>
          <t>Holmen skog AB</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53111-2023</t>
        </is>
      </c>
      <c r="B4445" s="1" t="n">
        <v>45228.75215277778</v>
      </c>
      <c r="C4445" s="1" t="n">
        <v>46093</v>
      </c>
      <c r="D4445" t="inlineStr">
        <is>
          <t>ÖSTERGÖTLANDS LÄN</t>
        </is>
      </c>
      <c r="E4445" t="inlineStr">
        <is>
          <t>VALDEMARSVIK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53167-2023</t>
        </is>
      </c>
      <c r="B4446" s="1" t="n">
        <v>45229</v>
      </c>
      <c r="C4446" s="1" t="n">
        <v>46093</v>
      </c>
      <c r="D4446" t="inlineStr">
        <is>
          <t>ÖSTERGÖTLANDS LÄN</t>
        </is>
      </c>
      <c r="E4446" t="inlineStr">
        <is>
          <t>ÅTVIDABERG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11261-2023</t>
        </is>
      </c>
      <c r="B4447" s="1" t="n">
        <v>44992</v>
      </c>
      <c r="C4447" s="1" t="n">
        <v>46093</v>
      </c>
      <c r="D4447" t="inlineStr">
        <is>
          <t>ÖSTERGÖTLANDS LÄN</t>
        </is>
      </c>
      <c r="E4447" t="inlineStr">
        <is>
          <t>NORRKÖPING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38966-2021</t>
        </is>
      </c>
      <c r="B4448" s="1" t="n">
        <v>44411</v>
      </c>
      <c r="C4448" s="1" t="n">
        <v>46093</v>
      </c>
      <c r="D4448" t="inlineStr">
        <is>
          <t>ÖSTERGÖTLANDS LÄN</t>
        </is>
      </c>
      <c r="E4448" t="inlineStr">
        <is>
          <t>ÅTVIDABERG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14682-2025</t>
        </is>
      </c>
      <c r="B4449" s="1" t="n">
        <v>45742.57196759259</v>
      </c>
      <c r="C4449" s="1" t="n">
        <v>46093</v>
      </c>
      <c r="D4449" t="inlineStr">
        <is>
          <t>ÖSTERGÖTLANDS LÄN</t>
        </is>
      </c>
      <c r="E4449" t="inlineStr">
        <is>
          <t>MOTALA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14705-2025</t>
        </is>
      </c>
      <c r="B4450" s="1" t="n">
        <v>45742.60605324074</v>
      </c>
      <c r="C4450" s="1" t="n">
        <v>46093</v>
      </c>
      <c r="D4450" t="inlineStr">
        <is>
          <t>ÖSTERGÖTLANDS LÄN</t>
        </is>
      </c>
      <c r="E4450" t="inlineStr">
        <is>
          <t>SÖDERKÖPING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24122-2023</t>
        </is>
      </c>
      <c r="B4451" s="1" t="n">
        <v>45079</v>
      </c>
      <c r="C4451" s="1" t="n">
        <v>46093</v>
      </c>
      <c r="D4451" t="inlineStr">
        <is>
          <t>ÖSTERGÖTLANDS LÄN</t>
        </is>
      </c>
      <c r="E4451" t="inlineStr">
        <is>
          <t>BOXHOLM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40810-2022</t>
        </is>
      </c>
      <c r="B4452" s="1" t="n">
        <v>44824</v>
      </c>
      <c r="C4452" s="1" t="n">
        <v>46093</v>
      </c>
      <c r="D4452" t="inlineStr">
        <is>
          <t>ÖSTERGÖTLANDS LÄN</t>
        </is>
      </c>
      <c r="E4452" t="inlineStr">
        <is>
          <t>LINKÖPING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55511-2025</t>
        </is>
      </c>
      <c r="B4453" s="1" t="n">
        <v>45971.60042824074</v>
      </c>
      <c r="C4453" s="1" t="n">
        <v>46093</v>
      </c>
      <c r="D4453" t="inlineStr">
        <is>
          <t>ÖSTERGÖTLANDS LÄN</t>
        </is>
      </c>
      <c r="E4453" t="inlineStr">
        <is>
          <t>KINDA</t>
        </is>
      </c>
      <c r="F4453" t="inlineStr">
        <is>
          <t>Övriga Aktiebolag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17542-2023</t>
        </is>
      </c>
      <c r="B4454" s="1" t="n">
        <v>45036.49065972222</v>
      </c>
      <c r="C4454" s="1" t="n">
        <v>46093</v>
      </c>
      <c r="D4454" t="inlineStr">
        <is>
          <t>ÖSTERGÖTLANDS LÄN</t>
        </is>
      </c>
      <c r="E4454" t="inlineStr">
        <is>
          <t>ÅTVIDABERG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17585-2023</t>
        </is>
      </c>
      <c r="B4455" s="1" t="n">
        <v>45036</v>
      </c>
      <c r="C4455" s="1" t="n">
        <v>46093</v>
      </c>
      <c r="D4455" t="inlineStr">
        <is>
          <t>ÖSTERGÖTLANDS LÄN</t>
        </is>
      </c>
      <c r="E4455" t="inlineStr">
        <is>
          <t>VALDEMARSVIK</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37428-2021</t>
        </is>
      </c>
      <c r="B4456" s="1" t="n">
        <v>44398</v>
      </c>
      <c r="C4456" s="1" t="n">
        <v>46093</v>
      </c>
      <c r="D4456" t="inlineStr">
        <is>
          <t>ÖSTERGÖTLANDS LÄN</t>
        </is>
      </c>
      <c r="E4456" t="inlineStr">
        <is>
          <t>MOTALA</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55560-2025</t>
        </is>
      </c>
      <c r="B4457" s="1" t="n">
        <v>45971</v>
      </c>
      <c r="C4457" s="1" t="n">
        <v>46093</v>
      </c>
      <c r="D4457" t="inlineStr">
        <is>
          <t>ÖSTERGÖTLANDS LÄN</t>
        </is>
      </c>
      <c r="E4457" t="inlineStr">
        <is>
          <t>YDRE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40528-2022</t>
        </is>
      </c>
      <c r="B4458" s="1" t="n">
        <v>44819</v>
      </c>
      <c r="C4458" s="1" t="n">
        <v>46093</v>
      </c>
      <c r="D4458" t="inlineStr">
        <is>
          <t>ÖSTERGÖTLANDS LÄN</t>
        </is>
      </c>
      <c r="E4458" t="inlineStr">
        <is>
          <t>MOTALA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4543-2025</t>
        </is>
      </c>
      <c r="B4459" s="1" t="n">
        <v>45687.39680555555</v>
      </c>
      <c r="C4459" s="1" t="n">
        <v>46093</v>
      </c>
      <c r="D4459" t="inlineStr">
        <is>
          <t>ÖSTERGÖTLANDS LÄN</t>
        </is>
      </c>
      <c r="E4459" t="inlineStr">
        <is>
          <t>YDRE</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38723-2023</t>
        </is>
      </c>
      <c r="B4460" s="1" t="n">
        <v>45163</v>
      </c>
      <c r="C4460" s="1" t="n">
        <v>46093</v>
      </c>
      <c r="D4460" t="inlineStr">
        <is>
          <t>ÖSTERGÖTLANDS LÄN</t>
        </is>
      </c>
      <c r="E4460" t="inlineStr">
        <is>
          <t>ÖDESHÖG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55424-2025</t>
        </is>
      </c>
      <c r="B4461" s="1" t="n">
        <v>45971.47325231481</v>
      </c>
      <c r="C4461" s="1" t="n">
        <v>46093</v>
      </c>
      <c r="D4461" t="inlineStr">
        <is>
          <t>ÖSTERGÖTLANDS LÄN</t>
        </is>
      </c>
      <c r="E4461" t="inlineStr">
        <is>
          <t>MOTALA</t>
        </is>
      </c>
      <c r="F4461" t="inlineStr">
        <is>
          <t>Sveaskog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55800-2025</t>
        </is>
      </c>
      <c r="B4462" s="1" t="n">
        <v>45972</v>
      </c>
      <c r="C4462" s="1" t="n">
        <v>46093</v>
      </c>
      <c r="D4462" t="inlineStr">
        <is>
          <t>ÖSTERGÖTLANDS LÄN</t>
        </is>
      </c>
      <c r="E4462" t="inlineStr">
        <is>
          <t>KINDA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8685-2022</t>
        </is>
      </c>
      <c r="B4463" s="1" t="n">
        <v>44613.69353009259</v>
      </c>
      <c r="C4463" s="1" t="n">
        <v>46093</v>
      </c>
      <c r="D4463" t="inlineStr">
        <is>
          <t>ÖSTERGÖTLANDS LÄN</t>
        </is>
      </c>
      <c r="E4463" t="inlineStr">
        <is>
          <t>VALDEMARSVIK</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4743-2022</t>
        </is>
      </c>
      <c r="B4464" s="1" t="n">
        <v>44592.5737962963</v>
      </c>
      <c r="C4464" s="1" t="n">
        <v>46093</v>
      </c>
      <c r="D4464" t="inlineStr">
        <is>
          <t>ÖSTERGÖTLANDS LÄN</t>
        </is>
      </c>
      <c r="E4464" t="inlineStr">
        <is>
          <t>MOTALA</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767-2025</t>
        </is>
      </c>
      <c r="B4465" s="1" t="n">
        <v>45665.45471064815</v>
      </c>
      <c r="C4465" s="1" t="n">
        <v>46093</v>
      </c>
      <c r="D4465" t="inlineStr">
        <is>
          <t>ÖSTERGÖTLANDS LÄN</t>
        </is>
      </c>
      <c r="E4465" t="inlineStr">
        <is>
          <t>KINDA</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10222-2022</t>
        </is>
      </c>
      <c r="B4466" s="1" t="n">
        <v>44622.48778935185</v>
      </c>
      <c r="C4466" s="1" t="n">
        <v>46093</v>
      </c>
      <c r="D4466" t="inlineStr">
        <is>
          <t>ÖSTERGÖTLANDS LÄN</t>
        </is>
      </c>
      <c r="E4466" t="inlineStr">
        <is>
          <t>ÅTVIDABERG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4748-2025</t>
        </is>
      </c>
      <c r="B4467" s="1" t="n">
        <v>45688.46208333333</v>
      </c>
      <c r="C4467" s="1" t="n">
        <v>46093</v>
      </c>
      <c r="D4467" t="inlineStr">
        <is>
          <t>ÖSTERGÖTLANDS LÄN</t>
        </is>
      </c>
      <c r="E4467" t="inlineStr">
        <is>
          <t>FINSPÅNG</t>
        </is>
      </c>
      <c r="F4467" t="inlineStr">
        <is>
          <t>Holmen skog AB</t>
        </is>
      </c>
      <c r="G4467" t="n">
        <v>10.3</v>
      </c>
      <c r="H4467" t="n">
        <v>0</v>
      </c>
      <c r="I4467" t="n">
        <v>0</v>
      </c>
      <c r="J4467" t="n">
        <v>0</v>
      </c>
      <c r="K4467" t="n">
        <v>0</v>
      </c>
      <c r="L4467" t="n">
        <v>0</v>
      </c>
      <c r="M4467" t="n">
        <v>0</v>
      </c>
      <c r="N4467" t="n">
        <v>0</v>
      </c>
      <c r="O4467" t="n">
        <v>0</v>
      </c>
      <c r="P4467" t="n">
        <v>0</v>
      </c>
      <c r="Q4467" t="n">
        <v>0</v>
      </c>
      <c r="R4467" s="2" t="inlineStr"/>
    </row>
    <row r="4468" ht="15" customHeight="1">
      <c r="A4468" t="inlineStr">
        <is>
          <t>A 4321-2025</t>
        </is>
      </c>
      <c r="B4468" s="1" t="n">
        <v>45685.7069212963</v>
      </c>
      <c r="C4468" s="1" t="n">
        <v>46093</v>
      </c>
      <c r="D4468" t="inlineStr">
        <is>
          <t>ÖSTERGÖTLANDS LÄN</t>
        </is>
      </c>
      <c r="E4468" t="inlineStr">
        <is>
          <t>VALDEMARSVIK</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4277-2023</t>
        </is>
      </c>
      <c r="B4469" s="1" t="n">
        <v>44953.5828125</v>
      </c>
      <c r="C4469" s="1" t="n">
        <v>46093</v>
      </c>
      <c r="D4469" t="inlineStr">
        <is>
          <t>ÖSTERGÖTLANDS LÄN</t>
        </is>
      </c>
      <c r="E4469" t="inlineStr">
        <is>
          <t>YDRE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37129-2023</t>
        </is>
      </c>
      <c r="B4470" s="1" t="n">
        <v>45155.57263888889</v>
      </c>
      <c r="C4470" s="1" t="n">
        <v>46093</v>
      </c>
      <c r="D4470" t="inlineStr">
        <is>
          <t>ÖSTERGÖTLANDS LÄN</t>
        </is>
      </c>
      <c r="E4470" t="inlineStr">
        <is>
          <t>MOTALA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20325-2025</t>
        </is>
      </c>
      <c r="B4471" s="1" t="n">
        <v>45775</v>
      </c>
      <c r="C4471" s="1" t="n">
        <v>46093</v>
      </c>
      <c r="D4471" t="inlineStr">
        <is>
          <t>ÖSTERGÖTLANDS LÄN</t>
        </is>
      </c>
      <c r="E4471" t="inlineStr">
        <is>
          <t>KINDA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21635-2023</t>
        </is>
      </c>
      <c r="B4472" s="1" t="n">
        <v>45062</v>
      </c>
      <c r="C4472" s="1" t="n">
        <v>46093</v>
      </c>
      <c r="D4472" t="inlineStr">
        <is>
          <t>ÖSTERGÖTLANDS LÄN</t>
        </is>
      </c>
      <c r="E4472" t="inlineStr">
        <is>
          <t>BOXHOLM</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20353-2025</t>
        </is>
      </c>
      <c r="B4473" s="1" t="n">
        <v>45775.39275462963</v>
      </c>
      <c r="C4473" s="1" t="n">
        <v>46093</v>
      </c>
      <c r="D4473" t="inlineStr">
        <is>
          <t>ÖSTERGÖTLANDS LÄN</t>
        </is>
      </c>
      <c r="E4473" t="inlineStr">
        <is>
          <t>MOTALA</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31831-2023</t>
        </is>
      </c>
      <c r="B4474" s="1" t="n">
        <v>45118.5630787037</v>
      </c>
      <c r="C4474" s="1" t="n">
        <v>46093</v>
      </c>
      <c r="D4474" t="inlineStr">
        <is>
          <t>ÖSTERGÖTLANDS LÄN</t>
        </is>
      </c>
      <c r="E4474" t="inlineStr">
        <is>
          <t>KINDA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3129-2025</t>
        </is>
      </c>
      <c r="B4475" s="1" t="n">
        <v>45678.73885416667</v>
      </c>
      <c r="C4475" s="1" t="n">
        <v>46093</v>
      </c>
      <c r="D4475" t="inlineStr">
        <is>
          <t>ÖSTERGÖTLANDS LÄN</t>
        </is>
      </c>
      <c r="E4475" t="inlineStr">
        <is>
          <t>BOXHOLM</t>
        </is>
      </c>
      <c r="F4475" t="inlineStr">
        <is>
          <t>Allmännings- och besparingsskogar</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3130-2025</t>
        </is>
      </c>
      <c r="B4476" s="1" t="n">
        <v>45678.74392361111</v>
      </c>
      <c r="C4476" s="1" t="n">
        <v>46093</v>
      </c>
      <c r="D4476" t="inlineStr">
        <is>
          <t>ÖSTERGÖTLANDS LÄN</t>
        </is>
      </c>
      <c r="E4476" t="inlineStr">
        <is>
          <t>ÖDESHÖG</t>
        </is>
      </c>
      <c r="F4476" t="inlineStr">
        <is>
          <t>Allmännings- och besparingsskogar</t>
        </is>
      </c>
      <c r="G4476" t="n">
        <v>18.6</v>
      </c>
      <c r="H4476" t="n">
        <v>0</v>
      </c>
      <c r="I4476" t="n">
        <v>0</v>
      </c>
      <c r="J4476" t="n">
        <v>0</v>
      </c>
      <c r="K4476" t="n">
        <v>0</v>
      </c>
      <c r="L4476" t="n">
        <v>0</v>
      </c>
      <c r="M4476" t="n">
        <v>0</v>
      </c>
      <c r="N4476" t="n">
        <v>0</v>
      </c>
      <c r="O4476" t="n">
        <v>0</v>
      </c>
      <c r="P4476" t="n">
        <v>0</v>
      </c>
      <c r="Q4476" t="n">
        <v>0</v>
      </c>
      <c r="R4476" s="2" t="inlineStr"/>
    </row>
    <row r="4477" ht="15" customHeight="1">
      <c r="A4477" t="inlineStr">
        <is>
          <t>A 18886-2025</t>
        </is>
      </c>
      <c r="B4477" s="1" t="n">
        <v>45764.44263888889</v>
      </c>
      <c r="C4477" s="1" t="n">
        <v>46093</v>
      </c>
      <c r="D4477" t="inlineStr">
        <is>
          <t>ÖSTERGÖTLANDS LÄN</t>
        </is>
      </c>
      <c r="E4477" t="inlineStr">
        <is>
          <t>NORRKÖPING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56105-2025</t>
        </is>
      </c>
      <c r="B4478" s="1" t="n">
        <v>45973.72855324074</v>
      </c>
      <c r="C4478" s="1" t="n">
        <v>46093</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14901-2023</t>
        </is>
      </c>
      <c r="B4479" s="1" t="n">
        <v>45014</v>
      </c>
      <c r="C4479" s="1" t="n">
        <v>46093</v>
      </c>
      <c r="D4479" t="inlineStr">
        <is>
          <t>ÖSTERGÖTLANDS LÄN</t>
        </is>
      </c>
      <c r="E4479" t="inlineStr">
        <is>
          <t>NORRKÖPING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15473-2022</t>
        </is>
      </c>
      <c r="B4480" s="1" t="n">
        <v>44662</v>
      </c>
      <c r="C4480" s="1" t="n">
        <v>46093</v>
      </c>
      <c r="D4480" t="inlineStr">
        <is>
          <t>ÖSTERGÖTLANDS LÄN</t>
        </is>
      </c>
      <c r="E4480" t="inlineStr">
        <is>
          <t>FINSPÅNG</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66362-2021</t>
        </is>
      </c>
      <c r="B4481" s="1" t="n">
        <v>44518</v>
      </c>
      <c r="C4481" s="1" t="n">
        <v>46093</v>
      </c>
      <c r="D4481" t="inlineStr">
        <is>
          <t>ÖSTERGÖTLANDS LÄN</t>
        </is>
      </c>
      <c r="E4481" t="inlineStr">
        <is>
          <t>SÖDERKÖPING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21246-2023</t>
        </is>
      </c>
      <c r="B4482" s="1" t="n">
        <v>45062.57262731482</v>
      </c>
      <c r="C4482" s="1" t="n">
        <v>46093</v>
      </c>
      <c r="D4482" t="inlineStr">
        <is>
          <t>ÖSTERGÖTLANDS LÄN</t>
        </is>
      </c>
      <c r="E4482" t="inlineStr">
        <is>
          <t>KINDA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966-2024</t>
        </is>
      </c>
      <c r="B4483" s="1" t="n">
        <v>45301</v>
      </c>
      <c r="C4483" s="1" t="n">
        <v>46093</v>
      </c>
      <c r="D4483" t="inlineStr">
        <is>
          <t>ÖSTERGÖTLANDS LÄN</t>
        </is>
      </c>
      <c r="E4483" t="inlineStr">
        <is>
          <t>BOXHOLM</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56060-2025</t>
        </is>
      </c>
      <c r="B4484" s="1" t="n">
        <v>45973.63788194444</v>
      </c>
      <c r="C4484" s="1" t="n">
        <v>46093</v>
      </c>
      <c r="D4484" t="inlineStr">
        <is>
          <t>ÖSTERGÖTLANDS LÄN</t>
        </is>
      </c>
      <c r="E4484" t="inlineStr">
        <is>
          <t>MOTALA</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18419-2025</t>
        </is>
      </c>
      <c r="B4485" s="1" t="n">
        <v>45762.61836805556</v>
      </c>
      <c r="C4485" s="1" t="n">
        <v>46093</v>
      </c>
      <c r="D4485" t="inlineStr">
        <is>
          <t>ÖSTERGÖTLANDS LÄN</t>
        </is>
      </c>
      <c r="E4485" t="inlineStr">
        <is>
          <t>MOTALA</t>
        </is>
      </c>
      <c r="F4485" t="inlineStr">
        <is>
          <t>Sveaskog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18422-2025</t>
        </is>
      </c>
      <c r="B4486" s="1" t="n">
        <v>45762.61935185185</v>
      </c>
      <c r="C4486" s="1" t="n">
        <v>46093</v>
      </c>
      <c r="D4486" t="inlineStr">
        <is>
          <t>ÖSTERGÖTLANDS LÄN</t>
        </is>
      </c>
      <c r="E4486" t="inlineStr">
        <is>
          <t>MOTALA</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58831-2022</t>
        </is>
      </c>
      <c r="B4487" s="1" t="n">
        <v>44903</v>
      </c>
      <c r="C4487" s="1" t="n">
        <v>46093</v>
      </c>
      <c r="D4487" t="inlineStr">
        <is>
          <t>ÖSTERGÖTLANDS LÄN</t>
        </is>
      </c>
      <c r="E4487" t="inlineStr">
        <is>
          <t>YDRE</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56166-2025</t>
        </is>
      </c>
      <c r="B4488" s="1" t="n">
        <v>45974.38498842593</v>
      </c>
      <c r="C4488" s="1" t="n">
        <v>46093</v>
      </c>
      <c r="D4488" t="inlineStr">
        <is>
          <t>ÖSTERGÖTLANDS LÄN</t>
        </is>
      </c>
      <c r="E4488" t="inlineStr">
        <is>
          <t>SÖDERKÖPING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303-2025</t>
        </is>
      </c>
      <c r="B4489" s="1" t="n">
        <v>45660.57175925926</v>
      </c>
      <c r="C4489" s="1" t="n">
        <v>46093</v>
      </c>
      <c r="D4489" t="inlineStr">
        <is>
          <t>ÖSTERGÖTLANDS LÄN</t>
        </is>
      </c>
      <c r="E4489" t="inlineStr">
        <is>
          <t>FINSPÅNG</t>
        </is>
      </c>
      <c r="F4489" t="inlineStr">
        <is>
          <t>Övriga Aktiebolag</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55870-2025</t>
        </is>
      </c>
      <c r="B4490" s="1" t="n">
        <v>45973.35333333333</v>
      </c>
      <c r="C4490" s="1" t="n">
        <v>46093</v>
      </c>
      <c r="D4490" t="inlineStr">
        <is>
          <t>ÖSTERGÖTLANDS LÄN</t>
        </is>
      </c>
      <c r="E4490" t="inlineStr">
        <is>
          <t>YDRE</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56213-2022</t>
        </is>
      </c>
      <c r="B4491" s="1" t="n">
        <v>44890</v>
      </c>
      <c r="C4491" s="1" t="n">
        <v>46093</v>
      </c>
      <c r="D4491" t="inlineStr">
        <is>
          <t>ÖSTERGÖTLANDS LÄN</t>
        </is>
      </c>
      <c r="E4491" t="inlineStr">
        <is>
          <t>SÖDERKÖPING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41450-2022</t>
        </is>
      </c>
      <c r="B4492" s="1" t="n">
        <v>44826</v>
      </c>
      <c r="C4492" s="1" t="n">
        <v>46093</v>
      </c>
      <c r="D4492" t="inlineStr">
        <is>
          <t>ÖSTERGÖTLANDS LÄN</t>
        </is>
      </c>
      <c r="E4492" t="inlineStr">
        <is>
          <t>KINDA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55908-2025</t>
        </is>
      </c>
      <c r="B4493" s="1" t="n">
        <v>45973.39390046296</v>
      </c>
      <c r="C4493" s="1" t="n">
        <v>46093</v>
      </c>
      <c r="D4493" t="inlineStr">
        <is>
          <t>ÖSTERGÖTLANDS LÄN</t>
        </is>
      </c>
      <c r="E4493" t="inlineStr">
        <is>
          <t>ÖDESHÖG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9822-2025</t>
        </is>
      </c>
      <c r="B4494" s="1" t="n">
        <v>45716.57158564815</v>
      </c>
      <c r="C4494" s="1" t="n">
        <v>46093</v>
      </c>
      <c r="D4494" t="inlineStr">
        <is>
          <t>ÖSTERGÖTLANDS LÄN</t>
        </is>
      </c>
      <c r="E4494" t="inlineStr">
        <is>
          <t>NORRKÖPING</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56003-2025</t>
        </is>
      </c>
      <c r="B4495" s="1" t="n">
        <v>45973</v>
      </c>
      <c r="C4495" s="1" t="n">
        <v>46093</v>
      </c>
      <c r="D4495" t="inlineStr">
        <is>
          <t>ÖSTERGÖTLANDS LÄN</t>
        </is>
      </c>
      <c r="E4495" t="inlineStr">
        <is>
          <t>KINDA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56006-2025</t>
        </is>
      </c>
      <c r="B4496" s="1" t="n">
        <v>45973</v>
      </c>
      <c r="C4496" s="1" t="n">
        <v>46093</v>
      </c>
      <c r="D4496" t="inlineStr">
        <is>
          <t>ÖSTERGÖTLANDS LÄN</t>
        </is>
      </c>
      <c r="E4496" t="inlineStr">
        <is>
          <t>KINDA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56403-2025</t>
        </is>
      </c>
      <c r="B4497" s="1" t="n">
        <v>45974</v>
      </c>
      <c r="C4497" s="1" t="n">
        <v>46093</v>
      </c>
      <c r="D4497" t="inlineStr">
        <is>
          <t>ÖSTERGÖTLANDS LÄN</t>
        </is>
      </c>
      <c r="E4497" t="inlineStr">
        <is>
          <t>LINKÖPING</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56255-2025</t>
        </is>
      </c>
      <c r="B4498" s="1" t="n">
        <v>45974.56300925926</v>
      </c>
      <c r="C4498" s="1" t="n">
        <v>46093</v>
      </c>
      <c r="D4498" t="inlineStr">
        <is>
          <t>ÖSTERGÖTLANDS LÄN</t>
        </is>
      </c>
      <c r="E4498" t="inlineStr">
        <is>
          <t>MOTALA</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30564-2021</t>
        </is>
      </c>
      <c r="B4499" s="1" t="n">
        <v>44364.78170138889</v>
      </c>
      <c r="C4499" s="1" t="n">
        <v>46093</v>
      </c>
      <c r="D4499" t="inlineStr">
        <is>
          <t>ÖSTERGÖTLANDS LÄN</t>
        </is>
      </c>
      <c r="E4499" t="inlineStr">
        <is>
          <t>NORRKÖPING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55939-2025</t>
        </is>
      </c>
      <c r="B4500" s="1" t="n">
        <v>45973.44811342593</v>
      </c>
      <c r="C4500" s="1" t="n">
        <v>46093</v>
      </c>
      <c r="D4500" t="inlineStr">
        <is>
          <t>ÖSTERGÖTLANDS LÄN</t>
        </is>
      </c>
      <c r="E4500" t="inlineStr">
        <is>
          <t>MJÖLBY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49303-2021</t>
        </is>
      </c>
      <c r="B4501" s="1" t="n">
        <v>44454</v>
      </c>
      <c r="C4501" s="1" t="n">
        <v>46093</v>
      </c>
      <c r="D4501" t="inlineStr">
        <is>
          <t>ÖSTERGÖTLANDS LÄN</t>
        </is>
      </c>
      <c r="E4501" t="inlineStr">
        <is>
          <t>VALDEMARSVIK</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1876-2025</t>
        </is>
      </c>
      <c r="B4502" s="1" t="n">
        <v>45671.62127314815</v>
      </c>
      <c r="C4502" s="1" t="n">
        <v>46093</v>
      </c>
      <c r="D4502" t="inlineStr">
        <is>
          <t>ÖSTERGÖTLANDS LÄN</t>
        </is>
      </c>
      <c r="E4502" t="inlineStr">
        <is>
          <t>KINDA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57495-2023</t>
        </is>
      </c>
      <c r="B4503" s="1" t="n">
        <v>45246.41783564815</v>
      </c>
      <c r="C4503" s="1" t="n">
        <v>46093</v>
      </c>
      <c r="D4503" t="inlineStr">
        <is>
          <t>ÖSTERGÖTLANDS LÄN</t>
        </is>
      </c>
      <c r="E4503" t="inlineStr">
        <is>
          <t>NORRKÖPING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9532-2025</t>
        </is>
      </c>
      <c r="B4504" s="1" t="n">
        <v>45715.56964120371</v>
      </c>
      <c r="C4504" s="1" t="n">
        <v>46093</v>
      </c>
      <c r="D4504" t="inlineStr">
        <is>
          <t>ÖSTERGÖTLANDS LÄN</t>
        </is>
      </c>
      <c r="E4504" t="inlineStr">
        <is>
          <t>NORRKÖPING</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48395-2021</t>
        </is>
      </c>
      <c r="B4505" s="1" t="n">
        <v>44452.3075</v>
      </c>
      <c r="C4505" s="1" t="n">
        <v>46093</v>
      </c>
      <c r="D4505" t="inlineStr">
        <is>
          <t>ÖSTERGÖTLANDS LÄN</t>
        </is>
      </c>
      <c r="E4505" t="inlineStr">
        <is>
          <t>SÖDERKÖPING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28062-2022</t>
        </is>
      </c>
      <c r="B4506" s="1" t="n">
        <v>44746</v>
      </c>
      <c r="C4506" s="1" t="n">
        <v>46093</v>
      </c>
      <c r="D4506" t="inlineStr">
        <is>
          <t>ÖSTERGÖTLANDS LÄN</t>
        </is>
      </c>
      <c r="E4506" t="inlineStr">
        <is>
          <t>NORRKÖPING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20298-2025</t>
        </is>
      </c>
      <c r="B4507" s="1" t="n">
        <v>45774.75024305555</v>
      </c>
      <c r="C4507" s="1" t="n">
        <v>46093</v>
      </c>
      <c r="D4507" t="inlineStr">
        <is>
          <t>ÖSTERGÖTLANDS LÄN</t>
        </is>
      </c>
      <c r="E4507" t="inlineStr">
        <is>
          <t>LINKÖPING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56163-2025</t>
        </is>
      </c>
      <c r="B4508" s="1" t="n">
        <v>45974.37890046297</v>
      </c>
      <c r="C4508" s="1" t="n">
        <v>46093</v>
      </c>
      <c r="D4508" t="inlineStr">
        <is>
          <t>ÖSTERGÖTLANDS LÄN</t>
        </is>
      </c>
      <c r="E4508" t="inlineStr">
        <is>
          <t>SÖDERKÖPING</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45831-2024</t>
        </is>
      </c>
      <c r="B4509" s="1" t="n">
        <v>45579.90508101852</v>
      </c>
      <c r="C4509" s="1" t="n">
        <v>46093</v>
      </c>
      <c r="D4509" t="inlineStr">
        <is>
          <t>ÖSTERGÖTLANDS LÄN</t>
        </is>
      </c>
      <c r="E4509" t="inlineStr">
        <is>
          <t>LINKÖPING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55901-2025</t>
        </is>
      </c>
      <c r="B4510" s="1" t="n">
        <v>45973.38752314815</v>
      </c>
      <c r="C4510" s="1" t="n">
        <v>46093</v>
      </c>
      <c r="D4510" t="inlineStr">
        <is>
          <t>ÖSTERGÖTLANDS LÄN</t>
        </is>
      </c>
      <c r="E4510" t="inlineStr">
        <is>
          <t>ÖDESHÖG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4627-2025</t>
        </is>
      </c>
      <c r="B4511" s="1" t="n">
        <v>45687.62237268518</v>
      </c>
      <c r="C4511" s="1" t="n">
        <v>46093</v>
      </c>
      <c r="D4511" t="inlineStr">
        <is>
          <t>ÖSTERGÖTLANDS LÄN</t>
        </is>
      </c>
      <c r="E4511" t="inlineStr">
        <is>
          <t>VALDEMARSVIK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37489-2024</t>
        </is>
      </c>
      <c r="B4512" s="1" t="n">
        <v>45541.34607638889</v>
      </c>
      <c r="C4512" s="1" t="n">
        <v>46093</v>
      </c>
      <c r="D4512" t="inlineStr">
        <is>
          <t>ÖSTERGÖTLANDS LÄN</t>
        </is>
      </c>
      <c r="E4512" t="inlineStr">
        <is>
          <t>KINDA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56097-2025</t>
        </is>
      </c>
      <c r="B4513" s="1" t="n">
        <v>45973.68703703704</v>
      </c>
      <c r="C4513" s="1" t="n">
        <v>46093</v>
      </c>
      <c r="D4513" t="inlineStr">
        <is>
          <t>ÖSTERGÖTLANDS LÄN</t>
        </is>
      </c>
      <c r="E4513" t="inlineStr">
        <is>
          <t>VALDEMARSVIK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56117-2025</t>
        </is>
      </c>
      <c r="B4514" s="1" t="n">
        <v>45973.8149537037</v>
      </c>
      <c r="C4514" s="1" t="n">
        <v>46093</v>
      </c>
      <c r="D4514" t="inlineStr">
        <is>
          <t>ÖSTERGÖTLANDS LÄN</t>
        </is>
      </c>
      <c r="E4514" t="inlineStr">
        <is>
          <t>FINSPÅNG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56126-2025</t>
        </is>
      </c>
      <c r="B4515" s="1" t="n">
        <v>45973.9084375</v>
      </c>
      <c r="C4515" s="1" t="n">
        <v>46093</v>
      </c>
      <c r="D4515" t="inlineStr">
        <is>
          <t>ÖSTERGÖTLANDS LÄN</t>
        </is>
      </c>
      <c r="E4515" t="inlineStr">
        <is>
          <t>BOXHOLM</t>
        </is>
      </c>
      <c r="F4515" t="inlineStr">
        <is>
          <t>Övriga Aktiebolag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56127-2025</t>
        </is>
      </c>
      <c r="B4516" s="1" t="n">
        <v>45973.91414351852</v>
      </c>
      <c r="C4516" s="1" t="n">
        <v>46093</v>
      </c>
      <c r="D4516" t="inlineStr">
        <is>
          <t>ÖSTERGÖTLANDS LÄN</t>
        </is>
      </c>
      <c r="E4516" t="inlineStr">
        <is>
          <t>BOXHOLM</t>
        </is>
      </c>
      <c r="F4516" t="inlineStr">
        <is>
          <t>Övriga Aktiebolag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5903-2025</t>
        </is>
      </c>
      <c r="B4517" s="1" t="n">
        <v>45695.40054398148</v>
      </c>
      <c r="C4517" s="1" t="n">
        <v>46093</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23717-2021</t>
        </is>
      </c>
      <c r="B4518" s="1" t="n">
        <v>44334.71728009259</v>
      </c>
      <c r="C4518" s="1" t="n">
        <v>46093</v>
      </c>
      <c r="D4518" t="inlineStr">
        <is>
          <t>ÖSTERGÖTLANDS LÄN</t>
        </is>
      </c>
      <c r="E4518" t="inlineStr">
        <is>
          <t>KINDA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43318-2022</t>
        </is>
      </c>
      <c r="B4519" s="1" t="n">
        <v>44834</v>
      </c>
      <c r="C4519" s="1" t="n">
        <v>46093</v>
      </c>
      <c r="D4519" t="inlineStr">
        <is>
          <t>ÖSTERGÖTLANDS LÄN</t>
        </is>
      </c>
      <c r="E4519" t="inlineStr">
        <is>
          <t>FINSPÅNG</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56007-2025</t>
        </is>
      </c>
      <c r="B4520" s="1" t="n">
        <v>45973</v>
      </c>
      <c r="C4520" s="1" t="n">
        <v>46093</v>
      </c>
      <c r="D4520" t="inlineStr">
        <is>
          <t>ÖSTERGÖTLANDS LÄN</t>
        </is>
      </c>
      <c r="E4520" t="inlineStr">
        <is>
          <t>KINDA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49677-2022</t>
        </is>
      </c>
      <c r="B4521" s="1" t="n">
        <v>44862</v>
      </c>
      <c r="C4521" s="1" t="n">
        <v>46093</v>
      </c>
      <c r="D4521" t="inlineStr">
        <is>
          <t>ÖSTERGÖTLANDS LÄN</t>
        </is>
      </c>
      <c r="E4521" t="inlineStr">
        <is>
          <t>FINSPÅNG</t>
        </is>
      </c>
      <c r="F4521" t="inlineStr">
        <is>
          <t>Holmen skog AB</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40410-2024</t>
        </is>
      </c>
      <c r="B4522" s="1" t="n">
        <v>45555.45396990741</v>
      </c>
      <c r="C4522" s="1" t="n">
        <v>46093</v>
      </c>
      <c r="D4522" t="inlineStr">
        <is>
          <t>ÖSTERGÖTLANDS LÄN</t>
        </is>
      </c>
      <c r="E4522" t="inlineStr">
        <is>
          <t>FINSPÅNG</t>
        </is>
      </c>
      <c r="F4522" t="inlineStr">
        <is>
          <t>Holmen skog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54345-2022</t>
        </is>
      </c>
      <c r="B4523" s="1" t="n">
        <v>44882</v>
      </c>
      <c r="C4523" s="1" t="n">
        <v>46093</v>
      </c>
      <c r="D4523" t="inlineStr">
        <is>
          <t>ÖSTERGÖTLANDS LÄN</t>
        </is>
      </c>
      <c r="E4523" t="inlineStr">
        <is>
          <t>KINDA</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56113-2025</t>
        </is>
      </c>
      <c r="B4524" s="1" t="n">
        <v>45973.73924768518</v>
      </c>
      <c r="C4524" s="1" t="n">
        <v>46093</v>
      </c>
      <c r="D4524" t="inlineStr">
        <is>
          <t>ÖSTERGÖTLANDS LÄN</t>
        </is>
      </c>
      <c r="E4524" t="inlineStr">
        <is>
          <t>LINKÖPING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56125-2025</t>
        </is>
      </c>
      <c r="B4525" s="1" t="n">
        <v>45973.89113425926</v>
      </c>
      <c r="C4525" s="1" t="n">
        <v>46093</v>
      </c>
      <c r="D4525" t="inlineStr">
        <is>
          <t>ÖSTERGÖTLANDS LÄN</t>
        </is>
      </c>
      <c r="E4525" t="inlineStr">
        <is>
          <t>BOXHOLM</t>
        </is>
      </c>
      <c r="F4525" t="inlineStr">
        <is>
          <t>Övriga Aktiebolag</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55906-2025</t>
        </is>
      </c>
      <c r="B4526" s="1" t="n">
        <v>45973.39159722222</v>
      </c>
      <c r="C4526" s="1" t="n">
        <v>46093</v>
      </c>
      <c r="D4526" t="inlineStr">
        <is>
          <t>ÖSTERGÖTLANDS LÄN</t>
        </is>
      </c>
      <c r="E4526" t="inlineStr">
        <is>
          <t>ÖDESHÖG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9319-2025</t>
        </is>
      </c>
      <c r="B4527" s="1" t="n">
        <v>45714</v>
      </c>
      <c r="C4527" s="1" t="n">
        <v>46093</v>
      </c>
      <c r="D4527" t="inlineStr">
        <is>
          <t>ÖSTERGÖTLANDS LÄN</t>
        </is>
      </c>
      <c r="E4527" t="inlineStr">
        <is>
          <t>ÖDESHÖG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44859-2023</t>
        </is>
      </c>
      <c r="B4528" s="1" t="n">
        <v>45190.58648148148</v>
      </c>
      <c r="C4528" s="1" t="n">
        <v>46093</v>
      </c>
      <c r="D4528" t="inlineStr">
        <is>
          <t>ÖSTERGÖTLANDS LÄN</t>
        </is>
      </c>
      <c r="E4528" t="inlineStr">
        <is>
          <t>SÖDERKÖPING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44468-2021</t>
        </is>
      </c>
      <c r="B4529" s="1" t="n">
        <v>44435</v>
      </c>
      <c r="C4529" s="1" t="n">
        <v>46093</v>
      </c>
      <c r="D4529" t="inlineStr">
        <is>
          <t>ÖSTERGÖTLANDS LÄN</t>
        </is>
      </c>
      <c r="E4529" t="inlineStr">
        <is>
          <t>MJÖLBY</t>
        </is>
      </c>
      <c r="F4529" t="inlineStr">
        <is>
          <t>Kommuner</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15599-2024</t>
        </is>
      </c>
      <c r="B4530" s="1" t="n">
        <v>45401.83496527778</v>
      </c>
      <c r="C4530" s="1" t="n">
        <v>46093</v>
      </c>
      <c r="D4530" t="inlineStr">
        <is>
          <t>ÖSTERGÖTLANDS LÄN</t>
        </is>
      </c>
      <c r="E4530" t="inlineStr">
        <is>
          <t>MOTALA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56704-2025</t>
        </is>
      </c>
      <c r="B4531" s="1" t="n">
        <v>45977.50608796296</v>
      </c>
      <c r="C4531" s="1" t="n">
        <v>46093</v>
      </c>
      <c r="D4531" t="inlineStr">
        <is>
          <t>ÖSTERGÖTLANDS LÄN</t>
        </is>
      </c>
      <c r="E4531" t="inlineStr">
        <is>
          <t>LINKÖPING</t>
        </is>
      </c>
      <c r="F4531" t="inlineStr">
        <is>
          <t>Övriga Aktiebolag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61994-2022</t>
        </is>
      </c>
      <c r="B4532" s="1" t="n">
        <v>44918.41450231482</v>
      </c>
      <c r="C4532" s="1" t="n">
        <v>46093</v>
      </c>
      <c r="D4532" t="inlineStr">
        <is>
          <t>ÖSTERGÖTLANDS LÄN</t>
        </is>
      </c>
      <c r="E4532" t="inlineStr">
        <is>
          <t>FINSPÅNG</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57396-2021</t>
        </is>
      </c>
      <c r="B4533" s="1" t="n">
        <v>44483.56151620371</v>
      </c>
      <c r="C4533" s="1" t="n">
        <v>46093</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56900-2022</t>
        </is>
      </c>
      <c r="B4534" s="1" t="n">
        <v>44894.59141203704</v>
      </c>
      <c r="C4534" s="1" t="n">
        <v>46093</v>
      </c>
      <c r="D4534" t="inlineStr">
        <is>
          <t>ÖSTERGÖTLANDS LÄN</t>
        </is>
      </c>
      <c r="E4534" t="inlineStr">
        <is>
          <t>YDRE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16128-2025</t>
        </is>
      </c>
      <c r="B4535" s="1" t="n">
        <v>45750.42609953704</v>
      </c>
      <c r="C4535" s="1" t="n">
        <v>46093</v>
      </c>
      <c r="D4535" t="inlineStr">
        <is>
          <t>ÖSTERGÖTLANDS LÄN</t>
        </is>
      </c>
      <c r="E4535" t="inlineStr">
        <is>
          <t>ÖDESHÖG</t>
        </is>
      </c>
      <c r="F4535" t="inlineStr">
        <is>
          <t>Allmännings- och besparingsskogar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56405-2025</t>
        </is>
      </c>
      <c r="B4536" s="1" t="n">
        <v>45975.24901620371</v>
      </c>
      <c r="C4536" s="1" t="n">
        <v>46093</v>
      </c>
      <c r="D4536" t="inlineStr">
        <is>
          <t>ÖSTERGÖTLANDS LÄN</t>
        </is>
      </c>
      <c r="E4536" t="inlineStr">
        <is>
          <t>FINSPÅNG</t>
        </is>
      </c>
      <c r="G4536" t="n">
        <v>11.2</v>
      </c>
      <c r="H4536" t="n">
        <v>0</v>
      </c>
      <c r="I4536" t="n">
        <v>0</v>
      </c>
      <c r="J4536" t="n">
        <v>0</v>
      </c>
      <c r="K4536" t="n">
        <v>0</v>
      </c>
      <c r="L4536" t="n">
        <v>0</v>
      </c>
      <c r="M4536" t="n">
        <v>0</v>
      </c>
      <c r="N4536" t="n">
        <v>0</v>
      </c>
      <c r="O4536" t="n">
        <v>0</v>
      </c>
      <c r="P4536" t="n">
        <v>0</v>
      </c>
      <c r="Q4536" t="n">
        <v>0</v>
      </c>
      <c r="R4536" s="2" t="inlineStr"/>
    </row>
    <row r="4537" ht="15" customHeight="1">
      <c r="A4537" t="inlineStr">
        <is>
          <t>A 22842-2023</t>
        </is>
      </c>
      <c r="B4537" s="1" t="n">
        <v>45071</v>
      </c>
      <c r="C4537" s="1" t="n">
        <v>46093</v>
      </c>
      <c r="D4537" t="inlineStr">
        <is>
          <t>ÖSTERGÖTLANDS LÄN</t>
        </is>
      </c>
      <c r="E4537" t="inlineStr">
        <is>
          <t>LINKÖPING</t>
        </is>
      </c>
      <c r="F4537" t="inlineStr">
        <is>
          <t>Kommuner</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57165-2025</t>
        </is>
      </c>
      <c r="B4538" s="1" t="n">
        <v>45978</v>
      </c>
      <c r="C4538" s="1" t="n">
        <v>46093</v>
      </c>
      <c r="D4538" t="inlineStr">
        <is>
          <t>ÖSTERGÖTLANDS LÄN</t>
        </is>
      </c>
      <c r="E4538" t="inlineStr">
        <is>
          <t>KINDA</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1038-2023</t>
        </is>
      </c>
      <c r="B4539" s="1" t="n">
        <v>44935</v>
      </c>
      <c r="C4539" s="1" t="n">
        <v>46093</v>
      </c>
      <c r="D4539" t="inlineStr">
        <is>
          <t>ÖSTERGÖTLANDS LÄN</t>
        </is>
      </c>
      <c r="E4539" t="inlineStr">
        <is>
          <t>MOTALA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26821-2023</t>
        </is>
      </c>
      <c r="B4540" s="1" t="n">
        <v>45093</v>
      </c>
      <c r="C4540" s="1" t="n">
        <v>46093</v>
      </c>
      <c r="D4540" t="inlineStr">
        <is>
          <t>ÖSTERGÖTLANDS LÄN</t>
        </is>
      </c>
      <c r="E4540" t="inlineStr">
        <is>
          <t>VALDEMARSVIK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56404-2025</t>
        </is>
      </c>
      <c r="B4541" s="1" t="n">
        <v>45975.22857638889</v>
      </c>
      <c r="C4541" s="1" t="n">
        <v>46093</v>
      </c>
      <c r="D4541" t="inlineStr">
        <is>
          <t>ÖSTERGÖTLANDS LÄN</t>
        </is>
      </c>
      <c r="E4541" t="inlineStr">
        <is>
          <t>FINSPÅNG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7788-2023</t>
        </is>
      </c>
      <c r="B4542" s="1" t="n">
        <v>44973.41844907407</v>
      </c>
      <c r="C4542" s="1" t="n">
        <v>46093</v>
      </c>
      <c r="D4542" t="inlineStr">
        <is>
          <t>ÖSTERGÖTLANDS LÄN</t>
        </is>
      </c>
      <c r="E4542" t="inlineStr">
        <is>
          <t>FINSPÅNG</t>
        </is>
      </c>
      <c r="F4542" t="inlineStr">
        <is>
          <t>Holmen skog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53821-2022</t>
        </is>
      </c>
      <c r="B4543" s="1" t="n">
        <v>44880</v>
      </c>
      <c r="C4543" s="1" t="n">
        <v>46093</v>
      </c>
      <c r="D4543" t="inlineStr">
        <is>
          <t>ÖSTERGÖTLANDS LÄN</t>
        </is>
      </c>
      <c r="E4543" t="inlineStr">
        <is>
          <t>FINSPÅNG</t>
        </is>
      </c>
      <c r="F4543" t="inlineStr">
        <is>
          <t>Holmen skog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53852-2022</t>
        </is>
      </c>
      <c r="B4544" s="1" t="n">
        <v>44880</v>
      </c>
      <c r="C4544" s="1" t="n">
        <v>46093</v>
      </c>
      <c r="D4544" t="inlineStr">
        <is>
          <t>ÖSTERGÖTLANDS LÄN</t>
        </is>
      </c>
      <c r="E4544" t="inlineStr">
        <is>
          <t>NORRKÖPING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50386-2021</t>
        </is>
      </c>
      <c r="B4545" s="1" t="n">
        <v>44459</v>
      </c>
      <c r="C4545" s="1" t="n">
        <v>46093</v>
      </c>
      <c r="D4545" t="inlineStr">
        <is>
          <t>ÖSTERGÖTLANDS LÄN</t>
        </is>
      </c>
      <c r="E4545" t="inlineStr">
        <is>
          <t>LINKÖPING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11587-2023</t>
        </is>
      </c>
      <c r="B4546" s="1" t="n">
        <v>44992</v>
      </c>
      <c r="C4546" s="1" t="n">
        <v>46093</v>
      </c>
      <c r="D4546" t="inlineStr">
        <is>
          <t>ÖSTERGÖTLANDS LÄN</t>
        </is>
      </c>
      <c r="E4546" t="inlineStr">
        <is>
          <t>NORRKÖPING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1503-2023</t>
        </is>
      </c>
      <c r="B4547" s="1" t="n">
        <v>44935</v>
      </c>
      <c r="C4547" s="1" t="n">
        <v>46093</v>
      </c>
      <c r="D4547" t="inlineStr">
        <is>
          <t>ÖSTERGÖTLANDS LÄN</t>
        </is>
      </c>
      <c r="E4547" t="inlineStr">
        <is>
          <t>KINDA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35781-2023</t>
        </is>
      </c>
      <c r="B4548" s="1" t="n">
        <v>45147</v>
      </c>
      <c r="C4548" s="1" t="n">
        <v>46093</v>
      </c>
      <c r="D4548" t="inlineStr">
        <is>
          <t>ÖSTERGÖTLANDS LÄN</t>
        </is>
      </c>
      <c r="E4548" t="inlineStr">
        <is>
          <t>LINKÖPING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1935-2022</t>
        </is>
      </c>
      <c r="B4549" s="1" t="n">
        <v>44575</v>
      </c>
      <c r="C4549" s="1" t="n">
        <v>46093</v>
      </c>
      <c r="D4549" t="inlineStr">
        <is>
          <t>ÖSTERGÖTLANDS LÄN</t>
        </is>
      </c>
      <c r="E4549" t="inlineStr">
        <is>
          <t>NORRKÖPING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14576-2023</t>
        </is>
      </c>
      <c r="B4550" s="1" t="n">
        <v>45013</v>
      </c>
      <c r="C4550" s="1" t="n">
        <v>46093</v>
      </c>
      <c r="D4550" t="inlineStr">
        <is>
          <t>ÖSTERGÖTLANDS LÄN</t>
        </is>
      </c>
      <c r="E4550" t="inlineStr">
        <is>
          <t>LINKÖPING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56821-2025</t>
        </is>
      </c>
      <c r="B4551" s="1" t="n">
        <v>45978.46326388889</v>
      </c>
      <c r="C4551" s="1" t="n">
        <v>46093</v>
      </c>
      <c r="D4551" t="inlineStr">
        <is>
          <t>ÖSTERGÖTLANDS LÄN</t>
        </is>
      </c>
      <c r="E4551" t="inlineStr">
        <is>
          <t>NORRKÖPING</t>
        </is>
      </c>
      <c r="F4551" t="inlineStr">
        <is>
          <t>Holmen skog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9702-2022</t>
        </is>
      </c>
      <c r="B4552" s="1" t="n">
        <v>44617.6878125</v>
      </c>
      <c r="C4552" s="1" t="n">
        <v>46093</v>
      </c>
      <c r="D4552" t="inlineStr">
        <is>
          <t>ÖSTERGÖTLANDS LÄN</t>
        </is>
      </c>
      <c r="E4552" t="inlineStr">
        <is>
          <t>KINDA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8611-2025</t>
        </is>
      </c>
      <c r="B4553" s="1" t="n">
        <v>45710</v>
      </c>
      <c r="C4553" s="1" t="n">
        <v>46093</v>
      </c>
      <c r="D4553" t="inlineStr">
        <is>
          <t>ÖSTERGÖTLANDS LÄN</t>
        </is>
      </c>
      <c r="E4553" t="inlineStr">
        <is>
          <t>FINSPÅNG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34177-2021</t>
        </is>
      </c>
      <c r="B4554" s="1" t="n">
        <v>44379</v>
      </c>
      <c r="C4554" s="1" t="n">
        <v>46093</v>
      </c>
      <c r="D4554" t="inlineStr">
        <is>
          <t>ÖSTERGÖTLANDS LÄN</t>
        </is>
      </c>
      <c r="E4554" t="inlineStr">
        <is>
          <t>SÖDERKÖPING</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18410-2023</t>
        </is>
      </c>
      <c r="B4555" s="1" t="n">
        <v>45042.40232638889</v>
      </c>
      <c r="C4555" s="1" t="n">
        <v>46093</v>
      </c>
      <c r="D4555" t="inlineStr">
        <is>
          <t>ÖSTERGÖTLANDS LÄN</t>
        </is>
      </c>
      <c r="E4555" t="inlineStr">
        <is>
          <t>KINDA</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22770-2024</t>
        </is>
      </c>
      <c r="B4556" s="1" t="n">
        <v>45448.4634375</v>
      </c>
      <c r="C4556" s="1" t="n">
        <v>46093</v>
      </c>
      <c r="D4556" t="inlineStr">
        <is>
          <t>ÖSTERGÖTLANDS LÄN</t>
        </is>
      </c>
      <c r="E4556" t="inlineStr">
        <is>
          <t>LINKÖPING</t>
        </is>
      </c>
      <c r="F4556" t="inlineStr">
        <is>
          <t>Sveaskog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23373-2024</t>
        </is>
      </c>
      <c r="B4557" s="1" t="n">
        <v>45453.55534722222</v>
      </c>
      <c r="C4557" s="1" t="n">
        <v>46093</v>
      </c>
      <c r="D4557" t="inlineStr">
        <is>
          <t>ÖSTERGÖTLANDS LÄN</t>
        </is>
      </c>
      <c r="E4557" t="inlineStr">
        <is>
          <t>NORRKÖPING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4770-2023</t>
        </is>
      </c>
      <c r="B4558" s="1" t="n">
        <v>44957</v>
      </c>
      <c r="C4558" s="1" t="n">
        <v>46093</v>
      </c>
      <c r="D4558" t="inlineStr">
        <is>
          <t>ÖSTERGÖTLANDS LÄN</t>
        </is>
      </c>
      <c r="E4558" t="inlineStr">
        <is>
          <t>NORRKÖPING</t>
        </is>
      </c>
      <c r="F4558" t="inlineStr">
        <is>
          <t>Holmen skog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2923-2023</t>
        </is>
      </c>
      <c r="B4559" s="1" t="n">
        <v>44945.58030092593</v>
      </c>
      <c r="C4559" s="1" t="n">
        <v>46093</v>
      </c>
      <c r="D4559" t="inlineStr">
        <is>
          <t>ÖSTERGÖTLANDS LÄN</t>
        </is>
      </c>
      <c r="E4559" t="inlineStr">
        <is>
          <t>NORRKÖPING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4318-2023</t>
        </is>
      </c>
      <c r="B4560" s="1" t="n">
        <v>44953</v>
      </c>
      <c r="C4560" s="1" t="n">
        <v>46093</v>
      </c>
      <c r="D4560" t="inlineStr">
        <is>
          <t>ÖSTERGÖTLANDS LÄN</t>
        </is>
      </c>
      <c r="E4560" t="inlineStr">
        <is>
          <t>SÖDERKÖPING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56710-2025</t>
        </is>
      </c>
      <c r="B4561" s="1" t="n">
        <v>45977.81061342593</v>
      </c>
      <c r="C4561" s="1" t="n">
        <v>46093</v>
      </c>
      <c r="D4561" t="inlineStr">
        <is>
          <t>ÖSTERGÖTLANDS LÄN</t>
        </is>
      </c>
      <c r="E4561" t="inlineStr">
        <is>
          <t>KINDA</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56720-2025</t>
        </is>
      </c>
      <c r="B4562" s="1" t="n">
        <v>45978.29121527778</v>
      </c>
      <c r="C4562" s="1" t="n">
        <v>46093</v>
      </c>
      <c r="D4562" t="inlineStr">
        <is>
          <t>ÖSTERGÖTLANDS LÄN</t>
        </is>
      </c>
      <c r="E4562" t="inlineStr">
        <is>
          <t>YDRE</t>
        </is>
      </c>
      <c r="F4562" t="inlineStr">
        <is>
          <t>Övriga Aktiebolag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43082-2023</t>
        </is>
      </c>
      <c r="B4563" s="1" t="n">
        <v>45182</v>
      </c>
      <c r="C4563" s="1" t="n">
        <v>46093</v>
      </c>
      <c r="D4563" t="inlineStr">
        <is>
          <t>ÖSTERGÖTLANDS LÄN</t>
        </is>
      </c>
      <c r="E4563" t="inlineStr">
        <is>
          <t>ÅTVIDABERG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9160-2023</t>
        </is>
      </c>
      <c r="B4564" s="1" t="n">
        <v>44980.40126157407</v>
      </c>
      <c r="C4564" s="1" t="n">
        <v>46093</v>
      </c>
      <c r="D4564" t="inlineStr">
        <is>
          <t>ÖSTERGÖTLANDS LÄN</t>
        </is>
      </c>
      <c r="E4564" t="inlineStr">
        <is>
          <t>YDRE</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4659-2023</t>
        </is>
      </c>
      <c r="B4565" s="1" t="n">
        <v>44952</v>
      </c>
      <c r="C4565" s="1" t="n">
        <v>46093</v>
      </c>
      <c r="D4565" t="inlineStr">
        <is>
          <t>ÖSTERGÖTLANDS LÄN</t>
        </is>
      </c>
      <c r="E4565" t="inlineStr">
        <is>
          <t>KINDA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56997-2025</t>
        </is>
      </c>
      <c r="B4566" s="1" t="n">
        <v>45978.73516203704</v>
      </c>
      <c r="C4566" s="1" t="n">
        <v>46093</v>
      </c>
      <c r="D4566" t="inlineStr">
        <is>
          <t>ÖSTERGÖTLANDS LÄN</t>
        </is>
      </c>
      <c r="E4566" t="inlineStr">
        <is>
          <t>FINSPÅNG</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55624-2024</t>
        </is>
      </c>
      <c r="B4567" s="1" t="n">
        <v>45622.59552083333</v>
      </c>
      <c r="C4567" s="1" t="n">
        <v>46093</v>
      </c>
      <c r="D4567" t="inlineStr">
        <is>
          <t>ÖSTERGÖTLANDS LÄN</t>
        </is>
      </c>
      <c r="E4567" t="inlineStr">
        <is>
          <t>FINSPÅNG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15843-2023</t>
        </is>
      </c>
      <c r="B4568" s="1" t="n">
        <v>45022.34695601852</v>
      </c>
      <c r="C4568" s="1" t="n">
        <v>46093</v>
      </c>
      <c r="D4568" t="inlineStr">
        <is>
          <t>ÖSTERGÖTLANDS LÄN</t>
        </is>
      </c>
      <c r="E4568" t="inlineStr">
        <is>
          <t>NORRKÖPING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20522-2025</t>
        </is>
      </c>
      <c r="B4569" s="1" t="n">
        <v>45775.6037037037</v>
      </c>
      <c r="C4569" s="1" t="n">
        <v>46093</v>
      </c>
      <c r="D4569" t="inlineStr">
        <is>
          <t>ÖSTERGÖTLANDS LÄN</t>
        </is>
      </c>
      <c r="E4569" t="inlineStr">
        <is>
          <t>FINSPÅNG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56824-2025</t>
        </is>
      </c>
      <c r="B4570" s="1" t="n">
        <v>45978.46510416667</v>
      </c>
      <c r="C4570" s="1" t="n">
        <v>46093</v>
      </c>
      <c r="D4570" t="inlineStr">
        <is>
          <t>ÖSTERGÖTLANDS LÄN</t>
        </is>
      </c>
      <c r="E4570" t="inlineStr">
        <is>
          <t>NORRKÖPING</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56817-2025</t>
        </is>
      </c>
      <c r="B4571" s="1" t="n">
        <v>45978.46055555555</v>
      </c>
      <c r="C4571" s="1" t="n">
        <v>46093</v>
      </c>
      <c r="D4571" t="inlineStr">
        <is>
          <t>ÖSTERGÖTLANDS LÄN</t>
        </is>
      </c>
      <c r="E4571" t="inlineStr">
        <is>
          <t>NORRKÖPING</t>
        </is>
      </c>
      <c r="F4571" t="inlineStr">
        <is>
          <t>Holmen skog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45314-2023</t>
        </is>
      </c>
      <c r="B4572" s="1" t="n">
        <v>45191</v>
      </c>
      <c r="C4572" s="1" t="n">
        <v>46093</v>
      </c>
      <c r="D4572" t="inlineStr">
        <is>
          <t>ÖSTERGÖTLANDS LÄN</t>
        </is>
      </c>
      <c r="E4572" t="inlineStr">
        <is>
          <t>FINSPÅNG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22924-2023</t>
        </is>
      </c>
      <c r="B4573" s="1" t="n">
        <v>45072.59619212963</v>
      </c>
      <c r="C4573" s="1" t="n">
        <v>46093</v>
      </c>
      <c r="D4573" t="inlineStr">
        <is>
          <t>ÖSTERGÖTLANDS LÄN</t>
        </is>
      </c>
      <c r="E4573" t="inlineStr">
        <is>
          <t>ÅTVIDABERG</t>
        </is>
      </c>
      <c r="F4573" t="inlineStr">
        <is>
          <t>Sveaskog</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40297-2023</t>
        </is>
      </c>
      <c r="B4574" s="1" t="n">
        <v>45169.58528935185</v>
      </c>
      <c r="C4574" s="1" t="n">
        <v>46093</v>
      </c>
      <c r="D4574" t="inlineStr">
        <is>
          <t>ÖSTERGÖTLANDS LÄN</t>
        </is>
      </c>
      <c r="E4574" t="inlineStr">
        <is>
          <t>ÅTVIDABERG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10427-2023</t>
        </is>
      </c>
      <c r="B4575" s="1" t="n">
        <v>44987.5428587963</v>
      </c>
      <c r="C4575" s="1" t="n">
        <v>46093</v>
      </c>
      <c r="D4575" t="inlineStr">
        <is>
          <t>ÖSTERGÖTLANDS LÄN</t>
        </is>
      </c>
      <c r="E4575" t="inlineStr">
        <is>
          <t>NORRKÖPING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26834-2023</t>
        </is>
      </c>
      <c r="B4576" s="1" t="n">
        <v>45093.54811342592</v>
      </c>
      <c r="C4576" s="1" t="n">
        <v>46093</v>
      </c>
      <c r="D4576" t="inlineStr">
        <is>
          <t>ÖSTERGÖTLANDS LÄN</t>
        </is>
      </c>
      <c r="E4576" t="inlineStr">
        <is>
          <t>NORRKÖPING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26911-2023</t>
        </is>
      </c>
      <c r="B4577" s="1" t="n">
        <v>45090</v>
      </c>
      <c r="C4577" s="1" t="n">
        <v>46093</v>
      </c>
      <c r="D4577" t="inlineStr">
        <is>
          <t>ÖSTERGÖTLANDS LÄN</t>
        </is>
      </c>
      <c r="E4577" t="inlineStr">
        <is>
          <t>ÅTVIDABERG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7652-2022</t>
        </is>
      </c>
      <c r="B4578" s="1" t="n">
        <v>44607</v>
      </c>
      <c r="C4578" s="1" t="n">
        <v>46093</v>
      </c>
      <c r="D4578" t="inlineStr">
        <is>
          <t>ÖSTERGÖTLANDS LÄN</t>
        </is>
      </c>
      <c r="E4578" t="inlineStr">
        <is>
          <t>ÅTVIDABERG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11671-2023</t>
        </is>
      </c>
      <c r="B4579" s="1" t="n">
        <v>44994.48125</v>
      </c>
      <c r="C4579" s="1" t="n">
        <v>46093</v>
      </c>
      <c r="D4579" t="inlineStr">
        <is>
          <t>ÖSTERGÖTLANDS LÄN</t>
        </is>
      </c>
      <c r="E4579" t="inlineStr">
        <is>
          <t>LINKÖPING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12089-2025</t>
        </is>
      </c>
      <c r="B4580" s="1" t="n">
        <v>45729</v>
      </c>
      <c r="C4580" s="1" t="n">
        <v>46093</v>
      </c>
      <c r="D4580" t="inlineStr">
        <is>
          <t>ÖSTERGÖTLANDS LÄN</t>
        </is>
      </c>
      <c r="E4580" t="inlineStr">
        <is>
          <t>LINKÖPING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30062-2023</t>
        </is>
      </c>
      <c r="B4581" s="1" t="n">
        <v>45110</v>
      </c>
      <c r="C4581" s="1" t="n">
        <v>46093</v>
      </c>
      <c r="D4581" t="inlineStr">
        <is>
          <t>ÖSTERGÖTLANDS LÄN</t>
        </is>
      </c>
      <c r="E4581" t="inlineStr">
        <is>
          <t>NORRKÖPING</t>
        </is>
      </c>
      <c r="F4581" t="inlineStr">
        <is>
          <t>Holmen skog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49096-2022</t>
        </is>
      </c>
      <c r="B4582" s="1" t="n">
        <v>44860</v>
      </c>
      <c r="C4582" s="1" t="n">
        <v>46093</v>
      </c>
      <c r="D4582" t="inlineStr">
        <is>
          <t>ÖSTERGÖTLANDS LÄN</t>
        </is>
      </c>
      <c r="E4582" t="inlineStr">
        <is>
          <t>KINDA</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30392-2021</t>
        </is>
      </c>
      <c r="B4583" s="1" t="n">
        <v>44364.51332175926</v>
      </c>
      <c r="C4583" s="1" t="n">
        <v>46093</v>
      </c>
      <c r="D4583" t="inlineStr">
        <is>
          <t>ÖSTERGÖTLANDS LÄN</t>
        </is>
      </c>
      <c r="E4583" t="inlineStr">
        <is>
          <t>YDRE</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14142-2025</t>
        </is>
      </c>
      <c r="B4584" s="1" t="n">
        <v>45740.48484953704</v>
      </c>
      <c r="C4584" s="1" t="n">
        <v>46093</v>
      </c>
      <c r="D4584" t="inlineStr">
        <is>
          <t>ÖSTERGÖTLANDS LÄN</t>
        </is>
      </c>
      <c r="E4584" t="inlineStr">
        <is>
          <t>FINSPÅNG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56589-2025</t>
        </is>
      </c>
      <c r="B4585" s="1" t="n">
        <v>45975.56322916667</v>
      </c>
      <c r="C4585" s="1" t="n">
        <v>46093</v>
      </c>
      <c r="D4585" t="inlineStr">
        <is>
          <t>ÖSTERGÖTLANDS LÄN</t>
        </is>
      </c>
      <c r="E4585" t="inlineStr">
        <is>
          <t>NORRKÖPING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14157-2025</t>
        </is>
      </c>
      <c r="B4586" s="1" t="n">
        <v>45740.49797453704</v>
      </c>
      <c r="C4586" s="1" t="n">
        <v>46093</v>
      </c>
      <c r="D4586" t="inlineStr">
        <is>
          <t>ÖSTERGÖTLANDS LÄN</t>
        </is>
      </c>
      <c r="E4586" t="inlineStr">
        <is>
          <t>VALDEMARSVIK</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44823-2023</t>
        </is>
      </c>
      <c r="B4587" s="1" t="n">
        <v>45190</v>
      </c>
      <c r="C4587" s="1" t="n">
        <v>46093</v>
      </c>
      <c r="D4587" t="inlineStr">
        <is>
          <t>ÖSTERGÖTLANDS LÄN</t>
        </is>
      </c>
      <c r="E4587" t="inlineStr">
        <is>
          <t>BOXHOLM</t>
        </is>
      </c>
      <c r="F4587" t="inlineStr">
        <is>
          <t>Allmännings- och besparingsskogar</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56551-2023</t>
        </is>
      </c>
      <c r="B4588" s="1" t="n">
        <v>45243</v>
      </c>
      <c r="C4588" s="1" t="n">
        <v>46093</v>
      </c>
      <c r="D4588" t="inlineStr">
        <is>
          <t>ÖSTERGÖTLANDS LÄN</t>
        </is>
      </c>
      <c r="E4588" t="inlineStr">
        <is>
          <t>ÅTVIDABERG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43857-2023</t>
        </is>
      </c>
      <c r="B4589" s="1" t="n">
        <v>45187.61545138889</v>
      </c>
      <c r="C4589" s="1" t="n">
        <v>46093</v>
      </c>
      <c r="D4589" t="inlineStr">
        <is>
          <t>ÖSTERGÖTLANDS LÄN</t>
        </is>
      </c>
      <c r="E4589" t="inlineStr">
        <is>
          <t>KINDA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56830-2025</t>
        </is>
      </c>
      <c r="B4590" s="1" t="n">
        <v>45978.46680555555</v>
      </c>
      <c r="C4590" s="1" t="n">
        <v>46093</v>
      </c>
      <c r="D4590" t="inlineStr">
        <is>
          <t>ÖSTERGÖTLANDS LÄN</t>
        </is>
      </c>
      <c r="E4590" t="inlineStr">
        <is>
          <t>NORRKÖPING</t>
        </is>
      </c>
      <c r="F4590" t="inlineStr">
        <is>
          <t>Holmen skog AB</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63349-2023</t>
        </is>
      </c>
      <c r="B4591" s="1" t="n">
        <v>45274.43547453704</v>
      </c>
      <c r="C4591" s="1" t="n">
        <v>46093</v>
      </c>
      <c r="D4591" t="inlineStr">
        <is>
          <t>ÖSTERGÖTLANDS LÄN</t>
        </is>
      </c>
      <c r="E4591" t="inlineStr">
        <is>
          <t>NORRKÖPING</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56591-2025</t>
        </is>
      </c>
      <c r="B4592" s="1" t="n">
        <v>45975.56467592593</v>
      </c>
      <c r="C4592" s="1" t="n">
        <v>46093</v>
      </c>
      <c r="D4592" t="inlineStr">
        <is>
          <t>ÖSTERGÖTLANDS LÄN</t>
        </is>
      </c>
      <c r="E4592" t="inlineStr">
        <is>
          <t>ÅTVIDABERG</t>
        </is>
      </c>
      <c r="F4592" t="inlineStr">
        <is>
          <t>Kyrkan</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56603-2025</t>
        </is>
      </c>
      <c r="B4593" s="1" t="n">
        <v>45975.57780092592</v>
      </c>
      <c r="C4593" s="1" t="n">
        <v>46093</v>
      </c>
      <c r="D4593" t="inlineStr">
        <is>
          <t>ÖSTERGÖTLANDS LÄN</t>
        </is>
      </c>
      <c r="E4593" t="inlineStr">
        <is>
          <t>NORRKÖPING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55971-2023</t>
        </is>
      </c>
      <c r="B4594" s="1" t="n">
        <v>45240.36252314815</v>
      </c>
      <c r="C4594" s="1" t="n">
        <v>46093</v>
      </c>
      <c r="D4594" t="inlineStr">
        <is>
          <t>ÖSTERGÖTLANDS LÄN</t>
        </is>
      </c>
      <c r="E4594" t="inlineStr">
        <is>
          <t>ÖDESHÖG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9759-2022</t>
        </is>
      </c>
      <c r="B4595" s="1" t="n">
        <v>44618.86863425926</v>
      </c>
      <c r="C4595" s="1" t="n">
        <v>46093</v>
      </c>
      <c r="D4595" t="inlineStr">
        <is>
          <t>ÖSTERGÖTLANDS LÄN</t>
        </is>
      </c>
      <c r="E4595" t="inlineStr">
        <is>
          <t>ÅTVIDABERG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7561-2025</t>
        </is>
      </c>
      <c r="B4596" s="1" t="n">
        <v>45705.58834490741</v>
      </c>
      <c r="C4596" s="1" t="n">
        <v>46093</v>
      </c>
      <c r="D4596" t="inlineStr">
        <is>
          <t>ÖSTERGÖTLANDS LÄN</t>
        </is>
      </c>
      <c r="E4596" t="inlineStr">
        <is>
          <t>MJÖLBY</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56689-2025</t>
        </is>
      </c>
      <c r="B4597" s="1" t="n">
        <v>45976.56569444444</v>
      </c>
      <c r="C4597" s="1" t="n">
        <v>46093</v>
      </c>
      <c r="D4597" t="inlineStr">
        <is>
          <t>ÖSTERGÖTLANDS LÄN</t>
        </is>
      </c>
      <c r="E4597" t="inlineStr">
        <is>
          <t>NORRKÖPING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42355-2023</t>
        </is>
      </c>
      <c r="B4598" s="1" t="n">
        <v>45180</v>
      </c>
      <c r="C4598" s="1" t="n">
        <v>46093</v>
      </c>
      <c r="D4598" t="inlineStr">
        <is>
          <t>ÖSTERGÖTLANDS LÄN</t>
        </is>
      </c>
      <c r="E4598" t="inlineStr">
        <is>
          <t>SÖDERKÖPING</t>
        </is>
      </c>
      <c r="F4598" t="inlineStr">
        <is>
          <t>Allmännings- och besparingsskogar</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16964-2025</t>
        </is>
      </c>
      <c r="B4599" s="1" t="n">
        <v>45755.45708333333</v>
      </c>
      <c r="C4599" s="1" t="n">
        <v>46093</v>
      </c>
      <c r="D4599" t="inlineStr">
        <is>
          <t>ÖSTERGÖTLANDS LÄN</t>
        </is>
      </c>
      <c r="E4599" t="inlineStr">
        <is>
          <t>ÅTVIDABERG</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18200-2025</t>
        </is>
      </c>
      <c r="B4600" s="1" t="n">
        <v>45761.68189814815</v>
      </c>
      <c r="C4600" s="1" t="n">
        <v>46093</v>
      </c>
      <c r="D4600" t="inlineStr">
        <is>
          <t>ÖSTERGÖTLANDS LÄN</t>
        </is>
      </c>
      <c r="E4600" t="inlineStr">
        <is>
          <t>VALDEMARSVIK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56607-2025</t>
        </is>
      </c>
      <c r="B4601" s="1" t="n">
        <v>45975.58162037037</v>
      </c>
      <c r="C4601" s="1" t="n">
        <v>46093</v>
      </c>
      <c r="D4601" t="inlineStr">
        <is>
          <t>ÖSTERGÖTLANDS LÄN</t>
        </is>
      </c>
      <c r="E4601" t="inlineStr">
        <is>
          <t>NORRKÖPING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611-2023</t>
        </is>
      </c>
      <c r="B4602" s="1" t="n">
        <v>44930</v>
      </c>
      <c r="C4602" s="1" t="n">
        <v>46093</v>
      </c>
      <c r="D4602" t="inlineStr">
        <is>
          <t>ÖSTERGÖTLANDS LÄN</t>
        </is>
      </c>
      <c r="E4602" t="inlineStr">
        <is>
          <t>FINSPÅNG</t>
        </is>
      </c>
      <c r="F4602" t="inlineStr">
        <is>
          <t>Holmen skog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19161-2025</t>
        </is>
      </c>
      <c r="B4603" s="1" t="n">
        <v>45769.37105324074</v>
      </c>
      <c r="C4603" s="1" t="n">
        <v>46093</v>
      </c>
      <c r="D4603" t="inlineStr">
        <is>
          <t>ÖSTERGÖTLANDS LÄN</t>
        </is>
      </c>
      <c r="E4603" t="inlineStr">
        <is>
          <t>KINDA</t>
        </is>
      </c>
      <c r="F4603" t="inlineStr">
        <is>
          <t>Övriga Aktiebolag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9321-2025</t>
        </is>
      </c>
      <c r="B4604" s="1" t="n">
        <v>45714</v>
      </c>
      <c r="C4604" s="1" t="n">
        <v>46093</v>
      </c>
      <c r="D4604" t="inlineStr">
        <is>
          <t>ÖSTERGÖTLANDS LÄN</t>
        </is>
      </c>
      <c r="E4604" t="inlineStr">
        <is>
          <t>ÖDESHÖG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54425-2022</t>
        </is>
      </c>
      <c r="B4605" s="1" t="n">
        <v>44882.57453703704</v>
      </c>
      <c r="C4605" s="1" t="n">
        <v>46093</v>
      </c>
      <c r="D4605" t="inlineStr">
        <is>
          <t>ÖSTERGÖTLANDS LÄN</t>
        </is>
      </c>
      <c r="E4605" t="inlineStr">
        <is>
          <t>LINKÖPING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44741-2021</t>
        </is>
      </c>
      <c r="B4606" s="1" t="n">
        <v>44438.42228009259</v>
      </c>
      <c r="C4606" s="1" t="n">
        <v>46093</v>
      </c>
      <c r="D4606" t="inlineStr">
        <is>
          <t>ÖSTERGÖTLANDS LÄN</t>
        </is>
      </c>
      <c r="E4606" t="inlineStr">
        <is>
          <t>YDRE</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12682-2025</t>
        </is>
      </c>
      <c r="B4607" s="1" t="n">
        <v>45733.44431712963</v>
      </c>
      <c r="C4607" s="1" t="n">
        <v>46093</v>
      </c>
      <c r="D4607" t="inlineStr">
        <is>
          <t>ÖSTERGÖTLANDS LÄN</t>
        </is>
      </c>
      <c r="E4607" t="inlineStr">
        <is>
          <t>NORRKÖPING</t>
        </is>
      </c>
      <c r="F4607" t="inlineStr">
        <is>
          <t>Holmen skog AB</t>
        </is>
      </c>
      <c r="G4607" t="n">
        <v>2.3</v>
      </c>
      <c r="H4607" t="n">
        <v>0</v>
      </c>
      <c r="I4607" t="n">
        <v>0</v>
      </c>
      <c r="J4607" t="n">
        <v>0</v>
      </c>
      <c r="K4607" t="n">
        <v>0</v>
      </c>
      <c r="L4607" t="n">
        <v>0</v>
      </c>
      <c r="M4607" t="n">
        <v>0</v>
      </c>
      <c r="N4607" t="n">
        <v>0</v>
      </c>
      <c r="O4607" t="n">
        <v>0</v>
      </c>
      <c r="P4607" t="n">
        <v>0</v>
      </c>
      <c r="Q4607" t="n">
        <v>0</v>
      </c>
      <c r="R4607" s="2" t="inlineStr"/>
      <c r="U4607">
        <f>HYPERLINK("https://klasma.github.io/Logging_0581/knärot/A 12682-2025 karta knärot.png", "A 12682-2025")</f>
        <v/>
      </c>
      <c r="V4607">
        <f>HYPERLINK("https://klasma.github.io/Logging_0581/klagomål/A 12682-2025 FSC-klagomål.docx", "A 12682-2025")</f>
        <v/>
      </c>
      <c r="W4607">
        <f>HYPERLINK("https://klasma.github.io/Logging_0581/klagomålsmail/A 12682-2025 FSC-klagomål mail.docx", "A 12682-2025")</f>
        <v/>
      </c>
      <c r="X4607">
        <f>HYPERLINK("https://klasma.github.io/Logging_0581/tillsyn/A 12682-2025 tillsynsbegäran.docx", "A 12682-2025")</f>
        <v/>
      </c>
      <c r="Y4607">
        <f>HYPERLINK("https://klasma.github.io/Logging_0581/tillsynsmail/A 12682-2025 tillsynsbegäran mail.docx", "A 12682-2025")</f>
        <v/>
      </c>
    </row>
    <row r="4608" ht="15" customHeight="1">
      <c r="A4608" t="inlineStr">
        <is>
          <t>A 12684-2025</t>
        </is>
      </c>
      <c r="B4608" s="1" t="n">
        <v>45733.44594907408</v>
      </c>
      <c r="C4608" s="1" t="n">
        <v>46093</v>
      </c>
      <c r="D4608" t="inlineStr">
        <is>
          <t>ÖSTERGÖTLANDS LÄN</t>
        </is>
      </c>
      <c r="E4608" t="inlineStr">
        <is>
          <t>YDRE</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30945-2023</t>
        </is>
      </c>
      <c r="B4609" s="1" t="n">
        <v>45113</v>
      </c>
      <c r="C4609" s="1" t="n">
        <v>46093</v>
      </c>
      <c r="D4609" t="inlineStr">
        <is>
          <t>ÖSTERGÖTLANDS LÄN</t>
        </is>
      </c>
      <c r="E4609" t="inlineStr">
        <is>
          <t>ÖDESHÖG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3267-2023</t>
        </is>
      </c>
      <c r="B4610" s="1" t="n">
        <v>44949</v>
      </c>
      <c r="C4610" s="1" t="n">
        <v>46093</v>
      </c>
      <c r="D4610" t="inlineStr">
        <is>
          <t>ÖSTERGÖTLANDS LÄN</t>
        </is>
      </c>
      <c r="E4610" t="inlineStr">
        <is>
          <t>VALDEMARSVIK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31393-2022</t>
        </is>
      </c>
      <c r="B4611" s="1" t="n">
        <v>44774</v>
      </c>
      <c r="C4611" s="1" t="n">
        <v>46093</v>
      </c>
      <c r="D4611" t="inlineStr">
        <is>
          <t>ÖSTERGÖTLANDS LÄN</t>
        </is>
      </c>
      <c r="E4611" t="inlineStr">
        <is>
          <t>FINSPÅNG</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7619-2024</t>
        </is>
      </c>
      <c r="B4612" s="1" t="n">
        <v>45348.59662037037</v>
      </c>
      <c r="C4612" s="1" t="n">
        <v>46093</v>
      </c>
      <c r="D4612" t="inlineStr">
        <is>
          <t>ÖSTERGÖTLANDS LÄN</t>
        </is>
      </c>
      <c r="E4612" t="inlineStr">
        <is>
          <t>YDRE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57677-2025</t>
        </is>
      </c>
      <c r="B4613" s="1" t="n">
        <v>45980.27319444445</v>
      </c>
      <c r="C4613" s="1" t="n">
        <v>46093</v>
      </c>
      <c r="D4613" t="inlineStr">
        <is>
          <t>ÖSTERGÖTLANDS LÄN</t>
        </is>
      </c>
      <c r="E4613" t="inlineStr">
        <is>
          <t>FINSPÅNG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20783-2023</t>
        </is>
      </c>
      <c r="B4614" s="1" t="n">
        <v>45058</v>
      </c>
      <c r="C4614" s="1" t="n">
        <v>46093</v>
      </c>
      <c r="D4614" t="inlineStr">
        <is>
          <t>ÖSTERGÖTLANDS LÄN</t>
        </is>
      </c>
      <c r="E4614" t="inlineStr">
        <is>
          <t>SÖDERKÖPING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16164-2023</t>
        </is>
      </c>
      <c r="B4615" s="1" t="n">
        <v>45027</v>
      </c>
      <c r="C4615" s="1" t="n">
        <v>46093</v>
      </c>
      <c r="D4615" t="inlineStr">
        <is>
          <t>ÖSTERGÖTLANDS LÄN</t>
        </is>
      </c>
      <c r="E4615" t="inlineStr">
        <is>
          <t>ÖDESHÖG</t>
        </is>
      </c>
      <c r="F4615" t="inlineStr">
        <is>
          <t>Allmännings- och besparingsskogar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57290-2025</t>
        </is>
      </c>
      <c r="B4616" s="1" t="n">
        <v>45979.77318287037</v>
      </c>
      <c r="C4616" s="1" t="n">
        <v>46093</v>
      </c>
      <c r="D4616" t="inlineStr">
        <is>
          <t>ÖSTERGÖTLANDS LÄN</t>
        </is>
      </c>
      <c r="E4616" t="inlineStr">
        <is>
          <t>FINSPÅNG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19520-2025</t>
        </is>
      </c>
      <c r="B4617" s="1" t="n">
        <v>45770.45534722223</v>
      </c>
      <c r="C4617" s="1" t="n">
        <v>46093</v>
      </c>
      <c r="D4617" t="inlineStr">
        <is>
          <t>ÖSTERGÖTLANDS LÄN</t>
        </is>
      </c>
      <c r="E4617" t="inlineStr">
        <is>
          <t>FINSPÅNG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19529-2025</t>
        </is>
      </c>
      <c r="B4618" s="1" t="n">
        <v>45770.46763888889</v>
      </c>
      <c r="C4618" s="1" t="n">
        <v>46093</v>
      </c>
      <c r="D4618" t="inlineStr">
        <is>
          <t>ÖSTERGÖTLANDS LÄN</t>
        </is>
      </c>
      <c r="E4618" t="inlineStr">
        <is>
          <t>FINSPÅNG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33901-2021</t>
        </is>
      </c>
      <c r="B4619" s="1" t="n">
        <v>44378.65817129629</v>
      </c>
      <c r="C4619" s="1" t="n">
        <v>46093</v>
      </c>
      <c r="D4619" t="inlineStr">
        <is>
          <t>ÖSTERGÖTLANDS LÄN</t>
        </is>
      </c>
      <c r="E4619" t="inlineStr">
        <is>
          <t>VALDEMARSVIK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3276-2023</t>
        </is>
      </c>
      <c r="B4620" s="1" t="n">
        <v>44949.34574074074</v>
      </c>
      <c r="C4620" s="1" t="n">
        <v>46093</v>
      </c>
      <c r="D4620" t="inlineStr">
        <is>
          <t>ÖSTERGÖTLANDS LÄN</t>
        </is>
      </c>
      <c r="E4620" t="inlineStr">
        <is>
          <t>VALDEMARSVIK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6328-2022</t>
        </is>
      </c>
      <c r="B4621" s="1" t="n">
        <v>44600</v>
      </c>
      <c r="C4621" s="1" t="n">
        <v>46093</v>
      </c>
      <c r="D4621" t="inlineStr">
        <is>
          <t>ÖSTERGÖTLANDS LÄN</t>
        </is>
      </c>
      <c r="E4621" t="inlineStr">
        <is>
          <t>YDRE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60173-2023</t>
        </is>
      </c>
      <c r="B4622" s="1" t="n">
        <v>45258</v>
      </c>
      <c r="C4622" s="1" t="n">
        <v>46093</v>
      </c>
      <c r="D4622" t="inlineStr">
        <is>
          <t>ÖSTERGÖTLANDS LÄN</t>
        </is>
      </c>
      <c r="E4622" t="inlineStr">
        <is>
          <t>FINSPÅNG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15913-2023</t>
        </is>
      </c>
      <c r="B4623" s="1" t="n">
        <v>45022</v>
      </c>
      <c r="C4623" s="1" t="n">
        <v>46093</v>
      </c>
      <c r="D4623" t="inlineStr">
        <is>
          <t>ÖSTERGÖTLANDS LÄN</t>
        </is>
      </c>
      <c r="E4623" t="inlineStr">
        <is>
          <t>ÅTVIDABERG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19681-2025</t>
        </is>
      </c>
      <c r="B4624" s="1" t="n">
        <v>45770.84420138889</v>
      </c>
      <c r="C4624" s="1" t="n">
        <v>46093</v>
      </c>
      <c r="D4624" t="inlineStr">
        <is>
          <t>ÖSTERGÖTLANDS LÄN</t>
        </is>
      </c>
      <c r="E4624" t="inlineStr">
        <is>
          <t>NORRKÖPING</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53786-2021</t>
        </is>
      </c>
      <c r="B4625" s="1" t="n">
        <v>44463</v>
      </c>
      <c r="C4625" s="1" t="n">
        <v>46093</v>
      </c>
      <c r="D4625" t="inlineStr">
        <is>
          <t>ÖSTERGÖTLANDS LÄN</t>
        </is>
      </c>
      <c r="E4625" t="inlineStr">
        <is>
          <t>VALDEMARSVIK</t>
        </is>
      </c>
      <c r="F4625" t="inlineStr">
        <is>
          <t>Övriga Aktiebolag</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26949-2023</t>
        </is>
      </c>
      <c r="B4626" s="1" t="n">
        <v>45093.64758101852</v>
      </c>
      <c r="C4626" s="1" t="n">
        <v>46093</v>
      </c>
      <c r="D4626" t="inlineStr">
        <is>
          <t>ÖSTERGÖTLANDS LÄN</t>
        </is>
      </c>
      <c r="E4626" t="inlineStr">
        <is>
          <t>ÖDESHÖG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57665-2025</t>
        </is>
      </c>
      <c r="B4627" s="1" t="n">
        <v>45980.19018518519</v>
      </c>
      <c r="C4627" s="1" t="n">
        <v>46093</v>
      </c>
      <c r="D4627" t="inlineStr">
        <is>
          <t>ÖSTERGÖTLANDS LÄN</t>
        </is>
      </c>
      <c r="E4627" t="inlineStr">
        <is>
          <t>FINSPÅNG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46918-2022</t>
        </is>
      </c>
      <c r="B4628" s="1" t="n">
        <v>44851.67681712963</v>
      </c>
      <c r="C4628" s="1" t="n">
        <v>46093</v>
      </c>
      <c r="D4628" t="inlineStr">
        <is>
          <t>ÖSTERGÖTLANDS LÄN</t>
        </is>
      </c>
      <c r="E4628" t="inlineStr">
        <is>
          <t>KINDA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12472-2024</t>
        </is>
      </c>
      <c r="B4629" s="1" t="n">
        <v>45379</v>
      </c>
      <c r="C4629" s="1" t="n">
        <v>46093</v>
      </c>
      <c r="D4629" t="inlineStr">
        <is>
          <t>ÖSTERGÖTLANDS LÄN</t>
        </is>
      </c>
      <c r="E4629" t="inlineStr">
        <is>
          <t>FINSPÅNG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20221-2023</t>
        </is>
      </c>
      <c r="B4630" s="1" t="n">
        <v>45055</v>
      </c>
      <c r="C4630" s="1" t="n">
        <v>46093</v>
      </c>
      <c r="D4630" t="inlineStr">
        <is>
          <t>ÖSTERGÖTLANDS LÄN</t>
        </is>
      </c>
      <c r="E4630" t="inlineStr">
        <is>
          <t>SÖDERKÖPING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19261-2024</t>
        </is>
      </c>
      <c r="B4631" s="1" t="n">
        <v>45428</v>
      </c>
      <c r="C4631" s="1" t="n">
        <v>46093</v>
      </c>
      <c r="D4631" t="inlineStr">
        <is>
          <t>ÖSTERGÖTLANDS LÄN</t>
        </is>
      </c>
      <c r="E4631" t="inlineStr">
        <is>
          <t>YDRE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57274-2025</t>
        </is>
      </c>
      <c r="B4632" s="1" t="n">
        <v>45979.68559027778</v>
      </c>
      <c r="C4632" s="1" t="n">
        <v>46093</v>
      </c>
      <c r="D4632" t="inlineStr">
        <is>
          <t>ÖSTERGÖTLANDS LÄN</t>
        </is>
      </c>
      <c r="E4632" t="inlineStr">
        <is>
          <t>BOXHOLM</t>
        </is>
      </c>
      <c r="F4632" t="inlineStr">
        <is>
          <t>Kyrkan</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18059-2025</t>
        </is>
      </c>
      <c r="B4633" s="1" t="n">
        <v>45761.47806712963</v>
      </c>
      <c r="C4633" s="1" t="n">
        <v>46093</v>
      </c>
      <c r="D4633" t="inlineStr">
        <is>
          <t>ÖSTERGÖTLANDS LÄN</t>
        </is>
      </c>
      <c r="E4633" t="inlineStr">
        <is>
          <t>VALDEMARSVIK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21483-2023</t>
        </is>
      </c>
      <c r="B4634" s="1" t="n">
        <v>45063</v>
      </c>
      <c r="C4634" s="1" t="n">
        <v>46093</v>
      </c>
      <c r="D4634" t="inlineStr">
        <is>
          <t>ÖSTERGÖTLANDS LÄN</t>
        </is>
      </c>
      <c r="E4634" t="inlineStr">
        <is>
          <t>VALDEMARSVIK</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55215-2024</t>
        </is>
      </c>
      <c r="B4635" s="1" t="n">
        <v>45621.5675462963</v>
      </c>
      <c r="C4635" s="1" t="n">
        <v>46093</v>
      </c>
      <c r="D4635" t="inlineStr">
        <is>
          <t>ÖSTERGÖTLANDS LÄN</t>
        </is>
      </c>
      <c r="E4635" t="inlineStr">
        <is>
          <t>FINSPÅNG</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25981-2023</t>
        </is>
      </c>
      <c r="B4636" s="1" t="n">
        <v>45090.90752314815</v>
      </c>
      <c r="C4636" s="1" t="n">
        <v>46093</v>
      </c>
      <c r="D4636" t="inlineStr">
        <is>
          <t>ÖSTERGÖTLANDS LÄN</t>
        </is>
      </c>
      <c r="E4636" t="inlineStr">
        <is>
          <t>NORRKÖPING</t>
        </is>
      </c>
      <c r="F4636" t="inlineStr">
        <is>
          <t>Allmännings- och besparingsskogar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54727-2023</t>
        </is>
      </c>
      <c r="B4637" s="1" t="n">
        <v>45236.37188657407</v>
      </c>
      <c r="C4637" s="1" t="n">
        <v>46093</v>
      </c>
      <c r="D4637" t="inlineStr">
        <is>
          <t>ÖSTERGÖTLANDS LÄN</t>
        </is>
      </c>
      <c r="E4637" t="inlineStr">
        <is>
          <t>FINSPÅNG</t>
        </is>
      </c>
      <c r="F4637" t="inlineStr">
        <is>
          <t>Holmen skog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54730-2023</t>
        </is>
      </c>
      <c r="B4638" s="1" t="n">
        <v>45236.37878472222</v>
      </c>
      <c r="C4638" s="1" t="n">
        <v>46093</v>
      </c>
      <c r="D4638" t="inlineStr">
        <is>
          <t>ÖSTERGÖTLANDS LÄN</t>
        </is>
      </c>
      <c r="E4638" t="inlineStr">
        <is>
          <t>FINSPÅNG</t>
        </is>
      </c>
      <c r="F4638" t="inlineStr">
        <is>
          <t>Holmen skog AB</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47978-2023</t>
        </is>
      </c>
      <c r="B4639" s="1" t="n">
        <v>45204</v>
      </c>
      <c r="C4639" s="1" t="n">
        <v>46093</v>
      </c>
      <c r="D4639" t="inlineStr">
        <is>
          <t>ÖSTERGÖTLANDS LÄN</t>
        </is>
      </c>
      <c r="E4639" t="inlineStr">
        <is>
          <t>BOXHOLM</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60977-2023</t>
        </is>
      </c>
      <c r="B4640" s="1" t="n">
        <v>45261.4765625</v>
      </c>
      <c r="C4640" s="1" t="n">
        <v>46093</v>
      </c>
      <c r="D4640" t="inlineStr">
        <is>
          <t>ÖSTERGÖTLANDS LÄN</t>
        </is>
      </c>
      <c r="E4640" t="inlineStr">
        <is>
          <t>MJÖLBY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62988-2023</t>
        </is>
      </c>
      <c r="B4641" s="1" t="n">
        <v>45272</v>
      </c>
      <c r="C4641" s="1" t="n">
        <v>46093</v>
      </c>
      <c r="D4641" t="inlineStr">
        <is>
          <t>ÖSTERGÖTLANDS LÄN</t>
        </is>
      </c>
      <c r="E4641" t="inlineStr">
        <is>
          <t>ÖDESHÖG</t>
        </is>
      </c>
      <c r="F4641" t="inlineStr">
        <is>
          <t>Allmännings- och besparingsskogar</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5494-2024</t>
        </is>
      </c>
      <c r="B4642" s="1" t="n">
        <v>45334</v>
      </c>
      <c r="C4642" s="1" t="n">
        <v>46093</v>
      </c>
      <c r="D4642" t="inlineStr">
        <is>
          <t>ÖSTERGÖTLANDS LÄN</t>
        </is>
      </c>
      <c r="E4642" t="inlineStr">
        <is>
          <t>ÅTVIDABERG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5665-2024</t>
        </is>
      </c>
      <c r="B4643" s="1" t="n">
        <v>45334.65681712963</v>
      </c>
      <c r="C4643" s="1" t="n">
        <v>46093</v>
      </c>
      <c r="D4643" t="inlineStr">
        <is>
          <t>ÖSTERGÖTLANDS LÄN</t>
        </is>
      </c>
      <c r="E4643" t="inlineStr">
        <is>
          <t>YDRE</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2715-2022</t>
        </is>
      </c>
      <c r="B4644" s="1" t="n">
        <v>44580</v>
      </c>
      <c r="C4644" s="1" t="n">
        <v>46093</v>
      </c>
      <c r="D4644" t="inlineStr">
        <is>
          <t>ÖSTERGÖTLANDS LÄN</t>
        </is>
      </c>
      <c r="E4644" t="inlineStr">
        <is>
          <t>MJÖLBY</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20227-2025</t>
        </is>
      </c>
      <c r="B4645" s="1" t="n">
        <v>45772.6652662037</v>
      </c>
      <c r="C4645" s="1" t="n">
        <v>46093</v>
      </c>
      <c r="D4645" t="inlineStr">
        <is>
          <t>ÖSTERGÖTLANDS LÄN</t>
        </is>
      </c>
      <c r="E4645" t="inlineStr">
        <is>
          <t>NORRKÖPING</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56861-2023</t>
        </is>
      </c>
      <c r="B4646" s="1" t="n">
        <v>45244</v>
      </c>
      <c r="C4646" s="1" t="n">
        <v>46093</v>
      </c>
      <c r="D4646" t="inlineStr">
        <is>
          <t>ÖSTERGÖTLANDS LÄN</t>
        </is>
      </c>
      <c r="E4646" t="inlineStr">
        <is>
          <t>SÖDERKÖPING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41973-2024</t>
        </is>
      </c>
      <c r="B4647" s="1" t="n">
        <v>45561.61577546296</v>
      </c>
      <c r="C4647" s="1" t="n">
        <v>46093</v>
      </c>
      <c r="D4647" t="inlineStr">
        <is>
          <t>ÖSTERGÖTLANDS LÄN</t>
        </is>
      </c>
      <c r="E4647" t="inlineStr">
        <is>
          <t>BOXHOLM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60619-2023</t>
        </is>
      </c>
      <c r="B4648" s="1" t="n">
        <v>45260.37900462963</v>
      </c>
      <c r="C4648" s="1" t="n">
        <v>46093</v>
      </c>
      <c r="D4648" t="inlineStr">
        <is>
          <t>ÖSTERGÖTLANDS LÄN</t>
        </is>
      </c>
      <c r="E4648" t="inlineStr">
        <is>
          <t>FINSPÅNG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50137-2023</t>
        </is>
      </c>
      <c r="B4649" s="1" t="n">
        <v>45215.66366898148</v>
      </c>
      <c r="C4649" s="1" t="n">
        <v>46093</v>
      </c>
      <c r="D4649" t="inlineStr">
        <is>
          <t>ÖSTERGÖTLANDS LÄN</t>
        </is>
      </c>
      <c r="E4649" t="inlineStr">
        <is>
          <t>MOTALA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50148-2023</t>
        </is>
      </c>
      <c r="B4650" s="1" t="n">
        <v>45215.67923611111</v>
      </c>
      <c r="C4650" s="1" t="n">
        <v>46093</v>
      </c>
      <c r="D4650" t="inlineStr">
        <is>
          <t>ÖSTERGÖTLANDS LÄN</t>
        </is>
      </c>
      <c r="E4650" t="inlineStr">
        <is>
          <t>VALDEMARSVIK</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50241-2022</t>
        </is>
      </c>
      <c r="B4651" s="1" t="n">
        <v>44865</v>
      </c>
      <c r="C4651" s="1" t="n">
        <v>46093</v>
      </c>
      <c r="D4651" t="inlineStr">
        <is>
          <t>ÖSTERGÖTLANDS LÄN</t>
        </is>
      </c>
      <c r="E4651" t="inlineStr">
        <is>
          <t>SÖDERKÖPING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59460-2023</t>
        </is>
      </c>
      <c r="B4652" s="1" t="n">
        <v>45254</v>
      </c>
      <c r="C4652" s="1" t="n">
        <v>46093</v>
      </c>
      <c r="D4652" t="inlineStr">
        <is>
          <t>ÖSTERGÖTLANDS LÄN</t>
        </is>
      </c>
      <c r="E4652" t="inlineStr">
        <is>
          <t>NORRKÖPING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57666-2025</t>
        </is>
      </c>
      <c r="B4653" s="1" t="n">
        <v>45980.19660879629</v>
      </c>
      <c r="C4653" s="1" t="n">
        <v>46093</v>
      </c>
      <c r="D4653" t="inlineStr">
        <is>
          <t>ÖSTERGÖTLANDS LÄN</t>
        </is>
      </c>
      <c r="E4653" t="inlineStr">
        <is>
          <t>FINSPÅNG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57678-2025</t>
        </is>
      </c>
      <c r="B4654" s="1" t="n">
        <v>45980.2784375</v>
      </c>
      <c r="C4654" s="1" t="n">
        <v>46093</v>
      </c>
      <c r="D4654" t="inlineStr">
        <is>
          <t>ÖSTERGÖTLANDS LÄN</t>
        </is>
      </c>
      <c r="E4654" t="inlineStr">
        <is>
          <t>FINSPÅNG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22439-2023</t>
        </is>
      </c>
      <c r="B4655" s="1" t="n">
        <v>45070.69009259259</v>
      </c>
      <c r="C4655" s="1" t="n">
        <v>46093</v>
      </c>
      <c r="D4655" t="inlineStr">
        <is>
          <t>ÖSTERGÖTLANDS LÄN</t>
        </is>
      </c>
      <c r="E4655" t="inlineStr">
        <is>
          <t>FINSPÅNG</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54923-2022</t>
        </is>
      </c>
      <c r="B4656" s="1" t="n">
        <v>44886.42974537037</v>
      </c>
      <c r="C4656" s="1" t="n">
        <v>46093</v>
      </c>
      <c r="D4656" t="inlineStr">
        <is>
          <t>ÖSTERGÖTLANDS LÄN</t>
        </is>
      </c>
      <c r="E4656" t="inlineStr">
        <is>
          <t>FINSPÅNG</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32574-2022</t>
        </is>
      </c>
      <c r="B4657" s="1" t="n">
        <v>44783</v>
      </c>
      <c r="C4657" s="1" t="n">
        <v>46093</v>
      </c>
      <c r="D4657" t="inlineStr">
        <is>
          <t>ÖSTERGÖTLANDS LÄN</t>
        </is>
      </c>
      <c r="E4657" t="inlineStr">
        <is>
          <t>NORRKÖPING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29717-2023</t>
        </is>
      </c>
      <c r="B4658" s="1" t="n">
        <v>45107.42807870371</v>
      </c>
      <c r="C4658" s="1" t="n">
        <v>46093</v>
      </c>
      <c r="D4658" t="inlineStr">
        <is>
          <t>ÖSTERGÖTLANDS LÄN</t>
        </is>
      </c>
      <c r="E4658" t="inlineStr">
        <is>
          <t>KINDA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20972-2021</t>
        </is>
      </c>
      <c r="B4659" s="1" t="n">
        <v>44319.56430555556</v>
      </c>
      <c r="C4659" s="1" t="n">
        <v>46093</v>
      </c>
      <c r="D4659" t="inlineStr">
        <is>
          <t>ÖSTERGÖTLANDS LÄN</t>
        </is>
      </c>
      <c r="E4659" t="inlineStr">
        <is>
          <t>KINDA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22354-2023</t>
        </is>
      </c>
      <c r="B4660" s="1" t="n">
        <v>45070.58025462963</v>
      </c>
      <c r="C4660" s="1" t="n">
        <v>46093</v>
      </c>
      <c r="D4660" t="inlineStr">
        <is>
          <t>ÖSTERGÖTLANDS LÄN</t>
        </is>
      </c>
      <c r="E4660" t="inlineStr">
        <is>
          <t>FINSPÅNG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57024-2025</t>
        </is>
      </c>
      <c r="B4661" s="1" t="n">
        <v>45979.28211805555</v>
      </c>
      <c r="C4661" s="1" t="n">
        <v>46093</v>
      </c>
      <c r="D4661" t="inlineStr">
        <is>
          <t>ÖSTERGÖTLANDS LÄN</t>
        </is>
      </c>
      <c r="E4661" t="inlineStr">
        <is>
          <t>YDRE</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57026-2025</t>
        </is>
      </c>
      <c r="B4662" s="1" t="n">
        <v>45979.30042824074</v>
      </c>
      <c r="C4662" s="1" t="n">
        <v>46093</v>
      </c>
      <c r="D4662" t="inlineStr">
        <is>
          <t>ÖSTERGÖTLANDS LÄN</t>
        </is>
      </c>
      <c r="E4662" t="inlineStr">
        <is>
          <t>YDRE</t>
        </is>
      </c>
      <c r="F4662" t="inlineStr">
        <is>
          <t>Övriga Aktiebolag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30547-2023</t>
        </is>
      </c>
      <c r="B4663" s="1" t="n">
        <v>45111.75905092592</v>
      </c>
      <c r="C4663" s="1" t="n">
        <v>46093</v>
      </c>
      <c r="D4663" t="inlineStr">
        <is>
          <t>ÖSTERGÖTLANDS LÄN</t>
        </is>
      </c>
      <c r="E4663" t="inlineStr">
        <is>
          <t>LINKÖPING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15526-2023</t>
        </is>
      </c>
      <c r="B4664" s="1" t="n">
        <v>45020.5508912037</v>
      </c>
      <c r="C4664" s="1" t="n">
        <v>46093</v>
      </c>
      <c r="D4664" t="inlineStr">
        <is>
          <t>ÖSTERGÖTLANDS LÄN</t>
        </is>
      </c>
      <c r="E4664" t="inlineStr">
        <is>
          <t>BOXHOLM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24904-2024</t>
        </is>
      </c>
      <c r="B4665" s="1" t="n">
        <v>45461</v>
      </c>
      <c r="C4665" s="1" t="n">
        <v>46093</v>
      </c>
      <c r="D4665" t="inlineStr">
        <is>
          <t>ÖSTERGÖTLANDS LÄN</t>
        </is>
      </c>
      <c r="E4665" t="inlineStr">
        <is>
          <t>LINKÖPING</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23630-2023</t>
        </is>
      </c>
      <c r="B4666" s="1" t="n">
        <v>45077</v>
      </c>
      <c r="C4666" s="1" t="n">
        <v>46093</v>
      </c>
      <c r="D4666" t="inlineStr">
        <is>
          <t>ÖSTERGÖTLANDS LÄN</t>
        </is>
      </c>
      <c r="E4666" t="inlineStr">
        <is>
          <t>NORRKÖPING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31801-2024</t>
        </is>
      </c>
      <c r="B4667" s="1" t="n">
        <v>45509.57052083333</v>
      </c>
      <c r="C4667" s="1" t="n">
        <v>46093</v>
      </c>
      <c r="D4667" t="inlineStr">
        <is>
          <t>ÖSTERGÖTLANDS LÄN</t>
        </is>
      </c>
      <c r="E4667" t="inlineStr">
        <is>
          <t>NORRKÖPING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15674-2023</t>
        </is>
      </c>
      <c r="B4668" s="1" t="n">
        <v>45021</v>
      </c>
      <c r="C4668" s="1" t="n">
        <v>46093</v>
      </c>
      <c r="D4668" t="inlineStr">
        <is>
          <t>ÖSTERGÖTLANDS LÄN</t>
        </is>
      </c>
      <c r="E4668" t="inlineStr">
        <is>
          <t>FINSPÅNG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54812-2022</t>
        </is>
      </c>
      <c r="B4669" s="1" t="n">
        <v>44883</v>
      </c>
      <c r="C4669" s="1" t="n">
        <v>46093</v>
      </c>
      <c r="D4669" t="inlineStr">
        <is>
          <t>ÖSTERGÖTLANDS LÄN</t>
        </is>
      </c>
      <c r="E4669" t="inlineStr">
        <is>
          <t>VALDEMARSVIK</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27965-2024</t>
        </is>
      </c>
      <c r="B4670" s="1" t="n">
        <v>45476.37353009259</v>
      </c>
      <c r="C4670" s="1" t="n">
        <v>46093</v>
      </c>
      <c r="D4670" t="inlineStr">
        <is>
          <t>ÖSTERGÖTLANDS LÄN</t>
        </is>
      </c>
      <c r="E4670" t="inlineStr">
        <is>
          <t>MOTALA</t>
        </is>
      </c>
      <c r="F4670" t="inlineStr">
        <is>
          <t>Holmen skog AB</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9002-2023</t>
        </is>
      </c>
      <c r="B4671" s="1" t="n">
        <v>44979</v>
      </c>
      <c r="C4671" s="1" t="n">
        <v>46093</v>
      </c>
      <c r="D4671" t="inlineStr">
        <is>
          <t>ÖSTERGÖTLANDS LÄN</t>
        </is>
      </c>
      <c r="E4671" t="inlineStr">
        <is>
          <t>SÖDERKÖPING</t>
        </is>
      </c>
      <c r="F4671" t="inlineStr">
        <is>
          <t>Allmännings- och besparingsskogar</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28043-2024</t>
        </is>
      </c>
      <c r="B4672" s="1" t="n">
        <v>45476.50915509259</v>
      </c>
      <c r="C4672" s="1" t="n">
        <v>46093</v>
      </c>
      <c r="D4672" t="inlineStr">
        <is>
          <t>ÖSTERGÖTLANDS LÄN</t>
        </is>
      </c>
      <c r="E4672" t="inlineStr">
        <is>
          <t>KINDA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57125-2025</t>
        </is>
      </c>
      <c r="B4673" s="1" t="n">
        <v>45979.47040509259</v>
      </c>
      <c r="C4673" s="1" t="n">
        <v>46093</v>
      </c>
      <c r="D4673" t="inlineStr">
        <is>
          <t>ÖSTERGÖTLANDS LÄN</t>
        </is>
      </c>
      <c r="E4673" t="inlineStr">
        <is>
          <t>MJÖLBY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61670-2022</t>
        </is>
      </c>
      <c r="B4674" s="1" t="n">
        <v>44917</v>
      </c>
      <c r="C4674" s="1" t="n">
        <v>46093</v>
      </c>
      <c r="D4674" t="inlineStr">
        <is>
          <t>ÖSTERGÖTLANDS LÄN</t>
        </is>
      </c>
      <c r="E4674" t="inlineStr">
        <is>
          <t>ÅTVIDABERG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57181-2025</t>
        </is>
      </c>
      <c r="B4675" s="1" t="n">
        <v>45979.56186342592</v>
      </c>
      <c r="C4675" s="1" t="n">
        <v>46093</v>
      </c>
      <c r="D4675" t="inlineStr">
        <is>
          <t>ÖSTERGÖTLANDS LÄN</t>
        </is>
      </c>
      <c r="E4675" t="inlineStr">
        <is>
          <t>MJÖLBY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23645-2023</t>
        </is>
      </c>
      <c r="B4676" s="1" t="n">
        <v>45077.54380787037</v>
      </c>
      <c r="C4676" s="1" t="n">
        <v>46093</v>
      </c>
      <c r="D4676" t="inlineStr">
        <is>
          <t>ÖSTERGÖTLANDS LÄN</t>
        </is>
      </c>
      <c r="E4676" t="inlineStr">
        <is>
          <t>ÅTVIDABERG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18658-2023</t>
        </is>
      </c>
      <c r="B4677" s="1" t="n">
        <v>45043</v>
      </c>
      <c r="C4677" s="1" t="n">
        <v>46093</v>
      </c>
      <c r="D4677" t="inlineStr">
        <is>
          <t>ÖSTERGÖTLANDS LÄN</t>
        </is>
      </c>
      <c r="E4677" t="inlineStr">
        <is>
          <t>NORRKÖPING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62192-2022</t>
        </is>
      </c>
      <c r="B4678" s="1" t="n">
        <v>44914</v>
      </c>
      <c r="C4678" s="1" t="n">
        <v>46093</v>
      </c>
      <c r="D4678" t="inlineStr">
        <is>
          <t>ÖSTERGÖTLANDS LÄN</t>
        </is>
      </c>
      <c r="E4678" t="inlineStr">
        <is>
          <t>BOXHOLM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6226-2023</t>
        </is>
      </c>
      <c r="B4679" s="1" t="n">
        <v>44964.8993287037</v>
      </c>
      <c r="C4679" s="1" t="n">
        <v>46093</v>
      </c>
      <c r="D4679" t="inlineStr">
        <is>
          <t>ÖSTERGÖTLANDS LÄN</t>
        </is>
      </c>
      <c r="E4679" t="inlineStr">
        <is>
          <t>ÅTVIDABERG</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39740-2023</t>
        </is>
      </c>
      <c r="B4680" s="1" t="n">
        <v>45167</v>
      </c>
      <c r="C4680" s="1" t="n">
        <v>46093</v>
      </c>
      <c r="D4680" t="inlineStr">
        <is>
          <t>ÖSTERGÖTLANDS LÄN</t>
        </is>
      </c>
      <c r="E4680" t="inlineStr">
        <is>
          <t>FINSPÅNG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62236-2022</t>
        </is>
      </c>
      <c r="B4681" s="1" t="n">
        <v>44922</v>
      </c>
      <c r="C4681" s="1" t="n">
        <v>46093</v>
      </c>
      <c r="D4681" t="inlineStr">
        <is>
          <t>ÖSTERGÖTLANDS LÄN</t>
        </is>
      </c>
      <c r="E4681" t="inlineStr">
        <is>
          <t>ÅTVIDABERG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42651-2024</t>
        </is>
      </c>
      <c r="B4682" s="1" t="n">
        <v>45566.32579861111</v>
      </c>
      <c r="C4682" s="1" t="n">
        <v>46093</v>
      </c>
      <c r="D4682" t="inlineStr">
        <is>
          <t>ÖSTERGÖTLANDS LÄN</t>
        </is>
      </c>
      <c r="E4682" t="inlineStr">
        <is>
          <t>FINSPÅNG</t>
        </is>
      </c>
      <c r="F4682" t="inlineStr">
        <is>
          <t>Holmen skog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14061-2023</t>
        </is>
      </c>
      <c r="B4683" s="1" t="n">
        <v>45008</v>
      </c>
      <c r="C4683" s="1" t="n">
        <v>46093</v>
      </c>
      <c r="D4683" t="inlineStr">
        <is>
          <t>ÖSTERGÖTLANDS LÄN</t>
        </is>
      </c>
      <c r="E4683" t="inlineStr">
        <is>
          <t>FINSPÅNG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62321-2022</t>
        </is>
      </c>
      <c r="B4684" s="1" t="n">
        <v>44916</v>
      </c>
      <c r="C4684" s="1" t="n">
        <v>46093</v>
      </c>
      <c r="D4684" t="inlineStr">
        <is>
          <t>ÖSTERGÖTLANDS LÄN</t>
        </is>
      </c>
      <c r="E4684" t="inlineStr">
        <is>
          <t>LINKÖPING</t>
        </is>
      </c>
      <c r="F4684" t="inlineStr">
        <is>
          <t>Kommuner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57194-2025</t>
        </is>
      </c>
      <c r="B4685" s="1" t="n">
        <v>45979.57789351852</v>
      </c>
      <c r="C4685" s="1" t="n">
        <v>46093</v>
      </c>
      <c r="D4685" t="inlineStr">
        <is>
          <t>ÖSTERGÖTLANDS LÄN</t>
        </is>
      </c>
      <c r="E4685" t="inlineStr">
        <is>
          <t>MJÖLBY</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29374-2022</t>
        </is>
      </c>
      <c r="B4686" s="1" t="n">
        <v>44753.39758101852</v>
      </c>
      <c r="C4686" s="1" t="n">
        <v>46093</v>
      </c>
      <c r="D4686" t="inlineStr">
        <is>
          <t>ÖSTERGÖTLANDS LÄN</t>
        </is>
      </c>
      <c r="E4686" t="inlineStr">
        <is>
          <t>SÖDERKÖPING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29424-2022</t>
        </is>
      </c>
      <c r="B4687" s="1" t="n">
        <v>44753</v>
      </c>
      <c r="C4687" s="1" t="n">
        <v>46093</v>
      </c>
      <c r="D4687" t="inlineStr">
        <is>
          <t>ÖSTERGÖTLANDS LÄN</t>
        </is>
      </c>
      <c r="E4687" t="inlineStr">
        <is>
          <t>VALDEMARSVIK</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31929-2022</t>
        </is>
      </c>
      <c r="B4688" s="1" t="n">
        <v>44777</v>
      </c>
      <c r="C4688" s="1" t="n">
        <v>46093</v>
      </c>
      <c r="D4688" t="inlineStr">
        <is>
          <t>ÖSTERGÖTLANDS LÄN</t>
        </is>
      </c>
      <c r="E4688" t="inlineStr">
        <is>
          <t>ÅTVIDABERG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26788-2022</t>
        </is>
      </c>
      <c r="B4689" s="1" t="n">
        <v>44740</v>
      </c>
      <c r="C4689" s="1" t="n">
        <v>46093</v>
      </c>
      <c r="D4689" t="inlineStr">
        <is>
          <t>ÖSTERGÖTLANDS LÄN</t>
        </is>
      </c>
      <c r="E4689" t="inlineStr">
        <is>
          <t>LINKÖPING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650-2023</t>
        </is>
      </c>
      <c r="B4690" s="1" t="n">
        <v>44930.64962962963</v>
      </c>
      <c r="C4690" s="1" t="n">
        <v>46093</v>
      </c>
      <c r="D4690" t="inlineStr">
        <is>
          <t>ÖSTERGÖTLANDS LÄN</t>
        </is>
      </c>
      <c r="E4690" t="inlineStr">
        <is>
          <t>KINDA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19113-2023</t>
        </is>
      </c>
      <c r="B4691" s="1" t="n">
        <v>45048</v>
      </c>
      <c r="C4691" s="1" t="n">
        <v>46093</v>
      </c>
      <c r="D4691" t="inlineStr">
        <is>
          <t>ÖSTERGÖTLANDS LÄN</t>
        </is>
      </c>
      <c r="E4691" t="inlineStr">
        <is>
          <t>NORRKÖPING</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18494-2023</t>
        </is>
      </c>
      <c r="B4692" s="1" t="n">
        <v>45042.60699074074</v>
      </c>
      <c r="C4692" s="1" t="n">
        <v>46093</v>
      </c>
      <c r="D4692" t="inlineStr">
        <is>
          <t>ÖSTERGÖTLANDS LÄN</t>
        </is>
      </c>
      <c r="E4692" t="inlineStr">
        <is>
          <t>FINSPÅNG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49227-2022</t>
        </is>
      </c>
      <c r="B4693" s="1" t="n">
        <v>44861</v>
      </c>
      <c r="C4693" s="1" t="n">
        <v>46093</v>
      </c>
      <c r="D4693" t="inlineStr">
        <is>
          <t>ÖSTERGÖTLANDS LÄN</t>
        </is>
      </c>
      <c r="E4693" t="inlineStr">
        <is>
          <t>SÖDERKÖPING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18458-2024</t>
        </is>
      </c>
      <c r="B4694" s="1" t="n">
        <v>45425.47164351852</v>
      </c>
      <c r="C4694" s="1" t="n">
        <v>46093</v>
      </c>
      <c r="D4694" t="inlineStr">
        <is>
          <t>ÖSTERGÖTLANDS LÄN</t>
        </is>
      </c>
      <c r="E4694" t="inlineStr">
        <is>
          <t>MOTALA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2273-2025</t>
        </is>
      </c>
      <c r="B4695" s="1" t="n">
        <v>45673</v>
      </c>
      <c r="C4695" s="1" t="n">
        <v>46093</v>
      </c>
      <c r="D4695" t="inlineStr">
        <is>
          <t>ÖSTERGÖTLANDS LÄN</t>
        </is>
      </c>
      <c r="E4695" t="inlineStr">
        <is>
          <t>BOXHOLM</t>
        </is>
      </c>
      <c r="F4695" t="inlineStr">
        <is>
          <t>Övriga Aktiebolag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48322-2022</t>
        </is>
      </c>
      <c r="B4696" s="1" t="n">
        <v>44858.5522337963</v>
      </c>
      <c r="C4696" s="1" t="n">
        <v>46093</v>
      </c>
      <c r="D4696" t="inlineStr">
        <is>
          <t>ÖSTERGÖTLANDS LÄN</t>
        </is>
      </c>
      <c r="E4696" t="inlineStr">
        <is>
          <t>BOXHOLM</t>
        </is>
      </c>
      <c r="F4696" t="inlineStr">
        <is>
          <t>Allmännings- och besparingsskogar</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43277-2023</t>
        </is>
      </c>
      <c r="B4697" s="1" t="n">
        <v>45183</v>
      </c>
      <c r="C4697" s="1" t="n">
        <v>46093</v>
      </c>
      <c r="D4697" t="inlineStr">
        <is>
          <t>ÖSTERGÖTLANDS LÄN</t>
        </is>
      </c>
      <c r="E4697" t="inlineStr">
        <is>
          <t>NORRKÖPING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15121-2022</t>
        </is>
      </c>
      <c r="B4698" s="1" t="n">
        <v>44658</v>
      </c>
      <c r="C4698" s="1" t="n">
        <v>46093</v>
      </c>
      <c r="D4698" t="inlineStr">
        <is>
          <t>ÖSTERGÖTLANDS LÄN</t>
        </is>
      </c>
      <c r="E4698" t="inlineStr">
        <is>
          <t>LINKÖPING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23678-2023</t>
        </is>
      </c>
      <c r="B4699" s="1" t="n">
        <v>45077</v>
      </c>
      <c r="C4699" s="1" t="n">
        <v>46093</v>
      </c>
      <c r="D4699" t="inlineStr">
        <is>
          <t>ÖSTERGÖTLANDS LÄN</t>
        </is>
      </c>
      <c r="E4699" t="inlineStr">
        <is>
          <t>VADSTENA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45119-2023</t>
        </is>
      </c>
      <c r="B4700" s="1" t="n">
        <v>45187</v>
      </c>
      <c r="C4700" s="1" t="n">
        <v>46093</v>
      </c>
      <c r="D4700" t="inlineStr">
        <is>
          <t>ÖSTERGÖTLANDS LÄN</t>
        </is>
      </c>
      <c r="E4700" t="inlineStr">
        <is>
          <t>KINDA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57603-2025</t>
        </is>
      </c>
      <c r="B4701" s="1" t="n">
        <v>45981.32298611111</v>
      </c>
      <c r="C4701" s="1" t="n">
        <v>46093</v>
      </c>
      <c r="D4701" t="inlineStr">
        <is>
          <t>ÖSTERGÖTLANDS LÄN</t>
        </is>
      </c>
      <c r="E4701" t="inlineStr">
        <is>
          <t>BOXHOLM</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58064-2025</t>
        </is>
      </c>
      <c r="B4702" s="1" t="n">
        <v>45982</v>
      </c>
      <c r="C4702" s="1" t="n">
        <v>46093</v>
      </c>
      <c r="D4702" t="inlineStr">
        <is>
          <t>ÖSTERGÖTLANDS LÄN</t>
        </is>
      </c>
      <c r="E4702" t="inlineStr">
        <is>
          <t>ÅTVIDABERG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11839-2025</t>
        </is>
      </c>
      <c r="B4703" s="1" t="n">
        <v>45728.36512731481</v>
      </c>
      <c r="C4703" s="1" t="n">
        <v>46093</v>
      </c>
      <c r="D4703" t="inlineStr">
        <is>
          <t>ÖSTERGÖTLANDS LÄN</t>
        </is>
      </c>
      <c r="E4703" t="inlineStr">
        <is>
          <t>FINSPÅNG</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47962-2023</t>
        </is>
      </c>
      <c r="B4704" s="1" t="n">
        <v>45204.59921296296</v>
      </c>
      <c r="C4704" s="1" t="n">
        <v>46093</v>
      </c>
      <c r="D4704" t="inlineStr">
        <is>
          <t>ÖSTERGÖTLANDS LÄN</t>
        </is>
      </c>
      <c r="E4704" t="inlineStr">
        <is>
          <t>VALDEMARSVIK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49142-2023</t>
        </is>
      </c>
      <c r="B4705" s="1" t="n">
        <v>45210</v>
      </c>
      <c r="C4705" s="1" t="n">
        <v>46093</v>
      </c>
      <c r="D4705" t="inlineStr">
        <is>
          <t>ÖSTERGÖTLANDS LÄN</t>
        </is>
      </c>
      <c r="E4705" t="inlineStr">
        <is>
          <t>FINSPÅNG</t>
        </is>
      </c>
      <c r="F4705" t="inlineStr">
        <is>
          <t>Övriga Aktiebolag</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53246-2022</t>
        </is>
      </c>
      <c r="B4706" s="1" t="n">
        <v>44876</v>
      </c>
      <c r="C4706" s="1" t="n">
        <v>46093</v>
      </c>
      <c r="D4706" t="inlineStr">
        <is>
          <t>ÖSTERGÖTLANDS LÄN</t>
        </is>
      </c>
      <c r="E4706" t="inlineStr">
        <is>
          <t>FINSPÅNG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58083-2025</t>
        </is>
      </c>
      <c r="B4707" s="1" t="n">
        <v>45982.56547453703</v>
      </c>
      <c r="C4707" s="1" t="n">
        <v>46093</v>
      </c>
      <c r="D4707" t="inlineStr">
        <is>
          <t>ÖSTERGÖTLANDS LÄN</t>
        </is>
      </c>
      <c r="E4707" t="inlineStr">
        <is>
          <t>ÅTVIDABERG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57606-2025</t>
        </is>
      </c>
      <c r="B4708" s="1" t="n">
        <v>45981.33721064815</v>
      </c>
      <c r="C4708" s="1" t="n">
        <v>46093</v>
      </c>
      <c r="D4708" t="inlineStr">
        <is>
          <t>ÖSTERGÖTLANDS LÄN</t>
        </is>
      </c>
      <c r="E4708" t="inlineStr">
        <is>
          <t>BOXHOLM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13870-2025</t>
        </is>
      </c>
      <c r="B4709" s="1" t="n">
        <v>45737.58509259259</v>
      </c>
      <c r="C4709" s="1" t="n">
        <v>46093</v>
      </c>
      <c r="D4709" t="inlineStr">
        <is>
          <t>ÖSTERGÖTLANDS LÄN</t>
        </is>
      </c>
      <c r="E4709" t="inlineStr">
        <is>
          <t>MJÖLBY</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51919-2024</t>
        </is>
      </c>
      <c r="B4710" s="1" t="n">
        <v>45607.60791666667</v>
      </c>
      <c r="C4710" s="1" t="n">
        <v>46093</v>
      </c>
      <c r="D4710" t="inlineStr">
        <is>
          <t>ÖSTERGÖTLANDS LÄN</t>
        </is>
      </c>
      <c r="E4710" t="inlineStr">
        <is>
          <t>LINKÖPING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43475-2024</t>
        </is>
      </c>
      <c r="B4711" s="1" t="n">
        <v>45568</v>
      </c>
      <c r="C4711" s="1" t="n">
        <v>46093</v>
      </c>
      <c r="D4711" t="inlineStr">
        <is>
          <t>ÖSTERGÖTLANDS LÄN</t>
        </is>
      </c>
      <c r="E4711" t="inlineStr">
        <is>
          <t>LINKÖPING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57694-2025</t>
        </is>
      </c>
      <c r="B4712" s="1" t="n">
        <v>45981.45193287037</v>
      </c>
      <c r="C4712" s="1" t="n">
        <v>46093</v>
      </c>
      <c r="D4712" t="inlineStr">
        <is>
          <t>ÖSTERGÖTLANDS LÄN</t>
        </is>
      </c>
      <c r="E4712" t="inlineStr">
        <is>
          <t>MJÖLBY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36320-2021</t>
        </is>
      </c>
      <c r="B4713" s="1" t="n">
        <v>44390</v>
      </c>
      <c r="C4713" s="1" t="n">
        <v>46093</v>
      </c>
      <c r="D4713" t="inlineStr">
        <is>
          <t>ÖSTERGÖTLANDS LÄN</t>
        </is>
      </c>
      <c r="E4713" t="inlineStr">
        <is>
          <t>ÅTVIDABERG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32781-2021</t>
        </is>
      </c>
      <c r="B4714" s="1" t="n">
        <v>44375</v>
      </c>
      <c r="C4714" s="1" t="n">
        <v>46093</v>
      </c>
      <c r="D4714" t="inlineStr">
        <is>
          <t>ÖSTERGÖTLANDS LÄN</t>
        </is>
      </c>
      <c r="E4714" t="inlineStr">
        <is>
          <t>KINDA</t>
        </is>
      </c>
      <c r="G4714" t="n">
        <v>2</v>
      </c>
      <c r="H4714" t="n">
        <v>0</v>
      </c>
      <c r="I4714" t="n">
        <v>0</v>
      </c>
      <c r="J4714" t="n">
        <v>0</v>
      </c>
      <c r="K4714" t="n">
        <v>0</v>
      </c>
      <c r="L4714" t="n">
        <v>0</v>
      </c>
      <c r="M4714" t="n">
        <v>0</v>
      </c>
      <c r="N4714" t="n">
        <v>0</v>
      </c>
      <c r="O4714" t="n">
        <v>0</v>
      </c>
      <c r="P4714" t="n">
        <v>0</v>
      </c>
      <c r="Q4714" t="n">
        <v>0</v>
      </c>
      <c r="R4714" s="2" t="inlineStr"/>
      <c r="U4714">
        <f>HYPERLINK("https://klasma.github.io/Logging_0513/knärot/A 32781-2021 karta knärot.png", "A 32781-2021")</f>
        <v/>
      </c>
      <c r="V4714">
        <f>HYPERLINK("https://klasma.github.io/Logging_0513/klagomål/A 32781-2021 FSC-klagomål.docx", "A 32781-2021")</f>
        <v/>
      </c>
      <c r="W4714">
        <f>HYPERLINK("https://klasma.github.io/Logging_0513/klagomålsmail/A 32781-2021 FSC-klagomål mail.docx", "A 32781-2021")</f>
        <v/>
      </c>
      <c r="X4714">
        <f>HYPERLINK("https://klasma.github.io/Logging_0513/tillsyn/A 32781-2021 tillsynsbegäran.docx", "A 32781-2021")</f>
        <v/>
      </c>
      <c r="Y4714">
        <f>HYPERLINK("https://klasma.github.io/Logging_0513/tillsynsmail/A 32781-2021 tillsynsbegäran mail.docx", "A 32781-2021")</f>
        <v/>
      </c>
    </row>
    <row r="4715" ht="15" customHeight="1">
      <c r="A4715" t="inlineStr">
        <is>
          <t>A 2253-2022</t>
        </is>
      </c>
      <c r="B4715" s="1" t="n">
        <v>44578</v>
      </c>
      <c r="C4715" s="1" t="n">
        <v>46093</v>
      </c>
      <c r="D4715" t="inlineStr">
        <is>
          <t>ÖSTERGÖTLANDS LÄN</t>
        </is>
      </c>
      <c r="E4715" t="inlineStr">
        <is>
          <t>VADSTENA</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9081-2022</t>
        </is>
      </c>
      <c r="B4716" s="1" t="n">
        <v>44615</v>
      </c>
      <c r="C4716" s="1" t="n">
        <v>46093</v>
      </c>
      <c r="D4716" t="inlineStr">
        <is>
          <t>ÖSTERGÖTLANDS LÄN</t>
        </is>
      </c>
      <c r="E4716" t="inlineStr">
        <is>
          <t>MOTALA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9339-2022</t>
        </is>
      </c>
      <c r="B4717" s="1" t="n">
        <v>44616</v>
      </c>
      <c r="C4717" s="1" t="n">
        <v>46093</v>
      </c>
      <c r="D4717" t="inlineStr">
        <is>
          <t>ÖSTERGÖTLANDS LÄN</t>
        </is>
      </c>
      <c r="E4717" t="inlineStr">
        <is>
          <t>FINSPÅNG</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58172-2023</t>
        </is>
      </c>
      <c r="B4718" s="1" t="n">
        <v>45250.39884259259</v>
      </c>
      <c r="C4718" s="1" t="n">
        <v>46093</v>
      </c>
      <c r="D4718" t="inlineStr">
        <is>
          <t>ÖSTERGÖTLANDS LÄN</t>
        </is>
      </c>
      <c r="E4718" t="inlineStr">
        <is>
          <t>ÅTVIDABERG</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8318-2025</t>
        </is>
      </c>
      <c r="B4719" s="1" t="n">
        <v>45708.62505787037</v>
      </c>
      <c r="C4719" s="1" t="n">
        <v>46093</v>
      </c>
      <c r="D4719" t="inlineStr">
        <is>
          <t>ÖSTERGÖTLANDS LÄN</t>
        </is>
      </c>
      <c r="E4719" t="inlineStr">
        <is>
          <t>KINDA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20065-2025</t>
        </is>
      </c>
      <c r="B4720" s="1" t="n">
        <v>45772</v>
      </c>
      <c r="C4720" s="1" t="n">
        <v>46093</v>
      </c>
      <c r="D4720" t="inlineStr">
        <is>
          <t>ÖSTERGÖTLANDS LÄN</t>
        </is>
      </c>
      <c r="E4720" t="inlineStr">
        <is>
          <t>SÖDERKÖPING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18915-2023</t>
        </is>
      </c>
      <c r="B4721" s="1" t="n">
        <v>45043</v>
      </c>
      <c r="C4721" s="1" t="n">
        <v>46093</v>
      </c>
      <c r="D4721" t="inlineStr">
        <is>
          <t>ÖSTERGÖTLANDS LÄN</t>
        </is>
      </c>
      <c r="E4721" t="inlineStr">
        <is>
          <t>MOTALA</t>
        </is>
      </c>
      <c r="F4721" t="inlineStr">
        <is>
          <t>Övriga statliga verk och myndigheter</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55009-2023</t>
        </is>
      </c>
      <c r="B4722" s="1" t="n">
        <v>45237</v>
      </c>
      <c r="C4722" s="1" t="n">
        <v>46093</v>
      </c>
      <c r="D4722" t="inlineStr">
        <is>
          <t>ÖSTERGÖTLANDS LÄN</t>
        </is>
      </c>
      <c r="E4722" t="inlineStr">
        <is>
          <t>LINKÖPING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20290-2025</t>
        </is>
      </c>
      <c r="B4723" s="1" t="n">
        <v>45774.7228125</v>
      </c>
      <c r="C4723" s="1" t="n">
        <v>46093</v>
      </c>
      <c r="D4723" t="inlineStr">
        <is>
          <t>ÖSTERGÖTLANDS LÄN</t>
        </is>
      </c>
      <c r="E4723" t="inlineStr">
        <is>
          <t>MJÖLBY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20291-2025</t>
        </is>
      </c>
      <c r="B4724" s="1" t="n">
        <v>45774.74288194445</v>
      </c>
      <c r="C4724" s="1" t="n">
        <v>46093</v>
      </c>
      <c r="D4724" t="inlineStr">
        <is>
          <t>ÖSTERGÖTLANDS LÄN</t>
        </is>
      </c>
      <c r="E4724" t="inlineStr">
        <is>
          <t>LINKÖPING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20293-2025</t>
        </is>
      </c>
      <c r="B4725" s="1" t="n">
        <v>45774.74611111111</v>
      </c>
      <c r="C4725" s="1" t="n">
        <v>46093</v>
      </c>
      <c r="D4725" t="inlineStr">
        <is>
          <t>ÖSTERGÖTLANDS LÄN</t>
        </is>
      </c>
      <c r="E4725" t="inlineStr">
        <is>
          <t>LINKÖPING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20358-2025</t>
        </is>
      </c>
      <c r="B4726" s="1" t="n">
        <v>45775.39516203704</v>
      </c>
      <c r="C4726" s="1" t="n">
        <v>46093</v>
      </c>
      <c r="D4726" t="inlineStr">
        <is>
          <t>ÖSTERGÖTLANDS LÄN</t>
        </is>
      </c>
      <c r="E4726" t="inlineStr">
        <is>
          <t>MOTALA</t>
        </is>
      </c>
      <c r="F4726" t="inlineStr">
        <is>
          <t>Sveaskog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58341-2025</t>
        </is>
      </c>
      <c r="B4727" s="1" t="n">
        <v>45982</v>
      </c>
      <c r="C4727" s="1" t="n">
        <v>46093</v>
      </c>
      <c r="D4727" t="inlineStr">
        <is>
          <t>ÖSTERGÖTLANDS LÄN</t>
        </is>
      </c>
      <c r="E4727" t="inlineStr">
        <is>
          <t>MOTALA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72398-2021</t>
        </is>
      </c>
      <c r="B4728" s="1" t="n">
        <v>44545</v>
      </c>
      <c r="C4728" s="1" t="n">
        <v>46093</v>
      </c>
      <c r="D4728" t="inlineStr">
        <is>
          <t>ÖSTERGÖTLANDS LÄN</t>
        </is>
      </c>
      <c r="E4728" t="inlineStr">
        <is>
          <t>ÅTVIDABERG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19365-2025</t>
        </is>
      </c>
      <c r="B4729" s="1" t="n">
        <v>45769.63548611111</v>
      </c>
      <c r="C4729" s="1" t="n">
        <v>46093</v>
      </c>
      <c r="D4729" t="inlineStr">
        <is>
          <t>ÖSTERGÖTLANDS LÄN</t>
        </is>
      </c>
      <c r="E4729" t="inlineStr">
        <is>
          <t>BOXHOLM</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17103-2025</t>
        </is>
      </c>
      <c r="B4730" s="1" t="n">
        <v>45755.66143518518</v>
      </c>
      <c r="C4730" s="1" t="n">
        <v>46093</v>
      </c>
      <c r="D4730" t="inlineStr">
        <is>
          <t>ÖSTERGÖTLANDS LÄN</t>
        </is>
      </c>
      <c r="E4730" t="inlineStr">
        <is>
          <t>LINKÖPING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637-2023</t>
        </is>
      </c>
      <c r="B4731" s="1" t="n">
        <v>44930</v>
      </c>
      <c r="C4731" s="1" t="n">
        <v>46093</v>
      </c>
      <c r="D4731" t="inlineStr">
        <is>
          <t>ÖSTERGÖTLANDS LÄN</t>
        </is>
      </c>
      <c r="E4731" t="inlineStr">
        <is>
          <t>MOTALA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660-2023</t>
        </is>
      </c>
      <c r="B4732" s="1" t="n">
        <v>44930</v>
      </c>
      <c r="C4732" s="1" t="n">
        <v>46093</v>
      </c>
      <c r="D4732" t="inlineStr">
        <is>
          <t>ÖSTERGÖTLANDS LÄN</t>
        </is>
      </c>
      <c r="E4732" t="inlineStr">
        <is>
          <t>LINKÖPING</t>
        </is>
      </c>
      <c r="F4732" t="inlineStr">
        <is>
          <t>Kyrkan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30551-2023</t>
        </is>
      </c>
      <c r="B4733" s="1" t="n">
        <v>45111</v>
      </c>
      <c r="C4733" s="1" t="n">
        <v>46093</v>
      </c>
      <c r="D4733" t="inlineStr">
        <is>
          <t>ÖSTERGÖTLANDS LÄN</t>
        </is>
      </c>
      <c r="E4733" t="inlineStr">
        <is>
          <t>LINKÖPING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8815-2024</t>
        </is>
      </c>
      <c r="B4734" s="1" t="n">
        <v>45356.66037037037</v>
      </c>
      <c r="C4734" s="1" t="n">
        <v>46093</v>
      </c>
      <c r="D4734" t="inlineStr">
        <is>
          <t>ÖSTERGÖTLANDS LÄN</t>
        </is>
      </c>
      <c r="E4734" t="inlineStr">
        <is>
          <t>NORRKÖPING</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57992-2021</t>
        </is>
      </c>
      <c r="B4735" s="1" t="n">
        <v>44487</v>
      </c>
      <c r="C4735" s="1" t="n">
        <v>46093</v>
      </c>
      <c r="D4735" t="inlineStr">
        <is>
          <t>ÖSTERGÖTLANDS LÄN</t>
        </is>
      </c>
      <c r="E4735" t="inlineStr">
        <is>
          <t>MOTALA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50784-2022</t>
        </is>
      </c>
      <c r="B4736" s="1" t="n">
        <v>44862</v>
      </c>
      <c r="C4736" s="1" t="n">
        <v>46093</v>
      </c>
      <c r="D4736" t="inlineStr">
        <is>
          <t>ÖSTERGÖTLANDS LÄN</t>
        </is>
      </c>
      <c r="E4736" t="inlineStr">
        <is>
          <t>LINKÖPING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19925-2024</t>
        </is>
      </c>
      <c r="B4737" s="1" t="n">
        <v>45433.5965625</v>
      </c>
      <c r="C4737" s="1" t="n">
        <v>46093</v>
      </c>
      <c r="D4737" t="inlineStr">
        <is>
          <t>ÖSTERGÖTLANDS LÄN</t>
        </is>
      </c>
      <c r="E4737" t="inlineStr">
        <is>
          <t>VALDEMARSVIK</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20967-2023</t>
        </is>
      </c>
      <c r="B4738" s="1" t="n">
        <v>45061</v>
      </c>
      <c r="C4738" s="1" t="n">
        <v>46093</v>
      </c>
      <c r="D4738" t="inlineStr">
        <is>
          <t>ÖSTERGÖTLANDS LÄN</t>
        </is>
      </c>
      <c r="E4738" t="inlineStr">
        <is>
          <t>SÖDERKÖPING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9361-2025</t>
        </is>
      </c>
      <c r="B4739" s="1" t="n">
        <v>45715.30601851852</v>
      </c>
      <c r="C4739" s="1" t="n">
        <v>46093</v>
      </c>
      <c r="D4739" t="inlineStr">
        <is>
          <t>ÖSTERGÖTLANDS LÄN</t>
        </is>
      </c>
      <c r="E4739" t="inlineStr">
        <is>
          <t>BOXHOLM</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20444-2021</t>
        </is>
      </c>
      <c r="B4740" s="1" t="n">
        <v>44315</v>
      </c>
      <c r="C4740" s="1" t="n">
        <v>46093</v>
      </c>
      <c r="D4740" t="inlineStr">
        <is>
          <t>ÖSTERGÖTLANDS LÄN</t>
        </is>
      </c>
      <c r="E4740" t="inlineStr">
        <is>
          <t>FINSPÅNG</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22856-2023</t>
        </is>
      </c>
      <c r="B4741" s="1" t="n">
        <v>45072.47387731481</v>
      </c>
      <c r="C4741" s="1" t="n">
        <v>46093</v>
      </c>
      <c r="D4741" t="inlineStr">
        <is>
          <t>ÖSTERGÖTLANDS LÄN</t>
        </is>
      </c>
      <c r="E4741" t="inlineStr">
        <is>
          <t>BOXHOLM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18664-2023</t>
        </is>
      </c>
      <c r="B4742" s="1" t="n">
        <v>45043</v>
      </c>
      <c r="C4742" s="1" t="n">
        <v>46093</v>
      </c>
      <c r="D4742" t="inlineStr">
        <is>
          <t>ÖSTERGÖTLANDS LÄN</t>
        </is>
      </c>
      <c r="E4742" t="inlineStr">
        <is>
          <t>NORRKÖPING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64694-2023</t>
        </is>
      </c>
      <c r="B4743" s="1" t="n">
        <v>45281</v>
      </c>
      <c r="C4743" s="1" t="n">
        <v>46093</v>
      </c>
      <c r="D4743" t="inlineStr">
        <is>
          <t>ÖSTERGÖTLANDS LÄN</t>
        </is>
      </c>
      <c r="E4743" t="inlineStr">
        <is>
          <t>LINKÖPING</t>
        </is>
      </c>
      <c r="F4743" t="inlineStr">
        <is>
          <t>Övriga statliga verk och myndigheter</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48679-2024</t>
        </is>
      </c>
      <c r="B4744" s="1" t="n">
        <v>45593.49458333333</v>
      </c>
      <c r="C4744" s="1" t="n">
        <v>46093</v>
      </c>
      <c r="D4744" t="inlineStr">
        <is>
          <t>ÖSTERGÖTLANDS LÄN</t>
        </is>
      </c>
      <c r="E4744" t="inlineStr">
        <is>
          <t>FINSPÅNG</t>
        </is>
      </c>
      <c r="F4744" t="inlineStr">
        <is>
          <t>Övriga Aktiebolag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19259-2023</t>
        </is>
      </c>
      <c r="B4745" s="1" t="n">
        <v>45049.34974537037</v>
      </c>
      <c r="C4745" s="1" t="n">
        <v>46093</v>
      </c>
      <c r="D4745" t="inlineStr">
        <is>
          <t>ÖSTERGÖTLANDS LÄN</t>
        </is>
      </c>
      <c r="E4745" t="inlineStr">
        <is>
          <t>NORRKÖPING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19260-2023</t>
        </is>
      </c>
      <c r="B4746" s="1" t="n">
        <v>45049.35048611111</v>
      </c>
      <c r="C4746" s="1" t="n">
        <v>46093</v>
      </c>
      <c r="D4746" t="inlineStr">
        <is>
          <t>ÖSTERGÖTLANDS LÄN</t>
        </is>
      </c>
      <c r="E4746" t="inlineStr">
        <is>
          <t>NORRKÖPING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954-2024</t>
        </is>
      </c>
      <c r="B4747" s="1" t="n">
        <v>45301.56914351852</v>
      </c>
      <c r="C4747" s="1" t="n">
        <v>46093</v>
      </c>
      <c r="D4747" t="inlineStr">
        <is>
          <t>ÖSTERGÖTLANDS LÄN</t>
        </is>
      </c>
      <c r="E4747" t="inlineStr">
        <is>
          <t>BOXHOLM</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965-2024</t>
        </is>
      </c>
      <c r="B4748" s="1" t="n">
        <v>45301.57965277778</v>
      </c>
      <c r="C4748" s="1" t="n">
        <v>46093</v>
      </c>
      <c r="D4748" t="inlineStr">
        <is>
          <t>ÖSTERGÖTLANDS LÄN</t>
        </is>
      </c>
      <c r="E4748" t="inlineStr">
        <is>
          <t>BOXHOLM</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62260-2023</t>
        </is>
      </c>
      <c r="B4749" s="1" t="n">
        <v>45267.6274537037</v>
      </c>
      <c r="C4749" s="1" t="n">
        <v>46093</v>
      </c>
      <c r="D4749" t="inlineStr">
        <is>
          <t>ÖSTERGÖTLANDS LÄN</t>
        </is>
      </c>
      <c r="E4749" t="inlineStr">
        <is>
          <t>KINDA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7609-2023</t>
        </is>
      </c>
      <c r="B4750" s="1" t="n">
        <v>44972</v>
      </c>
      <c r="C4750" s="1" t="n">
        <v>46093</v>
      </c>
      <c r="D4750" t="inlineStr">
        <is>
          <t>ÖSTERGÖTLANDS LÄN</t>
        </is>
      </c>
      <c r="E4750" t="inlineStr">
        <is>
          <t>ÅTVIDABERG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34907-2024</t>
        </is>
      </c>
      <c r="B4751" s="1" t="n">
        <v>45527.41597222222</v>
      </c>
      <c r="C4751" s="1" t="n">
        <v>46093</v>
      </c>
      <c r="D4751" t="inlineStr">
        <is>
          <t>ÖSTERGÖTLANDS LÄN</t>
        </is>
      </c>
      <c r="E4751" t="inlineStr">
        <is>
          <t>NORRKÖPING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22043-2023</t>
        </is>
      </c>
      <c r="B4752" s="1" t="n">
        <v>45069.39050925926</v>
      </c>
      <c r="C4752" s="1" t="n">
        <v>46093</v>
      </c>
      <c r="D4752" t="inlineStr">
        <is>
          <t>ÖSTERGÖTLANDS LÄN</t>
        </is>
      </c>
      <c r="E4752" t="inlineStr">
        <is>
          <t>LINKÖPING</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2021-2023</t>
        </is>
      </c>
      <c r="B4753" s="1" t="n">
        <v>44939</v>
      </c>
      <c r="C4753" s="1" t="n">
        <v>46093</v>
      </c>
      <c r="D4753" t="inlineStr">
        <is>
          <t>ÖSTERGÖTLANDS LÄN</t>
        </is>
      </c>
      <c r="E4753" t="inlineStr">
        <is>
          <t>NORRKÖPING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42781-2021</t>
        </is>
      </c>
      <c r="B4754" s="1" t="n">
        <v>44428.71333333333</v>
      </c>
      <c r="C4754" s="1" t="n">
        <v>46093</v>
      </c>
      <c r="D4754" t="inlineStr">
        <is>
          <t>ÖSTERGÖTLANDS LÄN</t>
        </is>
      </c>
      <c r="E4754" t="inlineStr">
        <is>
          <t>YDRE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73260-2021</t>
        </is>
      </c>
      <c r="B4755" s="1" t="n">
        <v>44550.79950231482</v>
      </c>
      <c r="C4755" s="1" t="n">
        <v>46093</v>
      </c>
      <c r="D4755" t="inlineStr">
        <is>
          <t>ÖSTERGÖTLANDS LÄN</t>
        </is>
      </c>
      <c r="E4755" t="inlineStr">
        <is>
          <t>FINSPÅNG</t>
        </is>
      </c>
      <c r="G4755" t="n">
        <v>10.3</v>
      </c>
      <c r="H4755" t="n">
        <v>0</v>
      </c>
      <c r="I4755" t="n">
        <v>0</v>
      </c>
      <c r="J4755" t="n">
        <v>0</v>
      </c>
      <c r="K4755" t="n">
        <v>0</v>
      </c>
      <c r="L4755" t="n">
        <v>0</v>
      </c>
      <c r="M4755" t="n">
        <v>0</v>
      </c>
      <c r="N4755" t="n">
        <v>0</v>
      </c>
      <c r="O4755" t="n">
        <v>0</v>
      </c>
      <c r="P4755" t="n">
        <v>0</v>
      </c>
      <c r="Q4755" t="n">
        <v>0</v>
      </c>
      <c r="R4755" s="2" t="inlineStr"/>
    </row>
    <row r="4756" ht="15" customHeight="1">
      <c r="A4756" t="inlineStr">
        <is>
          <t>A 57942-2025</t>
        </is>
      </c>
      <c r="B4756" s="1" t="n">
        <v>45982.31621527778</v>
      </c>
      <c r="C4756" s="1" t="n">
        <v>46093</v>
      </c>
      <c r="D4756" t="inlineStr">
        <is>
          <t>ÖSTERGÖTLANDS LÄN</t>
        </is>
      </c>
      <c r="E4756" t="inlineStr">
        <is>
          <t>MJÖLBY</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1645-2022</t>
        </is>
      </c>
      <c r="B4757" s="1" t="n">
        <v>44573</v>
      </c>
      <c r="C4757" s="1" t="n">
        <v>46093</v>
      </c>
      <c r="D4757" t="inlineStr">
        <is>
          <t>ÖSTERGÖTLANDS LÄN</t>
        </is>
      </c>
      <c r="E4757" t="inlineStr">
        <is>
          <t>MOTALA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14503-2023</t>
        </is>
      </c>
      <c r="B4758" s="1" t="n">
        <v>45012.79270833333</v>
      </c>
      <c r="C4758" s="1" t="n">
        <v>46093</v>
      </c>
      <c r="D4758" t="inlineStr">
        <is>
          <t>ÖSTERGÖTLANDS LÄN</t>
        </is>
      </c>
      <c r="E4758" t="inlineStr">
        <is>
          <t>NORRKÖPING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12814-2022</t>
        </is>
      </c>
      <c r="B4759" s="1" t="n">
        <v>44642.39262731482</v>
      </c>
      <c r="C4759" s="1" t="n">
        <v>46093</v>
      </c>
      <c r="D4759" t="inlineStr">
        <is>
          <t>ÖSTERGÖTLANDS LÄN</t>
        </is>
      </c>
      <c r="E4759" t="inlineStr">
        <is>
          <t>FINSPÅNG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53572-2023</t>
        </is>
      </c>
      <c r="B4760" s="1" t="n">
        <v>45230</v>
      </c>
      <c r="C4760" s="1" t="n">
        <v>46093</v>
      </c>
      <c r="D4760" t="inlineStr">
        <is>
          <t>ÖSTERGÖTLANDS LÄN</t>
        </is>
      </c>
      <c r="E4760" t="inlineStr">
        <is>
          <t>FINSPÅNG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55395-2022</t>
        </is>
      </c>
      <c r="B4761" s="1" t="n">
        <v>44887</v>
      </c>
      <c r="C4761" s="1" t="n">
        <v>46093</v>
      </c>
      <c r="D4761" t="inlineStr">
        <is>
          <t>ÖSTERGÖTLANDS LÄN</t>
        </is>
      </c>
      <c r="E4761" t="inlineStr">
        <is>
          <t>MOTALA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24935-2024</t>
        </is>
      </c>
      <c r="B4762" s="1" t="n">
        <v>45461</v>
      </c>
      <c r="C4762" s="1" t="n">
        <v>46093</v>
      </c>
      <c r="D4762" t="inlineStr">
        <is>
          <t>ÖSTERGÖTLANDS LÄN</t>
        </is>
      </c>
      <c r="E4762" t="inlineStr">
        <is>
          <t>ÅTVIDABERG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70505-2021</t>
        </is>
      </c>
      <c r="B4763" s="1" t="n">
        <v>44536</v>
      </c>
      <c r="C4763" s="1" t="n">
        <v>46093</v>
      </c>
      <c r="D4763" t="inlineStr">
        <is>
          <t>ÖSTERGÖTLANDS LÄN</t>
        </is>
      </c>
      <c r="E4763" t="inlineStr">
        <is>
          <t>FINSPÅNG</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58062-2025</t>
        </is>
      </c>
      <c r="B4764" s="1" t="n">
        <v>45982</v>
      </c>
      <c r="C4764" s="1" t="n">
        <v>46093</v>
      </c>
      <c r="D4764" t="inlineStr">
        <is>
          <t>ÖSTERGÖTLANDS LÄN</t>
        </is>
      </c>
      <c r="E4764" t="inlineStr">
        <is>
          <t>ÅTVIDABERG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57697-2023</t>
        </is>
      </c>
      <c r="B4765" s="1" t="n">
        <v>45243</v>
      </c>
      <c r="C4765" s="1" t="n">
        <v>46093</v>
      </c>
      <c r="D4765" t="inlineStr">
        <is>
          <t>ÖSTERGÖTLANDS LÄN</t>
        </is>
      </c>
      <c r="E4765" t="inlineStr">
        <is>
          <t>MOTALA</t>
        </is>
      </c>
      <c r="F4765" t="inlineStr">
        <is>
          <t>Övriga statliga verk och myndigheter</t>
        </is>
      </c>
      <c r="G4765" t="n">
        <v>24.8</v>
      </c>
      <c r="H4765" t="n">
        <v>0</v>
      </c>
      <c r="I4765" t="n">
        <v>0</v>
      </c>
      <c r="J4765" t="n">
        <v>0</v>
      </c>
      <c r="K4765" t="n">
        <v>0</v>
      </c>
      <c r="L4765" t="n">
        <v>0</v>
      </c>
      <c r="M4765" t="n">
        <v>0</v>
      </c>
      <c r="N4765" t="n">
        <v>0</v>
      </c>
      <c r="O4765" t="n">
        <v>0</v>
      </c>
      <c r="P4765" t="n">
        <v>0</v>
      </c>
      <c r="Q4765" t="n">
        <v>0</v>
      </c>
      <c r="R4765" s="2" t="inlineStr"/>
    </row>
    <row r="4766" ht="15" customHeight="1">
      <c r="A4766" t="inlineStr">
        <is>
          <t>A 30649-2023</t>
        </is>
      </c>
      <c r="B4766" s="1" t="n">
        <v>45112</v>
      </c>
      <c r="C4766" s="1" t="n">
        <v>46093</v>
      </c>
      <c r="D4766" t="inlineStr">
        <is>
          <t>ÖSTERGÖTLANDS LÄN</t>
        </is>
      </c>
      <c r="E4766" t="inlineStr">
        <is>
          <t>ÅTVIDABERG</t>
        </is>
      </c>
      <c r="F4766" t="inlineStr">
        <is>
          <t>Övriga Aktiebolag</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57710-2023</t>
        </is>
      </c>
      <c r="B4767" s="1" t="n">
        <v>45243</v>
      </c>
      <c r="C4767" s="1" t="n">
        <v>46093</v>
      </c>
      <c r="D4767" t="inlineStr">
        <is>
          <t>ÖSTERGÖTLANDS LÄN</t>
        </is>
      </c>
      <c r="E4767" t="inlineStr">
        <is>
          <t>MOTALA</t>
        </is>
      </c>
      <c r="F4767" t="inlineStr">
        <is>
          <t>Övriga statliga verk och myndigheter</t>
        </is>
      </c>
      <c r="G4767" t="n">
        <v>12.2</v>
      </c>
      <c r="H4767" t="n">
        <v>0</v>
      </c>
      <c r="I4767" t="n">
        <v>0</v>
      </c>
      <c r="J4767" t="n">
        <v>0</v>
      </c>
      <c r="K4767" t="n">
        <v>0</v>
      </c>
      <c r="L4767" t="n">
        <v>0</v>
      </c>
      <c r="M4767" t="n">
        <v>0</v>
      </c>
      <c r="N4767" t="n">
        <v>0</v>
      </c>
      <c r="O4767" t="n">
        <v>0</v>
      </c>
      <c r="P4767" t="n">
        <v>0</v>
      </c>
      <c r="Q4767" t="n">
        <v>0</v>
      </c>
      <c r="R4767" s="2" t="inlineStr"/>
    </row>
    <row r="4768" ht="15" customHeight="1">
      <c r="A4768" t="inlineStr">
        <is>
          <t>A 74202-2021</t>
        </is>
      </c>
      <c r="B4768" s="1" t="n">
        <v>44558.51175925926</v>
      </c>
      <c r="C4768" s="1" t="n">
        <v>46093</v>
      </c>
      <c r="D4768" t="inlineStr">
        <is>
          <t>ÖSTERGÖTLANDS LÄN</t>
        </is>
      </c>
      <c r="E4768" t="inlineStr">
        <is>
          <t>KINDA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22698-2023</t>
        </is>
      </c>
      <c r="B4769" s="1" t="n">
        <v>45071</v>
      </c>
      <c r="C4769" s="1" t="n">
        <v>46093</v>
      </c>
      <c r="D4769" t="inlineStr">
        <is>
          <t>ÖSTERGÖTLANDS LÄN</t>
        </is>
      </c>
      <c r="E4769" t="inlineStr">
        <is>
          <t>NORRKÖPING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5665-2023</t>
        </is>
      </c>
      <c r="B4770" s="1" t="n">
        <v>44960.64481481481</v>
      </c>
      <c r="C4770" s="1" t="n">
        <v>46093</v>
      </c>
      <c r="D4770" t="inlineStr">
        <is>
          <t>ÖSTERGÖTLANDS LÄN</t>
        </is>
      </c>
      <c r="E4770" t="inlineStr">
        <is>
          <t>KINDA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14565-2023</t>
        </is>
      </c>
      <c r="B4771" s="1" t="n">
        <v>45013.45861111111</v>
      </c>
      <c r="C4771" s="1" t="n">
        <v>46093</v>
      </c>
      <c r="D4771" t="inlineStr">
        <is>
          <t>ÖSTERGÖTLANDS LÄN</t>
        </is>
      </c>
      <c r="E4771" t="inlineStr">
        <is>
          <t>FINSPÅNG</t>
        </is>
      </c>
      <c r="F4771" t="inlineStr">
        <is>
          <t>Holmen skog AB</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59573-2022</t>
        </is>
      </c>
      <c r="B4772" s="1" t="n">
        <v>44907</v>
      </c>
      <c r="C4772" s="1" t="n">
        <v>46093</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56323-2021</t>
        </is>
      </c>
      <c r="B4773" s="1" t="n">
        <v>44480</v>
      </c>
      <c r="C4773" s="1" t="n">
        <v>46093</v>
      </c>
      <c r="D4773" t="inlineStr">
        <is>
          <t>ÖSTERGÖTLANDS LÄN</t>
        </is>
      </c>
      <c r="E4773" t="inlineStr">
        <is>
          <t>YDRE</t>
        </is>
      </c>
      <c r="F4773" t="inlineStr">
        <is>
          <t>Sveaskog</t>
        </is>
      </c>
      <c r="G4773" t="n">
        <v>4.6</v>
      </c>
      <c r="H4773" t="n">
        <v>0</v>
      </c>
      <c r="I4773" t="n">
        <v>0</v>
      </c>
      <c r="J4773" t="n">
        <v>0</v>
      </c>
      <c r="K4773" t="n">
        <v>0</v>
      </c>
      <c r="L4773" t="n">
        <v>0</v>
      </c>
      <c r="M4773" t="n">
        <v>0</v>
      </c>
      <c r="N4773" t="n">
        <v>0</v>
      </c>
      <c r="O4773" t="n">
        <v>0</v>
      </c>
      <c r="P4773" t="n">
        <v>0</v>
      </c>
      <c r="Q4773" t="n">
        <v>0</v>
      </c>
      <c r="R4773" s="2" t="inlineStr"/>
      <c r="U4773">
        <f>HYPERLINK("https://klasma.github.io/Logging_0512/knärot/A 56323-2021 karta knärot.png", "A 56323-2021")</f>
        <v/>
      </c>
      <c r="V4773">
        <f>HYPERLINK("https://klasma.github.io/Logging_0512/klagomål/A 56323-2021 FSC-klagomål.docx", "A 56323-2021")</f>
        <v/>
      </c>
      <c r="W4773">
        <f>HYPERLINK("https://klasma.github.io/Logging_0512/klagomålsmail/A 56323-2021 FSC-klagomål mail.docx", "A 56323-2021")</f>
        <v/>
      </c>
      <c r="X4773">
        <f>HYPERLINK("https://klasma.github.io/Logging_0512/tillsyn/A 56323-2021 tillsynsbegäran.docx", "A 56323-2021")</f>
        <v/>
      </c>
      <c r="Y4773">
        <f>HYPERLINK("https://klasma.github.io/Logging_0512/tillsynsmail/A 56323-2021 tillsynsbegäran mail.docx", "A 56323-2021")</f>
        <v/>
      </c>
    </row>
    <row r="4774" ht="15" customHeight="1">
      <c r="A4774" t="inlineStr">
        <is>
          <t>A 13375-2025</t>
        </is>
      </c>
      <c r="B4774" s="1" t="n">
        <v>45735.6669212963</v>
      </c>
      <c r="C4774" s="1" t="n">
        <v>46093</v>
      </c>
      <c r="D4774" t="inlineStr">
        <is>
          <t>ÖSTERGÖTLANDS LÄN</t>
        </is>
      </c>
      <c r="E4774" t="inlineStr">
        <is>
          <t>FINSPÅNG</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58105-2023</t>
        </is>
      </c>
      <c r="B4775" s="1" t="n">
        <v>45249</v>
      </c>
      <c r="C4775" s="1" t="n">
        <v>46093</v>
      </c>
      <c r="D4775" t="inlineStr">
        <is>
          <t>ÖSTERGÖTLANDS LÄN</t>
        </is>
      </c>
      <c r="E4775" t="inlineStr">
        <is>
          <t>VALDEMARSVIK</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43166-2021</t>
        </is>
      </c>
      <c r="B4776" s="1" t="n">
        <v>44431</v>
      </c>
      <c r="C4776" s="1" t="n">
        <v>46093</v>
      </c>
      <c r="D4776" t="inlineStr">
        <is>
          <t>ÖSTERGÖTLANDS LÄN</t>
        </is>
      </c>
      <c r="E4776" t="inlineStr">
        <is>
          <t>FINSPÅNG</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49656-2021</t>
        </is>
      </c>
      <c r="B4777" s="1" t="n">
        <v>44454</v>
      </c>
      <c r="C4777" s="1" t="n">
        <v>46093</v>
      </c>
      <c r="D4777" t="inlineStr">
        <is>
          <t>ÖSTERGÖTLANDS LÄN</t>
        </is>
      </c>
      <c r="E4777" t="inlineStr">
        <is>
          <t>LINKÖPING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58736-2025</t>
        </is>
      </c>
      <c r="B4778" s="1" t="n">
        <v>45986.62858796296</v>
      </c>
      <c r="C4778" s="1" t="n">
        <v>46093</v>
      </c>
      <c r="D4778" t="inlineStr">
        <is>
          <t>ÖSTERGÖTLANDS LÄN</t>
        </is>
      </c>
      <c r="E4778" t="inlineStr">
        <is>
          <t>VALDEMARSVIK</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58749-2025</t>
        </is>
      </c>
      <c r="B4779" s="1" t="n">
        <v>45986.6403125</v>
      </c>
      <c r="C4779" s="1" t="n">
        <v>46093</v>
      </c>
      <c r="D4779" t="inlineStr">
        <is>
          <t>ÖSTERGÖTLANDS LÄN</t>
        </is>
      </c>
      <c r="E4779" t="inlineStr">
        <is>
          <t>VALDEMARSVIK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47836-2021</t>
        </is>
      </c>
      <c r="B4780" s="1" t="n">
        <v>44448</v>
      </c>
      <c r="C4780" s="1" t="n">
        <v>46093</v>
      </c>
      <c r="D4780" t="inlineStr">
        <is>
          <t>ÖSTERGÖTLANDS LÄN</t>
        </is>
      </c>
      <c r="E4780" t="inlineStr">
        <is>
          <t>FINSPÅNG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46260-2022</t>
        </is>
      </c>
      <c r="B4781" s="1" t="n">
        <v>44847</v>
      </c>
      <c r="C4781" s="1" t="n">
        <v>46093</v>
      </c>
      <c r="D4781" t="inlineStr">
        <is>
          <t>ÖSTERGÖTLANDS LÄN</t>
        </is>
      </c>
      <c r="E4781" t="inlineStr">
        <is>
          <t>ÅTVIDABERG</t>
        </is>
      </c>
      <c r="F4781" t="inlineStr">
        <is>
          <t>Holmen skog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60242-2022</t>
        </is>
      </c>
      <c r="B4782" s="1" t="n">
        <v>44910.45991898148</v>
      </c>
      <c r="C4782" s="1" t="n">
        <v>46093</v>
      </c>
      <c r="D4782" t="inlineStr">
        <is>
          <t>ÖSTERGÖTLANDS LÄN</t>
        </is>
      </c>
      <c r="E4782" t="inlineStr">
        <is>
          <t>VALDEMARSVIK</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58385-2025</t>
        </is>
      </c>
      <c r="B4783" s="1" t="n">
        <v>45985</v>
      </c>
      <c r="C4783" s="1" t="n">
        <v>46093</v>
      </c>
      <c r="D4783" t="inlineStr">
        <is>
          <t>ÖSTERGÖTLANDS LÄN</t>
        </is>
      </c>
      <c r="E4783" t="inlineStr">
        <is>
          <t>MOTALA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29615-2024</t>
        </is>
      </c>
      <c r="B4784" s="1" t="n">
        <v>45484.64741898148</v>
      </c>
      <c r="C4784" s="1" t="n">
        <v>46093</v>
      </c>
      <c r="D4784" t="inlineStr">
        <is>
          <t>ÖSTERGÖTLANDS LÄN</t>
        </is>
      </c>
      <c r="E4784" t="inlineStr">
        <is>
          <t>MOTALA</t>
        </is>
      </c>
      <c r="F4784" t="inlineStr">
        <is>
          <t>Holmen skog AB</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58453-2025</t>
        </is>
      </c>
      <c r="B4785" s="1" t="n">
        <v>45985.62886574074</v>
      </c>
      <c r="C4785" s="1" t="n">
        <v>46093</v>
      </c>
      <c r="D4785" t="inlineStr">
        <is>
          <t>ÖSTERGÖTLANDS LÄN</t>
        </is>
      </c>
      <c r="E4785" t="inlineStr">
        <is>
          <t>BOXHOLM</t>
        </is>
      </c>
      <c r="F4785" t="inlineStr">
        <is>
          <t>Allmännings- och besparingsskogar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58320-2025</t>
        </is>
      </c>
      <c r="B4786" s="1" t="n">
        <v>45985.47396990741</v>
      </c>
      <c r="C4786" s="1" t="n">
        <v>46093</v>
      </c>
      <c r="D4786" t="inlineStr">
        <is>
          <t>ÖSTERGÖTLANDS LÄN</t>
        </is>
      </c>
      <c r="E4786" t="inlineStr">
        <is>
          <t>MJÖLBY</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21634-2023</t>
        </is>
      </c>
      <c r="B4787" s="1" t="n">
        <v>45062</v>
      </c>
      <c r="C4787" s="1" t="n">
        <v>46093</v>
      </c>
      <c r="D4787" t="inlineStr">
        <is>
          <t>ÖSTERGÖTLANDS LÄN</t>
        </is>
      </c>
      <c r="E4787" t="inlineStr">
        <is>
          <t>BOXHOLM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55052-2023</t>
        </is>
      </c>
      <c r="B4788" s="1" t="n">
        <v>45237</v>
      </c>
      <c r="C4788" s="1" t="n">
        <v>46093</v>
      </c>
      <c r="D4788" t="inlineStr">
        <is>
          <t>ÖSTERGÖTLANDS LÄN</t>
        </is>
      </c>
      <c r="E4788" t="inlineStr">
        <is>
          <t>FINSPÅNG</t>
        </is>
      </c>
      <c r="F4788" t="inlineStr">
        <is>
          <t>Kyrkan</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55063-2023</t>
        </is>
      </c>
      <c r="B4789" s="1" t="n">
        <v>45237</v>
      </c>
      <c r="C4789" s="1" t="n">
        <v>46093</v>
      </c>
      <c r="D4789" t="inlineStr">
        <is>
          <t>ÖSTERGÖTLANDS LÄN</t>
        </is>
      </c>
      <c r="E4789" t="inlineStr">
        <is>
          <t>NORRKÖPING</t>
        </is>
      </c>
      <c r="F4789" t="inlineStr">
        <is>
          <t>Kyrkan</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19230-2025</t>
        </is>
      </c>
      <c r="B4790" s="1" t="n">
        <v>45769.45751157407</v>
      </c>
      <c r="C4790" s="1" t="n">
        <v>46093</v>
      </c>
      <c r="D4790" t="inlineStr">
        <is>
          <t>ÖSTERGÖTLANDS LÄN</t>
        </is>
      </c>
      <c r="E4790" t="inlineStr">
        <is>
          <t>NORRKÖPING</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28362-2024</t>
        </is>
      </c>
      <c r="B4791" s="1" t="n">
        <v>45477</v>
      </c>
      <c r="C4791" s="1" t="n">
        <v>46093</v>
      </c>
      <c r="D4791" t="inlineStr">
        <is>
          <t>ÖSTERGÖTLANDS LÄN</t>
        </is>
      </c>
      <c r="E4791" t="inlineStr">
        <is>
          <t>ÅTVIDABERG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22932-2023</t>
        </is>
      </c>
      <c r="B4792" s="1" t="n">
        <v>45072.60712962963</v>
      </c>
      <c r="C4792" s="1" t="n">
        <v>46093</v>
      </c>
      <c r="D4792" t="inlineStr">
        <is>
          <t>ÖSTERGÖTLANDS LÄN</t>
        </is>
      </c>
      <c r="E4792" t="inlineStr">
        <is>
          <t>ÅTVIDABERG</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58187-2025</t>
        </is>
      </c>
      <c r="B4793" s="1" t="n">
        <v>45983.49833333334</v>
      </c>
      <c r="C4793" s="1" t="n">
        <v>46093</v>
      </c>
      <c r="D4793" t="inlineStr">
        <is>
          <t>ÖSTERGÖTLANDS LÄN</t>
        </is>
      </c>
      <c r="E4793" t="inlineStr">
        <is>
          <t>FINSPÅNG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58188-2025</t>
        </is>
      </c>
      <c r="B4794" s="1" t="n">
        <v>45983.50333333333</v>
      </c>
      <c r="C4794" s="1" t="n">
        <v>46093</v>
      </c>
      <c r="D4794" t="inlineStr">
        <is>
          <t>ÖSTERGÖTLANDS LÄN</t>
        </is>
      </c>
      <c r="E4794" t="inlineStr">
        <is>
          <t>FINSPÅNG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58190-2025</t>
        </is>
      </c>
      <c r="B4795" s="1" t="n">
        <v>45983.52783564815</v>
      </c>
      <c r="C4795" s="1" t="n">
        <v>46093</v>
      </c>
      <c r="D4795" t="inlineStr">
        <is>
          <t>ÖSTERGÖTLANDS LÄN</t>
        </is>
      </c>
      <c r="E4795" t="inlineStr">
        <is>
          <t>FINSPÅNG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40069-2024</t>
        </is>
      </c>
      <c r="B4796" s="1" t="n">
        <v>45554.31143518518</v>
      </c>
      <c r="C4796" s="1" t="n">
        <v>46093</v>
      </c>
      <c r="D4796" t="inlineStr">
        <is>
          <t>ÖSTERGÖTLANDS LÄN</t>
        </is>
      </c>
      <c r="E4796" t="inlineStr">
        <is>
          <t>FINSPÅNG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25230-2023</t>
        </is>
      </c>
      <c r="B4797" s="1" t="n">
        <v>45086.62486111111</v>
      </c>
      <c r="C4797" s="1" t="n">
        <v>46093</v>
      </c>
      <c r="D4797" t="inlineStr">
        <is>
          <t>ÖSTERGÖTLANDS LÄN</t>
        </is>
      </c>
      <c r="E4797" t="inlineStr">
        <is>
          <t>BOXHOLM</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8799-2023</t>
        </is>
      </c>
      <c r="B4798" s="1" t="n">
        <v>44978</v>
      </c>
      <c r="C4798" s="1" t="n">
        <v>46093</v>
      </c>
      <c r="D4798" t="inlineStr">
        <is>
          <t>ÖSTERGÖTLANDS LÄN</t>
        </is>
      </c>
      <c r="E4798" t="inlineStr">
        <is>
          <t>SÖDERKÖPING</t>
        </is>
      </c>
      <c r="F4798" t="inlineStr">
        <is>
          <t>Allmännings- och besparingsskogar</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21071-2024</t>
        </is>
      </c>
      <c r="B4799" s="1" t="n">
        <v>45439.8615625</v>
      </c>
      <c r="C4799" s="1" t="n">
        <v>46093</v>
      </c>
      <c r="D4799" t="inlineStr">
        <is>
          <t>ÖSTERGÖTLANDS LÄN</t>
        </is>
      </c>
      <c r="E4799" t="inlineStr">
        <is>
          <t>KINDA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46588-2021</t>
        </is>
      </c>
      <c r="B4800" s="1" t="n">
        <v>44445.52287037037</v>
      </c>
      <c r="C4800" s="1" t="n">
        <v>46093</v>
      </c>
      <c r="D4800" t="inlineStr">
        <is>
          <t>ÖSTERGÖTLANDS LÄN</t>
        </is>
      </c>
      <c r="E4800" t="inlineStr">
        <is>
          <t>BOXHOLM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58321-2025</t>
        </is>
      </c>
      <c r="B4801" s="1" t="n">
        <v>45985.47479166667</v>
      </c>
      <c r="C4801" s="1" t="n">
        <v>46093</v>
      </c>
      <c r="D4801" t="inlineStr">
        <is>
          <t>ÖSTERGÖTLANDS LÄN</t>
        </is>
      </c>
      <c r="E4801" t="inlineStr">
        <is>
          <t>MJÖLBY</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19287-2025</t>
        </is>
      </c>
      <c r="B4802" s="1" t="n">
        <v>45769</v>
      </c>
      <c r="C4802" s="1" t="n">
        <v>46093</v>
      </c>
      <c r="D4802" t="inlineStr">
        <is>
          <t>ÖSTERGÖTLANDS LÄN</t>
        </is>
      </c>
      <c r="E4802" t="inlineStr">
        <is>
          <t>NORRKÖPING</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19298-2025</t>
        </is>
      </c>
      <c r="B4803" s="1" t="n">
        <v>45769</v>
      </c>
      <c r="C4803" s="1" t="n">
        <v>46093</v>
      </c>
      <c r="D4803" t="inlineStr">
        <is>
          <t>ÖSTERGÖTLANDS LÄN</t>
        </is>
      </c>
      <c r="E4803" t="inlineStr">
        <is>
          <t>NORRKÖPING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58318-2025</t>
        </is>
      </c>
      <c r="B4804" s="1" t="n">
        <v>45985.47318287037</v>
      </c>
      <c r="C4804" s="1" t="n">
        <v>46093</v>
      </c>
      <c r="D4804" t="inlineStr">
        <is>
          <t>ÖSTERGÖTLANDS LÄN</t>
        </is>
      </c>
      <c r="E4804" t="inlineStr">
        <is>
          <t>MJÖLBY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58738-2025</t>
        </is>
      </c>
      <c r="B4805" s="1" t="n">
        <v>45986.63145833334</v>
      </c>
      <c r="C4805" s="1" t="n">
        <v>46093</v>
      </c>
      <c r="D4805" t="inlineStr">
        <is>
          <t>ÖSTERGÖTLANDS LÄN</t>
        </is>
      </c>
      <c r="E4805" t="inlineStr">
        <is>
          <t>BOXHOLM</t>
        </is>
      </c>
      <c r="F4805" t="inlineStr">
        <is>
          <t>Allmännings- och besparingsskogar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58814-2025</t>
        </is>
      </c>
      <c r="B4806" s="1" t="n">
        <v>45986</v>
      </c>
      <c r="C4806" s="1" t="n">
        <v>46093</v>
      </c>
      <c r="D4806" t="inlineStr">
        <is>
          <t>ÖSTERGÖTLANDS LÄN</t>
        </is>
      </c>
      <c r="E4806" t="inlineStr">
        <is>
          <t>NORRKÖPING</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63487-2023</t>
        </is>
      </c>
      <c r="B4807" s="1" t="n">
        <v>45274.66712962963</v>
      </c>
      <c r="C4807" s="1" t="n">
        <v>46093</v>
      </c>
      <c r="D4807" t="inlineStr">
        <is>
          <t>ÖSTERGÖTLANDS LÄN</t>
        </is>
      </c>
      <c r="E4807" t="inlineStr">
        <is>
          <t>LINKÖPING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6506-2025</t>
        </is>
      </c>
      <c r="B4808" s="1" t="n">
        <v>45699.64960648148</v>
      </c>
      <c r="C4808" s="1" t="n">
        <v>46093</v>
      </c>
      <c r="D4808" t="inlineStr">
        <is>
          <t>ÖSTERGÖTLANDS LÄN</t>
        </is>
      </c>
      <c r="E4808" t="inlineStr">
        <is>
          <t>ÖDESHÖG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6566-2025</t>
        </is>
      </c>
      <c r="B4809" s="1" t="n">
        <v>45699</v>
      </c>
      <c r="C4809" s="1" t="n">
        <v>46093</v>
      </c>
      <c r="D4809" t="inlineStr">
        <is>
          <t>ÖSTERGÖTLANDS LÄN</t>
        </is>
      </c>
      <c r="E4809" t="inlineStr">
        <is>
          <t>NORRKÖPING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57194-2023</t>
        </is>
      </c>
      <c r="B4810" s="1" t="n">
        <v>45245.47634259259</v>
      </c>
      <c r="C4810" s="1" t="n">
        <v>46093</v>
      </c>
      <c r="D4810" t="inlineStr">
        <is>
          <t>ÖSTERGÖTLANDS LÄN</t>
        </is>
      </c>
      <c r="E4810" t="inlineStr">
        <is>
          <t>KINDA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30465-2023</t>
        </is>
      </c>
      <c r="B4811" s="1" t="n">
        <v>45111</v>
      </c>
      <c r="C4811" s="1" t="n">
        <v>46093</v>
      </c>
      <c r="D4811" t="inlineStr">
        <is>
          <t>ÖSTERGÖTLANDS LÄN</t>
        </is>
      </c>
      <c r="E4811" t="inlineStr">
        <is>
          <t>LINKÖPING</t>
        </is>
      </c>
      <c r="F4811" t="inlineStr">
        <is>
          <t>Övriga Aktiebolag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23350-2023</t>
        </is>
      </c>
      <c r="B4812" s="1" t="n">
        <v>45076</v>
      </c>
      <c r="C4812" s="1" t="n">
        <v>46093</v>
      </c>
      <c r="D4812" t="inlineStr">
        <is>
          <t>ÖSTERGÖTLANDS LÄN</t>
        </is>
      </c>
      <c r="E4812" t="inlineStr">
        <is>
          <t>FINSPÅNG</t>
        </is>
      </c>
      <c r="F4812" t="inlineStr">
        <is>
          <t>Holmen skog AB</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36772-2021</t>
        </is>
      </c>
      <c r="B4813" s="1" t="n">
        <v>44392</v>
      </c>
      <c r="C4813" s="1" t="n">
        <v>46093</v>
      </c>
      <c r="D4813" t="inlineStr">
        <is>
          <t>ÖSTERGÖTLANDS LÄN</t>
        </is>
      </c>
      <c r="E4813" t="inlineStr">
        <is>
          <t>ÅTVIDABERG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27487-2023</t>
        </is>
      </c>
      <c r="B4814" s="1" t="n">
        <v>45095</v>
      </c>
      <c r="C4814" s="1" t="n">
        <v>46093</v>
      </c>
      <c r="D4814" t="inlineStr">
        <is>
          <t>ÖSTERGÖTLANDS LÄN</t>
        </is>
      </c>
      <c r="E4814" t="inlineStr">
        <is>
          <t>FINSPÅNG</t>
        </is>
      </c>
      <c r="F4814" t="inlineStr">
        <is>
          <t>Övriga Aktiebolag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735-2023</t>
        </is>
      </c>
      <c r="B4815" s="1" t="n">
        <v>44931.32121527778</v>
      </c>
      <c r="C4815" s="1" t="n">
        <v>46093</v>
      </c>
      <c r="D4815" t="inlineStr">
        <is>
          <t>ÖSTERGÖTLANDS LÄN</t>
        </is>
      </c>
      <c r="E4815" t="inlineStr">
        <is>
          <t>MOTALA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13378-2025</t>
        </is>
      </c>
      <c r="B4816" s="1" t="n">
        <v>45735.67384259259</v>
      </c>
      <c r="C4816" s="1" t="n">
        <v>46093</v>
      </c>
      <c r="D4816" t="inlineStr">
        <is>
          <t>ÖSTERGÖTLANDS LÄN</t>
        </is>
      </c>
      <c r="E4816" t="inlineStr">
        <is>
          <t>FINSPÅNG</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58456-2025</t>
        </is>
      </c>
      <c r="B4817" s="1" t="n">
        <v>45985.6334375</v>
      </c>
      <c r="C4817" s="1" t="n">
        <v>46093</v>
      </c>
      <c r="D4817" t="inlineStr">
        <is>
          <t>ÖSTERGÖTLANDS LÄN</t>
        </is>
      </c>
      <c r="E4817" t="inlineStr">
        <is>
          <t>SÖDERKÖPING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49452-2021</t>
        </is>
      </c>
      <c r="B4818" s="1" t="n">
        <v>44454</v>
      </c>
      <c r="C4818" s="1" t="n">
        <v>46093</v>
      </c>
      <c r="D4818" t="inlineStr">
        <is>
          <t>ÖSTERGÖTLANDS LÄN</t>
        </is>
      </c>
      <c r="E4818" t="inlineStr">
        <is>
          <t>NORRKÖPING</t>
        </is>
      </c>
      <c r="F4818" t="inlineStr">
        <is>
          <t>Allmännings- och besparingsskogar</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61961-2022</t>
        </is>
      </c>
      <c r="B4819" s="1" t="n">
        <v>44918</v>
      </c>
      <c r="C4819" s="1" t="n">
        <v>46093</v>
      </c>
      <c r="D4819" t="inlineStr">
        <is>
          <t>ÖSTERGÖTLANDS LÄN</t>
        </is>
      </c>
      <c r="E4819" t="inlineStr">
        <is>
          <t>KINDA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40191-2021</t>
        </is>
      </c>
      <c r="B4820" s="1" t="n">
        <v>44418</v>
      </c>
      <c r="C4820" s="1" t="n">
        <v>46093</v>
      </c>
      <c r="D4820" t="inlineStr">
        <is>
          <t>ÖSTERGÖTLANDS LÄN</t>
        </is>
      </c>
      <c r="E4820" t="inlineStr">
        <is>
          <t>MOTALA</t>
        </is>
      </c>
      <c r="G4820" t="n">
        <v>11.2</v>
      </c>
      <c r="H4820" t="n">
        <v>0</v>
      </c>
      <c r="I4820" t="n">
        <v>0</v>
      </c>
      <c r="J4820" t="n">
        <v>0</v>
      </c>
      <c r="K4820" t="n">
        <v>0</v>
      </c>
      <c r="L4820" t="n">
        <v>0</v>
      </c>
      <c r="M4820" t="n">
        <v>0</v>
      </c>
      <c r="N4820" t="n">
        <v>0</v>
      </c>
      <c r="O4820" t="n">
        <v>0</v>
      </c>
      <c r="P4820" t="n">
        <v>0</v>
      </c>
      <c r="Q4820" t="n">
        <v>0</v>
      </c>
      <c r="R4820" s="2" t="inlineStr"/>
    </row>
    <row r="4821" ht="15" customHeight="1">
      <c r="A4821" t="inlineStr">
        <is>
          <t>A 30964-2023</t>
        </is>
      </c>
      <c r="B4821" s="1" t="n">
        <v>45113.47913194444</v>
      </c>
      <c r="C4821" s="1" t="n">
        <v>46093</v>
      </c>
      <c r="D4821" t="inlineStr">
        <is>
          <t>ÖSTERGÖTLANDS LÄN</t>
        </is>
      </c>
      <c r="E4821" t="inlineStr">
        <is>
          <t>ÖDESHÖG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38105-2022</t>
        </is>
      </c>
      <c r="B4822" s="1" t="n">
        <v>44812.23584490741</v>
      </c>
      <c r="C4822" s="1" t="n">
        <v>46093</v>
      </c>
      <c r="D4822" t="inlineStr">
        <is>
          <t>ÖSTERGÖTLANDS LÄN</t>
        </is>
      </c>
      <c r="E4822" t="inlineStr">
        <is>
          <t>ÅTVIDABERG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60826-2023</t>
        </is>
      </c>
      <c r="B4823" s="1" t="n">
        <v>45260.81440972222</v>
      </c>
      <c r="C4823" s="1" t="n">
        <v>46093</v>
      </c>
      <c r="D4823" t="inlineStr">
        <is>
          <t>ÖSTERGÖTLANDS LÄN</t>
        </is>
      </c>
      <c r="E4823" t="inlineStr">
        <is>
          <t>KINDA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58450-2025</t>
        </is>
      </c>
      <c r="B4824" s="1" t="n">
        <v>45985.62814814815</v>
      </c>
      <c r="C4824" s="1" t="n">
        <v>46093</v>
      </c>
      <c r="D4824" t="inlineStr">
        <is>
          <t>ÖSTERGÖTLANDS LÄN</t>
        </is>
      </c>
      <c r="E4824" t="inlineStr">
        <is>
          <t>SÖDERKÖPING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58455-2025</t>
        </is>
      </c>
      <c r="B4825" s="1" t="n">
        <v>45985.63326388889</v>
      </c>
      <c r="C4825" s="1" t="n">
        <v>46093</v>
      </c>
      <c r="D4825" t="inlineStr">
        <is>
          <t>ÖSTERGÖTLANDS LÄN</t>
        </is>
      </c>
      <c r="E4825" t="inlineStr">
        <is>
          <t>BOXHOLM</t>
        </is>
      </c>
      <c r="F4825" t="inlineStr">
        <is>
          <t>Allmännings- och besparingsskogar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42311-2021</t>
        </is>
      </c>
      <c r="B4826" s="1" t="n">
        <v>44427</v>
      </c>
      <c r="C4826" s="1" t="n">
        <v>46093</v>
      </c>
      <c r="D4826" t="inlineStr">
        <is>
          <t>ÖSTERGÖTLANDS LÄN</t>
        </is>
      </c>
      <c r="E4826" t="inlineStr">
        <is>
          <t>MOTALA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51551-2023</t>
        </is>
      </c>
      <c r="B4827" s="1" t="n">
        <v>45222.42771990741</v>
      </c>
      <c r="C4827" s="1" t="n">
        <v>46093</v>
      </c>
      <c r="D4827" t="inlineStr">
        <is>
          <t>ÖSTERGÖTLANDS LÄN</t>
        </is>
      </c>
      <c r="E4827" t="inlineStr">
        <is>
          <t>BOXHOLM</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58756-2025</t>
        </is>
      </c>
      <c r="B4828" s="1" t="n">
        <v>45986.65002314815</v>
      </c>
      <c r="C4828" s="1" t="n">
        <v>46093</v>
      </c>
      <c r="D4828" t="inlineStr">
        <is>
          <t>ÖSTERGÖTLANDS LÄN</t>
        </is>
      </c>
      <c r="E4828" t="inlineStr">
        <is>
          <t>MJÖLBY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20356-2024</t>
        </is>
      </c>
      <c r="B4829" s="1" t="n">
        <v>45435</v>
      </c>
      <c r="C4829" s="1" t="n">
        <v>46093</v>
      </c>
      <c r="D4829" t="inlineStr">
        <is>
          <t>ÖSTERGÖTLANDS LÄN</t>
        </is>
      </c>
      <c r="E4829" t="inlineStr">
        <is>
          <t>NORRKÖPING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53482-2024</t>
        </is>
      </c>
      <c r="B4830" s="1" t="n">
        <v>45614.56631944444</v>
      </c>
      <c r="C4830" s="1" t="n">
        <v>46093</v>
      </c>
      <c r="D4830" t="inlineStr">
        <is>
          <t>ÖSTERGÖTLANDS LÄN</t>
        </is>
      </c>
      <c r="E4830" t="inlineStr">
        <is>
          <t>YDRE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30521-2024</t>
        </is>
      </c>
      <c r="B4831" s="1" t="n">
        <v>45492</v>
      </c>
      <c r="C4831" s="1" t="n">
        <v>46093</v>
      </c>
      <c r="D4831" t="inlineStr">
        <is>
          <t>ÖSTERGÖTLANDS LÄN</t>
        </is>
      </c>
      <c r="E4831" t="inlineStr">
        <is>
          <t>LINKÖPING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12332-2023</t>
        </is>
      </c>
      <c r="B4832" s="1" t="n">
        <v>44999.36930555556</v>
      </c>
      <c r="C4832" s="1" t="n">
        <v>46093</v>
      </c>
      <c r="D4832" t="inlineStr">
        <is>
          <t>ÖSTERGÖTLANDS LÄN</t>
        </is>
      </c>
      <c r="E4832" t="inlineStr">
        <is>
          <t>ÖDESHÖG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58463-2025</t>
        </is>
      </c>
      <c r="B4833" s="1" t="n">
        <v>45985.63653935185</v>
      </c>
      <c r="C4833" s="1" t="n">
        <v>46093</v>
      </c>
      <c r="D4833" t="inlineStr">
        <is>
          <t>ÖSTERGÖTLANDS LÄN</t>
        </is>
      </c>
      <c r="E4833" t="inlineStr">
        <is>
          <t>SÖDERKÖPING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58709-2025</t>
        </is>
      </c>
      <c r="B4834" s="1" t="n">
        <v>45986</v>
      </c>
      <c r="C4834" s="1" t="n">
        <v>46093</v>
      </c>
      <c r="D4834" t="inlineStr">
        <is>
          <t>ÖSTERGÖTLANDS LÄN</t>
        </is>
      </c>
      <c r="E4834" t="inlineStr">
        <is>
          <t>FINSPÅNG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61636-2021</t>
        </is>
      </c>
      <c r="B4835" s="1" t="n">
        <v>44501</v>
      </c>
      <c r="C4835" s="1" t="n">
        <v>46093</v>
      </c>
      <c r="D4835" t="inlineStr">
        <is>
          <t>ÖSTERGÖTLANDS LÄN</t>
        </is>
      </c>
      <c r="E4835" t="inlineStr">
        <is>
          <t>YDRE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12674-2025</t>
        </is>
      </c>
      <c r="B4836" s="1" t="n">
        <v>45733.43347222222</v>
      </c>
      <c r="C4836" s="1" t="n">
        <v>46093</v>
      </c>
      <c r="D4836" t="inlineStr">
        <is>
          <t>ÖSTERGÖTLANDS LÄN</t>
        </is>
      </c>
      <c r="E4836" t="inlineStr">
        <is>
          <t>NORRKÖPING</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50239-2024</t>
        </is>
      </c>
      <c r="B4837" s="1" t="n">
        <v>45600.56137731481</v>
      </c>
      <c r="C4837" s="1" t="n">
        <v>46093</v>
      </c>
      <c r="D4837" t="inlineStr">
        <is>
          <t>ÖSTERGÖTLANDS LÄN</t>
        </is>
      </c>
      <c r="E4837" t="inlineStr">
        <is>
          <t>BOXHOLM</t>
        </is>
      </c>
      <c r="F4837" t="inlineStr">
        <is>
          <t>Övriga Aktiebolag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58745-2025</t>
        </is>
      </c>
      <c r="B4838" s="1" t="n">
        <v>45986.63686342593</v>
      </c>
      <c r="C4838" s="1" t="n">
        <v>46093</v>
      </c>
      <c r="D4838" t="inlineStr">
        <is>
          <t>ÖSTERGÖTLANDS LÄN</t>
        </is>
      </c>
      <c r="E4838" t="inlineStr">
        <is>
          <t>BOXHOLM</t>
        </is>
      </c>
      <c r="F4838" t="inlineStr">
        <is>
          <t>Allmännings- och besparingsskogar</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50251-2024</t>
        </is>
      </c>
      <c r="B4839" s="1" t="n">
        <v>45600.57158564815</v>
      </c>
      <c r="C4839" s="1" t="n">
        <v>46093</v>
      </c>
      <c r="D4839" t="inlineStr">
        <is>
          <t>ÖSTERGÖTLANDS LÄN</t>
        </is>
      </c>
      <c r="E4839" t="inlineStr">
        <is>
          <t>BOXHOLM</t>
        </is>
      </c>
      <c r="F4839" t="inlineStr">
        <is>
          <t>Övriga Aktiebolag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58316-2025</t>
        </is>
      </c>
      <c r="B4840" s="1" t="n">
        <v>45985.47137731482</v>
      </c>
      <c r="C4840" s="1" t="n">
        <v>46093</v>
      </c>
      <c r="D4840" t="inlineStr">
        <is>
          <t>ÖSTERGÖTLANDS LÄN</t>
        </is>
      </c>
      <c r="E4840" t="inlineStr">
        <is>
          <t>MJÖLBY</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40618-2021</t>
        </is>
      </c>
      <c r="B4841" s="1" t="n">
        <v>44420.49575231481</v>
      </c>
      <c r="C4841" s="1" t="n">
        <v>46093</v>
      </c>
      <c r="D4841" t="inlineStr">
        <is>
          <t>ÖSTERGÖTLANDS LÄN</t>
        </is>
      </c>
      <c r="E4841" t="inlineStr">
        <is>
          <t>LINKÖPING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58760-2025</t>
        </is>
      </c>
      <c r="B4842" s="1" t="n">
        <v>45986.65363425926</v>
      </c>
      <c r="C4842" s="1" t="n">
        <v>46093</v>
      </c>
      <c r="D4842" t="inlineStr">
        <is>
          <t>ÖSTERGÖTLANDS LÄN</t>
        </is>
      </c>
      <c r="E4842" t="inlineStr">
        <is>
          <t>BOXHOLM</t>
        </is>
      </c>
      <c r="F4842" t="inlineStr">
        <is>
          <t>Övriga Aktiebolag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58761-2025</t>
        </is>
      </c>
      <c r="B4843" s="1" t="n">
        <v>45986.65516203704</v>
      </c>
      <c r="C4843" s="1" t="n">
        <v>46093</v>
      </c>
      <c r="D4843" t="inlineStr">
        <is>
          <t>ÖSTERGÖTLANDS LÄN</t>
        </is>
      </c>
      <c r="E4843" t="inlineStr">
        <is>
          <t>MJÖLBY</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58763-2025</t>
        </is>
      </c>
      <c r="B4844" s="1" t="n">
        <v>45986.65777777778</v>
      </c>
      <c r="C4844" s="1" t="n">
        <v>46093</v>
      </c>
      <c r="D4844" t="inlineStr">
        <is>
          <t>ÖSTERGÖTLANDS LÄN</t>
        </is>
      </c>
      <c r="E4844" t="inlineStr">
        <is>
          <t>BOXHOLM</t>
        </is>
      </c>
      <c r="F4844" t="inlineStr">
        <is>
          <t>Övriga Aktiebolag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55004-2025</t>
        </is>
      </c>
      <c r="B4845" s="1" t="n">
        <v>45967</v>
      </c>
      <c r="C4845" s="1" t="n">
        <v>46093</v>
      </c>
      <c r="D4845" t="inlineStr">
        <is>
          <t>ÖSTERGÖTLANDS LÄN</t>
        </is>
      </c>
      <c r="E4845" t="inlineStr">
        <is>
          <t>LINKÖPING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18794-2024</t>
        </is>
      </c>
      <c r="B4846" s="1" t="n">
        <v>45426</v>
      </c>
      <c r="C4846" s="1" t="n">
        <v>46093</v>
      </c>
      <c r="D4846" t="inlineStr">
        <is>
          <t>ÖSTERGÖTLANDS LÄN</t>
        </is>
      </c>
      <c r="E4846" t="inlineStr">
        <is>
          <t>SÖDERKÖPING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58576-2025</t>
        </is>
      </c>
      <c r="B4847" s="1" t="n">
        <v>45986.38231481481</v>
      </c>
      <c r="C4847" s="1" t="n">
        <v>46093</v>
      </c>
      <c r="D4847" t="inlineStr">
        <is>
          <t>ÖSTERGÖTLANDS LÄN</t>
        </is>
      </c>
      <c r="E4847" t="inlineStr">
        <is>
          <t>NORRKÖPING</t>
        </is>
      </c>
      <c r="F4847" t="inlineStr">
        <is>
          <t>Holmen skog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70448-2021</t>
        </is>
      </c>
      <c r="B4848" s="1" t="n">
        <v>44536.63636574074</v>
      </c>
      <c r="C4848" s="1" t="n">
        <v>46093</v>
      </c>
      <c r="D4848" t="inlineStr">
        <is>
          <t>ÖSTERGÖTLANDS LÄN</t>
        </is>
      </c>
      <c r="E4848" t="inlineStr">
        <is>
          <t>YDRE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70564-2021</t>
        </is>
      </c>
      <c r="B4849" s="1" t="n">
        <v>44537</v>
      </c>
      <c r="C4849" s="1" t="n">
        <v>46093</v>
      </c>
      <c r="D4849" t="inlineStr">
        <is>
          <t>ÖSTERGÖTLANDS LÄN</t>
        </is>
      </c>
      <c r="E4849" t="inlineStr">
        <is>
          <t>MOTALA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21991-2023</t>
        </is>
      </c>
      <c r="B4850" s="1" t="n">
        <v>45068</v>
      </c>
      <c r="C4850" s="1" t="n">
        <v>46093</v>
      </c>
      <c r="D4850" t="inlineStr">
        <is>
          <t>ÖSTERGÖTLANDS LÄN</t>
        </is>
      </c>
      <c r="E4850" t="inlineStr">
        <is>
          <t>MOTALA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38874-2024</t>
        </is>
      </c>
      <c r="B4851" s="1" t="n">
        <v>45547.64484953704</v>
      </c>
      <c r="C4851" s="1" t="n">
        <v>46093</v>
      </c>
      <c r="D4851" t="inlineStr">
        <is>
          <t>ÖSTERGÖTLANDS LÄN</t>
        </is>
      </c>
      <c r="E4851" t="inlineStr">
        <is>
          <t>NORRKÖPING</t>
        </is>
      </c>
      <c r="F4851" t="inlineStr">
        <is>
          <t>Allmännings- och besparingsskogar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20350-2025</t>
        </is>
      </c>
      <c r="B4852" s="1" t="n">
        <v>45775</v>
      </c>
      <c r="C4852" s="1" t="n">
        <v>46093</v>
      </c>
      <c r="D4852" t="inlineStr">
        <is>
          <t>ÖSTERGÖTLANDS LÄN</t>
        </is>
      </c>
      <c r="E4852" t="inlineStr">
        <is>
          <t>KINDA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58574-2025</t>
        </is>
      </c>
      <c r="B4853" s="1" t="n">
        <v>45986.38013888889</v>
      </c>
      <c r="C4853" s="1" t="n">
        <v>46093</v>
      </c>
      <c r="D4853" t="inlineStr">
        <is>
          <t>ÖSTERGÖTLANDS LÄN</t>
        </is>
      </c>
      <c r="E4853" t="inlineStr">
        <is>
          <t>NORRKÖPING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58379-2025</t>
        </is>
      </c>
      <c r="B4854" s="1" t="n">
        <v>45985.53733796296</v>
      </c>
      <c r="C4854" s="1" t="n">
        <v>46093</v>
      </c>
      <c r="D4854" t="inlineStr">
        <is>
          <t>ÖSTERGÖTLANDS LÄN</t>
        </is>
      </c>
      <c r="E4854" t="inlineStr">
        <is>
          <t>NORRKÖPING</t>
        </is>
      </c>
      <c r="F4854" t="inlineStr">
        <is>
          <t>Holmen skog AB</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8771-2022</t>
        </is>
      </c>
      <c r="B4855" s="1" t="n">
        <v>44614.39498842593</v>
      </c>
      <c r="C4855" s="1" t="n">
        <v>46093</v>
      </c>
      <c r="D4855" t="inlineStr">
        <is>
          <t>ÖSTERGÖTLANDS LÄN</t>
        </is>
      </c>
      <c r="E4855" t="inlineStr">
        <is>
          <t>BOXHOLM</t>
        </is>
      </c>
      <c r="F4855" t="inlineStr">
        <is>
          <t>Övriga Aktiebolag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14429-2022</t>
        </is>
      </c>
      <c r="B4856" s="1" t="n">
        <v>44652.90847222223</v>
      </c>
      <c r="C4856" s="1" t="n">
        <v>46093</v>
      </c>
      <c r="D4856" t="inlineStr">
        <is>
          <t>ÖSTERGÖTLANDS LÄN</t>
        </is>
      </c>
      <c r="E4856" t="inlineStr">
        <is>
          <t>VALDEMARSVIK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36075-2023</t>
        </is>
      </c>
      <c r="B4857" s="1" t="n">
        <v>45149</v>
      </c>
      <c r="C4857" s="1" t="n">
        <v>46093</v>
      </c>
      <c r="D4857" t="inlineStr">
        <is>
          <t>ÖSTERGÖTLANDS LÄN</t>
        </is>
      </c>
      <c r="E4857" t="inlineStr">
        <is>
          <t>ÖDESHÖG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62177-2024</t>
        </is>
      </c>
      <c r="B4858" s="1" t="n">
        <v>45657.95927083334</v>
      </c>
      <c r="C4858" s="1" t="n">
        <v>46093</v>
      </c>
      <c r="D4858" t="inlineStr">
        <is>
          <t>ÖSTERGÖTLANDS LÄN</t>
        </is>
      </c>
      <c r="E4858" t="inlineStr">
        <is>
          <t>NORRKÖPING</t>
        </is>
      </c>
      <c r="F4858" t="inlineStr">
        <is>
          <t>Holmen skog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58189-2025</t>
        </is>
      </c>
      <c r="B4859" s="1" t="n">
        <v>45983.50916666666</v>
      </c>
      <c r="C4859" s="1" t="n">
        <v>46093</v>
      </c>
      <c r="D4859" t="inlineStr">
        <is>
          <t>ÖSTERGÖTLANDS LÄN</t>
        </is>
      </c>
      <c r="E4859" t="inlineStr">
        <is>
          <t>FINSPÅNG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58191-2025</t>
        </is>
      </c>
      <c r="B4860" s="1" t="n">
        <v>45983.5328125</v>
      </c>
      <c r="C4860" s="1" t="n">
        <v>46093</v>
      </c>
      <c r="D4860" t="inlineStr">
        <is>
          <t>ÖSTERGÖTLANDS LÄN</t>
        </is>
      </c>
      <c r="E4860" t="inlineStr">
        <is>
          <t>FINSPÅNG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2975-2025</t>
        </is>
      </c>
      <c r="B4861" s="1" t="n">
        <v>45678.47236111111</v>
      </c>
      <c r="C4861" s="1" t="n">
        <v>46093</v>
      </c>
      <c r="D4861" t="inlineStr">
        <is>
          <t>ÖSTERGÖTLANDS LÄN</t>
        </is>
      </c>
      <c r="E4861" t="inlineStr">
        <is>
          <t>NORRKÖPING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58796-2025</t>
        </is>
      </c>
      <c r="B4862" s="1" t="n">
        <v>45986</v>
      </c>
      <c r="C4862" s="1" t="n">
        <v>46093</v>
      </c>
      <c r="D4862" t="inlineStr">
        <is>
          <t>ÖSTERGÖTLANDS LÄN</t>
        </is>
      </c>
      <c r="E4862" t="inlineStr">
        <is>
          <t>FINSPÅNG</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58927-2025</t>
        </is>
      </c>
      <c r="B4863" s="1" t="n">
        <v>45986</v>
      </c>
      <c r="C4863" s="1" t="n">
        <v>46093</v>
      </c>
      <c r="D4863" t="inlineStr">
        <is>
          <t>ÖSTERGÖTLANDS LÄN</t>
        </is>
      </c>
      <c r="E4863" t="inlineStr">
        <is>
          <t>ÅTVIDABERG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58575-2025</t>
        </is>
      </c>
      <c r="B4864" s="1" t="n">
        <v>45986.38106481481</v>
      </c>
      <c r="C4864" s="1" t="n">
        <v>46093</v>
      </c>
      <c r="D4864" t="inlineStr">
        <is>
          <t>ÖSTERGÖTLANDS LÄN</t>
        </is>
      </c>
      <c r="E4864" t="inlineStr">
        <is>
          <t>NORRKÖPING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23735-2023</t>
        </is>
      </c>
      <c r="B4865" s="1" t="n">
        <v>45077</v>
      </c>
      <c r="C4865" s="1" t="n">
        <v>46093</v>
      </c>
      <c r="D4865" t="inlineStr">
        <is>
          <t>ÖSTERGÖTLANDS LÄN</t>
        </is>
      </c>
      <c r="E4865" t="inlineStr">
        <is>
          <t>LINKÖPING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58730-2025</t>
        </is>
      </c>
      <c r="B4866" s="1" t="n">
        <v>45986.62471064815</v>
      </c>
      <c r="C4866" s="1" t="n">
        <v>46093</v>
      </c>
      <c r="D4866" t="inlineStr">
        <is>
          <t>ÖSTERGÖTLANDS LÄN</t>
        </is>
      </c>
      <c r="E4866" t="inlineStr">
        <is>
          <t>VALDEMARSVIK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58740-2025</t>
        </is>
      </c>
      <c r="B4867" s="1" t="n">
        <v>45986.63265046296</v>
      </c>
      <c r="C4867" s="1" t="n">
        <v>46093</v>
      </c>
      <c r="D4867" t="inlineStr">
        <is>
          <t>ÖSTERGÖTLANDS LÄN</t>
        </is>
      </c>
      <c r="E4867" t="inlineStr">
        <is>
          <t>VALDEMARSVIK</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2028-2022</t>
        </is>
      </c>
      <c r="B4868" s="1" t="n">
        <v>44575</v>
      </c>
      <c r="C4868" s="1" t="n">
        <v>46093</v>
      </c>
      <c r="D4868" t="inlineStr">
        <is>
          <t>ÖSTERGÖTLANDS LÄN</t>
        </is>
      </c>
      <c r="E4868" t="inlineStr">
        <is>
          <t>MOTALA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42382-2023</t>
        </is>
      </c>
      <c r="B4869" s="1" t="n">
        <v>45180</v>
      </c>
      <c r="C4869" s="1" t="n">
        <v>46093</v>
      </c>
      <c r="D4869" t="inlineStr">
        <is>
          <t>ÖSTERGÖTLANDS LÄN</t>
        </is>
      </c>
      <c r="E4869" t="inlineStr">
        <is>
          <t>ÅTVIDABERG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17296-2023</t>
        </is>
      </c>
      <c r="B4870" s="1" t="n">
        <v>45035</v>
      </c>
      <c r="C4870" s="1" t="n">
        <v>46093</v>
      </c>
      <c r="D4870" t="inlineStr">
        <is>
          <t>ÖSTERGÖTLANDS LÄN</t>
        </is>
      </c>
      <c r="E4870" t="inlineStr">
        <is>
          <t>VALDEMARSVIK</t>
        </is>
      </c>
      <c r="F4870" t="inlineStr">
        <is>
          <t>Holmen skog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42488-2023</t>
        </is>
      </c>
      <c r="B4871" s="1" t="n">
        <v>45180</v>
      </c>
      <c r="C4871" s="1" t="n">
        <v>46093</v>
      </c>
      <c r="D4871" t="inlineStr">
        <is>
          <t>ÖSTERGÖTLANDS LÄN</t>
        </is>
      </c>
      <c r="E4871" t="inlineStr">
        <is>
          <t>ÅTVIDABERG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65566-2021</t>
        </is>
      </c>
      <c r="B4872" s="1" t="n">
        <v>44516</v>
      </c>
      <c r="C4872" s="1" t="n">
        <v>46093</v>
      </c>
      <c r="D4872" t="inlineStr">
        <is>
          <t>ÖSTERGÖTLANDS LÄN</t>
        </is>
      </c>
      <c r="E4872" t="inlineStr">
        <is>
          <t>MOTALA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20455-2024</t>
        </is>
      </c>
      <c r="B4873" s="1" t="n">
        <v>45435.65314814815</v>
      </c>
      <c r="C4873" s="1" t="n">
        <v>46093</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6407-2023</t>
        </is>
      </c>
      <c r="B4874" s="1" t="n">
        <v>44965</v>
      </c>
      <c r="C4874" s="1" t="n">
        <v>46093</v>
      </c>
      <c r="D4874" t="inlineStr">
        <is>
          <t>ÖSTERGÖTLANDS LÄN</t>
        </is>
      </c>
      <c r="E4874" t="inlineStr">
        <is>
          <t>FINSPÅNG</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24367-2023</t>
        </is>
      </c>
      <c r="B4875" s="1" t="n">
        <v>45082.34861111111</v>
      </c>
      <c r="C4875" s="1" t="n">
        <v>46093</v>
      </c>
      <c r="D4875" t="inlineStr">
        <is>
          <t>ÖSTERGÖTLANDS LÄN</t>
        </is>
      </c>
      <c r="E4875" t="inlineStr">
        <is>
          <t>KINDA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350-2022</t>
        </is>
      </c>
      <c r="B4876" s="1" t="n">
        <v>44565</v>
      </c>
      <c r="C4876" s="1" t="n">
        <v>46093</v>
      </c>
      <c r="D4876" t="inlineStr">
        <is>
          <t>ÖSTERGÖTLANDS LÄN</t>
        </is>
      </c>
      <c r="E4876" t="inlineStr">
        <is>
          <t>LINKÖPING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31849-2023</t>
        </is>
      </c>
      <c r="B4877" s="1" t="n">
        <v>45118.58756944445</v>
      </c>
      <c r="C4877" s="1" t="n">
        <v>46093</v>
      </c>
      <c r="D4877" t="inlineStr">
        <is>
          <t>ÖSTERGÖTLANDS LÄN</t>
        </is>
      </c>
      <c r="E4877" t="inlineStr">
        <is>
          <t>KINDA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25287-2023</t>
        </is>
      </c>
      <c r="B4878" s="1" t="n">
        <v>45086.71662037037</v>
      </c>
      <c r="C4878" s="1" t="n">
        <v>46093</v>
      </c>
      <c r="D4878" t="inlineStr">
        <is>
          <t>ÖSTERGÖTLANDS LÄN</t>
        </is>
      </c>
      <c r="E4878" t="inlineStr">
        <is>
          <t>NORRKÖPING</t>
        </is>
      </c>
      <c r="F4878" t="inlineStr">
        <is>
          <t>Allmännings- och besparingsskogar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58310-2025</t>
        </is>
      </c>
      <c r="B4879" s="1" t="n">
        <v>45985.4681712963</v>
      </c>
      <c r="C4879" s="1" t="n">
        <v>46093</v>
      </c>
      <c r="D4879" t="inlineStr">
        <is>
          <t>ÖSTERGÖTLANDS LÄN</t>
        </is>
      </c>
      <c r="E4879" t="inlineStr">
        <is>
          <t>MJÖLBY</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58330-2025</t>
        </is>
      </c>
      <c r="B4880" s="1" t="n">
        <v>45985.47957175926</v>
      </c>
      <c r="C4880" s="1" t="n">
        <v>46093</v>
      </c>
      <c r="D4880" t="inlineStr">
        <is>
          <t>ÖSTERGÖTLANDS LÄN</t>
        </is>
      </c>
      <c r="E4880" t="inlineStr">
        <is>
          <t>NORRKÖPING</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46186-2024</t>
        </is>
      </c>
      <c r="B4881" s="1" t="n">
        <v>45581</v>
      </c>
      <c r="C4881" s="1" t="n">
        <v>46093</v>
      </c>
      <c r="D4881" t="inlineStr">
        <is>
          <t>ÖSTERGÖTLANDS LÄN</t>
        </is>
      </c>
      <c r="E4881" t="inlineStr">
        <is>
          <t>VALDEMARSVIK</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58698-2025</t>
        </is>
      </c>
      <c r="B4882" s="1" t="n">
        <v>45985</v>
      </c>
      <c r="C4882" s="1" t="n">
        <v>46093</v>
      </c>
      <c r="D4882" t="inlineStr">
        <is>
          <t>ÖSTERGÖTLANDS LÄN</t>
        </is>
      </c>
      <c r="E4882" t="inlineStr">
        <is>
          <t>FINSPÅNG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46188-2024</t>
        </is>
      </c>
      <c r="B4883" s="1" t="n">
        <v>45581</v>
      </c>
      <c r="C4883" s="1" t="n">
        <v>46093</v>
      </c>
      <c r="D4883" t="inlineStr">
        <is>
          <t>ÖSTERGÖTLANDS LÄN</t>
        </is>
      </c>
      <c r="E4883" t="inlineStr">
        <is>
          <t>VALDEMARSVIK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30471-2023</t>
        </is>
      </c>
      <c r="B4884" s="1" t="n">
        <v>45111.58931712963</v>
      </c>
      <c r="C4884" s="1" t="n">
        <v>46093</v>
      </c>
      <c r="D4884" t="inlineStr">
        <is>
          <t>ÖSTERGÖTLANDS LÄN</t>
        </is>
      </c>
      <c r="E4884" t="inlineStr">
        <is>
          <t>LINKÖPING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57027-2024</t>
        </is>
      </c>
      <c r="B4885" s="1" t="n">
        <v>45628.83202546297</v>
      </c>
      <c r="C4885" s="1" t="n">
        <v>46093</v>
      </c>
      <c r="D4885" t="inlineStr">
        <is>
          <t>ÖSTERGÖTLANDS LÄN</t>
        </is>
      </c>
      <c r="E4885" t="inlineStr">
        <is>
          <t>SÖDERKÖPING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60917-2022</t>
        </is>
      </c>
      <c r="B4886" s="1" t="n">
        <v>44908</v>
      </c>
      <c r="C4886" s="1" t="n">
        <v>46093</v>
      </c>
      <c r="D4886" t="inlineStr">
        <is>
          <t>ÖSTERGÖTLANDS LÄN</t>
        </is>
      </c>
      <c r="E4886" t="inlineStr">
        <is>
          <t>MJÖLBY</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49060-2022</t>
        </is>
      </c>
      <c r="B4887" s="1" t="n">
        <v>44860</v>
      </c>
      <c r="C4887" s="1" t="n">
        <v>46093</v>
      </c>
      <c r="D4887" t="inlineStr">
        <is>
          <t>ÖSTERGÖTLANDS LÄN</t>
        </is>
      </c>
      <c r="E4887" t="inlineStr">
        <is>
          <t>NORRKÖPING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2650-2023</t>
        </is>
      </c>
      <c r="B4888" s="1" t="n">
        <v>44944.42813657408</v>
      </c>
      <c r="C4888" s="1" t="n">
        <v>46093</v>
      </c>
      <c r="D4888" t="inlineStr">
        <is>
          <t>ÖSTERGÖTLANDS LÄN</t>
        </is>
      </c>
      <c r="E4888" t="inlineStr">
        <is>
          <t>FINSPÅNG</t>
        </is>
      </c>
      <c r="F4888" t="inlineStr">
        <is>
          <t>Holmen skog AB</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16696-2025</t>
        </is>
      </c>
      <c r="B4889" s="1" t="n">
        <v>45754.46591435185</v>
      </c>
      <c r="C4889" s="1" t="n">
        <v>46093</v>
      </c>
      <c r="D4889" t="inlineStr">
        <is>
          <t>ÖSTERGÖTLANDS LÄN</t>
        </is>
      </c>
      <c r="E4889" t="inlineStr">
        <is>
          <t>FINSPÅNG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59812-2022</t>
        </is>
      </c>
      <c r="B4890" s="1" t="n">
        <v>44908.58217592593</v>
      </c>
      <c r="C4890" s="1" t="n">
        <v>46093</v>
      </c>
      <c r="D4890" t="inlineStr">
        <is>
          <t>ÖSTERGÖTLANDS LÄN</t>
        </is>
      </c>
      <c r="E4890" t="inlineStr">
        <is>
          <t>YDRE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58884-2024</t>
        </is>
      </c>
      <c r="B4891" s="1" t="n">
        <v>45636.45025462963</v>
      </c>
      <c r="C4891" s="1" t="n">
        <v>46093</v>
      </c>
      <c r="D4891" t="inlineStr">
        <is>
          <t>ÖSTERGÖTLANDS LÄN</t>
        </is>
      </c>
      <c r="E4891" t="inlineStr">
        <is>
          <t>NORRKÖPING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4190-2024</t>
        </is>
      </c>
      <c r="B4892" s="1" t="n">
        <v>45324.33511574074</v>
      </c>
      <c r="C4892" s="1" t="n">
        <v>46093</v>
      </c>
      <c r="D4892" t="inlineStr">
        <is>
          <t>ÖSTERGÖTLANDS LÄN</t>
        </is>
      </c>
      <c r="E4892" t="inlineStr">
        <is>
          <t>BOXHOLM</t>
        </is>
      </c>
      <c r="F4892" t="inlineStr">
        <is>
          <t>Övriga Aktiebolag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54934-2022</t>
        </is>
      </c>
      <c r="B4893" s="1" t="n">
        <v>44886.44074074074</v>
      </c>
      <c r="C4893" s="1" t="n">
        <v>46093</v>
      </c>
      <c r="D4893" t="inlineStr">
        <is>
          <t>ÖSTERGÖTLANDS LÄN</t>
        </is>
      </c>
      <c r="E4893" t="inlineStr">
        <is>
          <t>BOXHOLM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3533-2022</t>
        </is>
      </c>
      <c r="B4894" s="1" t="n">
        <v>44585</v>
      </c>
      <c r="C4894" s="1" t="n">
        <v>46093</v>
      </c>
      <c r="D4894" t="inlineStr">
        <is>
          <t>ÖSTERGÖTLANDS LÄN</t>
        </is>
      </c>
      <c r="E4894" t="inlineStr">
        <is>
          <t>VALDEMARSVIK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20157-2023</t>
        </is>
      </c>
      <c r="B4895" s="1" t="n">
        <v>45055</v>
      </c>
      <c r="C4895" s="1" t="n">
        <v>46093</v>
      </c>
      <c r="D4895" t="inlineStr">
        <is>
          <t>ÖSTERGÖTLANDS LÄN</t>
        </is>
      </c>
      <c r="E4895" t="inlineStr">
        <is>
          <t>FINSPÅNG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4256-2022</t>
        </is>
      </c>
      <c r="B4896" s="1" t="n">
        <v>44588</v>
      </c>
      <c r="C4896" s="1" t="n">
        <v>46093</v>
      </c>
      <c r="D4896" t="inlineStr">
        <is>
          <t>ÖSTERGÖTLANDS LÄN</t>
        </is>
      </c>
      <c r="E4896" t="inlineStr">
        <is>
          <t>LINKÖPING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46633-2024</t>
        </is>
      </c>
      <c r="B4897" s="1" t="n">
        <v>45583.34371527778</v>
      </c>
      <c r="C4897" s="1" t="n">
        <v>46093</v>
      </c>
      <c r="D4897" t="inlineStr">
        <is>
          <t>ÖSTERGÖTLANDS LÄN</t>
        </is>
      </c>
      <c r="E4897" t="inlineStr">
        <is>
          <t>NORRKÖPING</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13619-2025</t>
        </is>
      </c>
      <c r="B4898" s="1" t="n">
        <v>45736.63283564815</v>
      </c>
      <c r="C4898" s="1" t="n">
        <v>46093</v>
      </c>
      <c r="D4898" t="inlineStr">
        <is>
          <t>ÖSTERGÖTLANDS LÄN</t>
        </is>
      </c>
      <c r="E4898" t="inlineStr">
        <is>
          <t>BOXHOLM</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14441-2025</t>
        </is>
      </c>
      <c r="B4899" s="1" t="n">
        <v>45741.51940972222</v>
      </c>
      <c r="C4899" s="1" t="n">
        <v>46093</v>
      </c>
      <c r="D4899" t="inlineStr">
        <is>
          <t>ÖSTERGÖTLANDS LÄN</t>
        </is>
      </c>
      <c r="E4899" t="inlineStr">
        <is>
          <t>NORRKÖPING</t>
        </is>
      </c>
      <c r="F4899" t="inlineStr">
        <is>
          <t>Allmännings- och besparingsskogar</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5595-2022</t>
        </is>
      </c>
      <c r="B4900" s="1" t="n">
        <v>44595</v>
      </c>
      <c r="C4900" s="1" t="n">
        <v>46093</v>
      </c>
      <c r="D4900" t="inlineStr">
        <is>
          <t>ÖSTERGÖTLANDS LÄN</t>
        </is>
      </c>
      <c r="E4900" t="inlineStr">
        <is>
          <t>FINSPÅNG</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56313-2021</t>
        </is>
      </c>
      <c r="B4901" s="1" t="n">
        <v>44480.34510416666</v>
      </c>
      <c r="C4901" s="1" t="n">
        <v>46093</v>
      </c>
      <c r="D4901" t="inlineStr">
        <is>
          <t>ÖSTERGÖTLANDS LÄN</t>
        </is>
      </c>
      <c r="E4901" t="inlineStr">
        <is>
          <t>YDRE</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45362-2021</t>
        </is>
      </c>
      <c r="B4902" s="1" t="n">
        <v>44439.97621527778</v>
      </c>
      <c r="C4902" s="1" t="n">
        <v>46093</v>
      </c>
      <c r="D4902" t="inlineStr">
        <is>
          <t>ÖSTERGÖTLANDS LÄN</t>
        </is>
      </c>
      <c r="E4902" t="inlineStr">
        <is>
          <t>NORRKÖPING</t>
        </is>
      </c>
      <c r="F4902" t="inlineStr">
        <is>
          <t>Allmännings- och besparingsskogar</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54404-2023</t>
        </is>
      </c>
      <c r="B4903" s="1" t="n">
        <v>45233</v>
      </c>
      <c r="C4903" s="1" t="n">
        <v>46093</v>
      </c>
      <c r="D4903" t="inlineStr">
        <is>
          <t>ÖSTERGÖTLANDS LÄN</t>
        </is>
      </c>
      <c r="E4903" t="inlineStr">
        <is>
          <t>FINSPÅNG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7336-2024</t>
        </is>
      </c>
      <c r="B4904" s="1" t="n">
        <v>45345.43415509259</v>
      </c>
      <c r="C4904" s="1" t="n">
        <v>46093</v>
      </c>
      <c r="D4904" t="inlineStr">
        <is>
          <t>ÖSTERGÖTLANDS LÄN</t>
        </is>
      </c>
      <c r="E4904" t="inlineStr">
        <is>
          <t>ÖDESHÖG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14093-2024</t>
        </is>
      </c>
      <c r="B4905" s="1" t="n">
        <v>45392.60278935185</v>
      </c>
      <c r="C4905" s="1" t="n">
        <v>46093</v>
      </c>
      <c r="D4905" t="inlineStr">
        <is>
          <t>ÖSTERGÖTLANDS LÄN</t>
        </is>
      </c>
      <c r="E4905" t="inlineStr">
        <is>
          <t>LINKÖPING</t>
        </is>
      </c>
      <c r="F4905" t="inlineStr">
        <is>
          <t>Övriga Aktiebolag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11974-2023</t>
        </is>
      </c>
      <c r="B4906" s="1" t="n">
        <v>44995</v>
      </c>
      <c r="C4906" s="1" t="n">
        <v>46093</v>
      </c>
      <c r="D4906" t="inlineStr">
        <is>
          <t>ÖSTERGÖTLANDS LÄN</t>
        </is>
      </c>
      <c r="E4906" t="inlineStr">
        <is>
          <t>FINSPÅNG</t>
        </is>
      </c>
      <c r="F4906" t="inlineStr">
        <is>
          <t>Holmen skog AB</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7646-2025</t>
        </is>
      </c>
      <c r="B4907" s="1" t="n">
        <v>45705.83746527778</v>
      </c>
      <c r="C4907" s="1" t="n">
        <v>46093</v>
      </c>
      <c r="D4907" t="inlineStr">
        <is>
          <t>ÖSTERGÖTLANDS LÄN</t>
        </is>
      </c>
      <c r="E4907" t="inlineStr">
        <is>
          <t>VALDEMARSVIK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7647-2025</t>
        </is>
      </c>
      <c r="B4908" s="1" t="n">
        <v>45705.84123842593</v>
      </c>
      <c r="C4908" s="1" t="n">
        <v>46093</v>
      </c>
      <c r="D4908" t="inlineStr">
        <is>
          <t>ÖSTERGÖTLANDS LÄN</t>
        </is>
      </c>
      <c r="E4908" t="inlineStr">
        <is>
          <t>VALDEMARSVIK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7714-2025</t>
        </is>
      </c>
      <c r="B4909" s="1" t="n">
        <v>45706.42958333333</v>
      </c>
      <c r="C4909" s="1" t="n">
        <v>46093</v>
      </c>
      <c r="D4909" t="inlineStr">
        <is>
          <t>ÖSTERGÖTLANDS LÄN</t>
        </is>
      </c>
      <c r="E4909" t="inlineStr">
        <is>
          <t>NORRKÖPING</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61436-2022</t>
        </is>
      </c>
      <c r="B4910" s="1" t="n">
        <v>44916</v>
      </c>
      <c r="C4910" s="1" t="n">
        <v>46093</v>
      </c>
      <c r="D4910" t="inlineStr">
        <is>
          <t>ÖSTERGÖTLANDS LÄN</t>
        </is>
      </c>
      <c r="E4910" t="inlineStr">
        <is>
          <t>VALDEMARSVIK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25948-2023</t>
        </is>
      </c>
      <c r="B4911" s="1" t="n">
        <v>45090</v>
      </c>
      <c r="C4911" s="1" t="n">
        <v>46093</v>
      </c>
      <c r="D4911" t="inlineStr">
        <is>
          <t>ÖSTERGÖTLANDS LÄN</t>
        </is>
      </c>
      <c r="E4911" t="inlineStr">
        <is>
          <t>LINKÖPING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9465-2022</t>
        </is>
      </c>
      <c r="B4912" s="1" t="n">
        <v>44616.78555555556</v>
      </c>
      <c r="C4912" s="1" t="n">
        <v>46093</v>
      </c>
      <c r="D4912" t="inlineStr">
        <is>
          <t>ÖSTERGÖTLANDS LÄN</t>
        </is>
      </c>
      <c r="E4912" t="inlineStr">
        <is>
          <t>KINDA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59079-2025</t>
        </is>
      </c>
      <c r="B4913" s="1" t="n">
        <v>45988.43372685185</v>
      </c>
      <c r="C4913" s="1" t="n">
        <v>46093</v>
      </c>
      <c r="D4913" t="inlineStr">
        <is>
          <t>ÖSTERGÖTLANDS LÄN</t>
        </is>
      </c>
      <c r="E4913" t="inlineStr">
        <is>
          <t>KINDA</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60969-2023</t>
        </is>
      </c>
      <c r="B4914" s="1" t="n">
        <v>45261.47166666666</v>
      </c>
      <c r="C4914" s="1" t="n">
        <v>46093</v>
      </c>
      <c r="D4914" t="inlineStr">
        <is>
          <t>ÖSTERGÖTLANDS LÄN</t>
        </is>
      </c>
      <c r="E4914" t="inlineStr">
        <is>
          <t>MJÖLBY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22651-2023</t>
        </is>
      </c>
      <c r="B4915" s="1" t="n">
        <v>45071</v>
      </c>
      <c r="C4915" s="1" t="n">
        <v>46093</v>
      </c>
      <c r="D4915" t="inlineStr">
        <is>
          <t>ÖSTERGÖTLANDS LÄN</t>
        </is>
      </c>
      <c r="E4915" t="inlineStr">
        <is>
          <t>NORRKÖPING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25982-2023</t>
        </is>
      </c>
      <c r="B4916" s="1" t="n">
        <v>45090</v>
      </c>
      <c r="C4916" s="1" t="n">
        <v>46093</v>
      </c>
      <c r="D4916" t="inlineStr">
        <is>
          <t>ÖSTERGÖTLANDS LÄN</t>
        </is>
      </c>
      <c r="E4916" t="inlineStr">
        <is>
          <t>NORRKÖPING</t>
        </is>
      </c>
      <c r="F4916" t="inlineStr">
        <is>
          <t>Allmännings- och besparingsskogar</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28956-2021</t>
        </is>
      </c>
      <c r="B4917" s="1" t="n">
        <v>44358.36768518519</v>
      </c>
      <c r="C4917" s="1" t="n">
        <v>46093</v>
      </c>
      <c r="D4917" t="inlineStr">
        <is>
          <t>ÖSTERGÖTLANDS LÄN</t>
        </is>
      </c>
      <c r="E4917" t="inlineStr">
        <is>
          <t>YDRE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59040-2025</t>
        </is>
      </c>
      <c r="B4918" s="1" t="n">
        <v>45988.36878472222</v>
      </c>
      <c r="C4918" s="1" t="n">
        <v>46093</v>
      </c>
      <c r="D4918" t="inlineStr">
        <is>
          <t>ÖSTERGÖTLANDS LÄN</t>
        </is>
      </c>
      <c r="E4918" t="inlineStr">
        <is>
          <t>KINDA</t>
        </is>
      </c>
      <c r="F4918" t="inlineStr">
        <is>
          <t>Sveaskog</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21770-2023</t>
        </is>
      </c>
      <c r="B4919" s="1" t="n">
        <v>45065</v>
      </c>
      <c r="C4919" s="1" t="n">
        <v>46093</v>
      </c>
      <c r="D4919" t="inlineStr">
        <is>
          <t>ÖSTERGÖTLANDS LÄN</t>
        </is>
      </c>
      <c r="E4919" t="inlineStr">
        <is>
          <t>ÖDESHÖG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28020-2023</t>
        </is>
      </c>
      <c r="B4920" s="1" t="n">
        <v>45095</v>
      </c>
      <c r="C4920" s="1" t="n">
        <v>46093</v>
      </c>
      <c r="D4920" t="inlineStr">
        <is>
          <t>ÖSTERGÖTLANDS LÄN</t>
        </is>
      </c>
      <c r="E4920" t="inlineStr">
        <is>
          <t>FINSPÅNG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57413-2022</t>
        </is>
      </c>
      <c r="B4921" s="1" t="n">
        <v>44896</v>
      </c>
      <c r="C4921" s="1" t="n">
        <v>46093</v>
      </c>
      <c r="D4921" t="inlineStr">
        <is>
          <t>ÖSTERGÖTLANDS LÄN</t>
        </is>
      </c>
      <c r="E4921" t="inlineStr">
        <is>
          <t>NORRKÖPING</t>
        </is>
      </c>
      <c r="F4921" t="inlineStr">
        <is>
          <t>Holmen skog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46262-2021</t>
        </is>
      </c>
      <c r="B4922" s="1" t="n">
        <v>44442.55604166666</v>
      </c>
      <c r="C4922" s="1" t="n">
        <v>46093</v>
      </c>
      <c r="D4922" t="inlineStr">
        <is>
          <t>ÖSTERGÖTLANDS LÄN</t>
        </is>
      </c>
      <c r="E4922" t="inlineStr">
        <is>
          <t>KINDA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50785-2021</t>
        </is>
      </c>
      <c r="B4923" s="1" t="n">
        <v>44459</v>
      </c>
      <c r="C4923" s="1" t="n">
        <v>46093</v>
      </c>
      <c r="D4923" t="inlineStr">
        <is>
          <t>ÖSTERGÖTLANDS LÄN</t>
        </is>
      </c>
      <c r="E4923" t="inlineStr">
        <is>
          <t>MOTALA</t>
        </is>
      </c>
      <c r="F4923" t="inlineStr">
        <is>
          <t>Kyrkan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13567-2025</t>
        </is>
      </c>
      <c r="B4924" s="1" t="n">
        <v>45736</v>
      </c>
      <c r="C4924" s="1" t="n">
        <v>46093</v>
      </c>
      <c r="D4924" t="inlineStr">
        <is>
          <t>ÖSTERGÖTLANDS LÄN</t>
        </is>
      </c>
      <c r="E4924" t="inlineStr">
        <is>
          <t>MJÖLBY</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59061-2024</t>
        </is>
      </c>
      <c r="B4925" s="1" t="n">
        <v>45636.85606481481</v>
      </c>
      <c r="C4925" s="1" t="n">
        <v>46093</v>
      </c>
      <c r="D4925" t="inlineStr">
        <is>
          <t>ÖSTERGÖTLANDS LÄN</t>
        </is>
      </c>
      <c r="E4925" t="inlineStr">
        <is>
          <t>FINSPÅNG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59205-2025</t>
        </is>
      </c>
      <c r="B4926" s="1" t="n">
        <v>45988.60721064815</v>
      </c>
      <c r="C4926" s="1" t="n">
        <v>46093</v>
      </c>
      <c r="D4926" t="inlineStr">
        <is>
          <t>ÖSTERGÖTLANDS LÄN</t>
        </is>
      </c>
      <c r="E4926" t="inlineStr">
        <is>
          <t>LINKÖPING</t>
        </is>
      </c>
      <c r="F4926" t="inlineStr">
        <is>
          <t>Sveaskog</t>
        </is>
      </c>
      <c r="G4926" t="n">
        <v>11.3</v>
      </c>
      <c r="H4926" t="n">
        <v>0</v>
      </c>
      <c r="I4926" t="n">
        <v>0</v>
      </c>
      <c r="J4926" t="n">
        <v>0</v>
      </c>
      <c r="K4926" t="n">
        <v>0</v>
      </c>
      <c r="L4926" t="n">
        <v>0</v>
      </c>
      <c r="M4926" t="n">
        <v>0</v>
      </c>
      <c r="N4926" t="n">
        <v>0</v>
      </c>
      <c r="O4926" t="n">
        <v>0</v>
      </c>
      <c r="P4926" t="n">
        <v>0</v>
      </c>
      <c r="Q4926" t="n">
        <v>0</v>
      </c>
      <c r="R4926" s="2" t="inlineStr"/>
    </row>
    <row r="4927" ht="15" customHeight="1">
      <c r="A4927" t="inlineStr">
        <is>
          <t>A 9412-2023</t>
        </is>
      </c>
      <c r="B4927" s="1" t="n">
        <v>44981</v>
      </c>
      <c r="C4927" s="1" t="n">
        <v>46093</v>
      </c>
      <c r="D4927" t="inlineStr">
        <is>
          <t>ÖSTERGÖTLANDS LÄN</t>
        </is>
      </c>
      <c r="E4927" t="inlineStr">
        <is>
          <t>FINSPÅNG</t>
        </is>
      </c>
      <c r="F4927" t="inlineStr">
        <is>
          <t>Holmen skog AB</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51153-2022</t>
        </is>
      </c>
      <c r="B4928" s="1" t="n">
        <v>44868.53001157408</v>
      </c>
      <c r="C4928" s="1" t="n">
        <v>46093</v>
      </c>
      <c r="D4928" t="inlineStr">
        <is>
          <t>ÖSTERGÖTLANDS LÄN</t>
        </is>
      </c>
      <c r="E4928" t="inlineStr">
        <is>
          <t>YDRE</t>
        </is>
      </c>
      <c r="F4928" t="inlineStr">
        <is>
          <t>Övriga Aktiebolag</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18585-2024</t>
        </is>
      </c>
      <c r="B4929" s="1" t="n">
        <v>45425</v>
      </c>
      <c r="C4929" s="1" t="n">
        <v>46093</v>
      </c>
      <c r="D4929" t="inlineStr">
        <is>
          <t>ÖSTERGÖTLANDS LÄN</t>
        </is>
      </c>
      <c r="E4929" t="inlineStr">
        <is>
          <t>FINSPÅNG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21294-2024</t>
        </is>
      </c>
      <c r="B4930" s="1" t="n">
        <v>45440.66633101852</v>
      </c>
      <c r="C4930" s="1" t="n">
        <v>46093</v>
      </c>
      <c r="D4930" t="inlineStr">
        <is>
          <t>ÖSTERGÖTLANDS LÄN</t>
        </is>
      </c>
      <c r="E4930" t="inlineStr">
        <is>
          <t>ÅTVIDABERG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59081-2025</t>
        </is>
      </c>
      <c r="B4931" s="1" t="n">
        <v>45988.43559027778</v>
      </c>
      <c r="C4931" s="1" t="n">
        <v>46093</v>
      </c>
      <c r="D4931" t="inlineStr">
        <is>
          <t>ÖSTERGÖTLANDS LÄN</t>
        </is>
      </c>
      <c r="E4931" t="inlineStr">
        <is>
          <t>KINDA</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59103-2025</t>
        </is>
      </c>
      <c r="B4932" s="1" t="n">
        <v>45988.46053240741</v>
      </c>
      <c r="C4932" s="1" t="n">
        <v>46093</v>
      </c>
      <c r="D4932" t="inlineStr">
        <is>
          <t>ÖSTERGÖTLANDS LÄN</t>
        </is>
      </c>
      <c r="E4932" t="inlineStr">
        <is>
          <t>KINDA</t>
        </is>
      </c>
      <c r="F4932" t="inlineStr">
        <is>
          <t>Sveaskog</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25702-2023</t>
        </is>
      </c>
      <c r="B4933" s="1" t="n">
        <v>45090.31699074074</v>
      </c>
      <c r="C4933" s="1" t="n">
        <v>46093</v>
      </c>
      <c r="D4933" t="inlineStr">
        <is>
          <t>ÖSTERGÖTLANDS LÄN</t>
        </is>
      </c>
      <c r="E4933" t="inlineStr">
        <is>
          <t>VALDEMARSVIK</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61205-2023</t>
        </is>
      </c>
      <c r="B4934" s="1" t="n">
        <v>45264</v>
      </c>
      <c r="C4934" s="1" t="n">
        <v>46093</v>
      </c>
      <c r="D4934" t="inlineStr">
        <is>
          <t>ÖSTERGÖTLANDS LÄN</t>
        </is>
      </c>
      <c r="E4934" t="inlineStr">
        <is>
          <t>YDRE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42204-2023</t>
        </is>
      </c>
      <c r="B4935" s="1" t="n">
        <v>45179</v>
      </c>
      <c r="C4935" s="1" t="n">
        <v>46093</v>
      </c>
      <c r="D4935" t="inlineStr">
        <is>
          <t>ÖSTERGÖTLANDS LÄN</t>
        </is>
      </c>
      <c r="E4935" t="inlineStr">
        <is>
          <t>FINSPÅNG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33867-2023</t>
        </is>
      </c>
      <c r="B4936" s="1" t="n">
        <v>45133.94640046296</v>
      </c>
      <c r="C4936" s="1" t="n">
        <v>46093</v>
      </c>
      <c r="D4936" t="inlineStr">
        <is>
          <t>ÖSTERGÖTLANDS LÄN</t>
        </is>
      </c>
      <c r="E4936" t="inlineStr">
        <is>
          <t>LINKÖPING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31673-2023</t>
        </is>
      </c>
      <c r="B4937" s="1" t="n">
        <v>45117.66069444444</v>
      </c>
      <c r="C4937" s="1" t="n">
        <v>46093</v>
      </c>
      <c r="D4937" t="inlineStr">
        <is>
          <t>ÖSTERGÖTLANDS LÄN</t>
        </is>
      </c>
      <c r="E4937" t="inlineStr">
        <is>
          <t>BOXHOLM</t>
        </is>
      </c>
      <c r="F4937" t="inlineStr">
        <is>
          <t>Övriga Aktiebolag</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63304-2021</t>
        </is>
      </c>
      <c r="B4938" s="1" t="n">
        <v>44508.4396412037</v>
      </c>
      <c r="C4938" s="1" t="n">
        <v>46093</v>
      </c>
      <c r="D4938" t="inlineStr">
        <is>
          <t>ÖSTERGÖTLANDS LÄN</t>
        </is>
      </c>
      <c r="E4938" t="inlineStr">
        <is>
          <t>LINKÖPING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27418-2022</t>
        </is>
      </c>
      <c r="B4939" s="1" t="n">
        <v>44742.50715277778</v>
      </c>
      <c r="C4939" s="1" t="n">
        <v>46093</v>
      </c>
      <c r="D4939" t="inlineStr">
        <is>
          <t>ÖSTERGÖTLANDS LÄN</t>
        </is>
      </c>
      <c r="E4939" t="inlineStr">
        <is>
          <t>MOTALA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57854-2022</t>
        </is>
      </c>
      <c r="B4940" s="1" t="n">
        <v>44898</v>
      </c>
      <c r="C4940" s="1" t="n">
        <v>46093</v>
      </c>
      <c r="D4940" t="inlineStr">
        <is>
          <t>ÖSTERGÖTLANDS LÄN</t>
        </is>
      </c>
      <c r="E4940" t="inlineStr">
        <is>
          <t>FINSPÅNG</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53992-2022</t>
        </is>
      </c>
      <c r="B4941" s="1" t="n">
        <v>44881.3762037037</v>
      </c>
      <c r="C4941" s="1" t="n">
        <v>46093</v>
      </c>
      <c r="D4941" t="inlineStr">
        <is>
          <t>ÖSTERGÖTLANDS LÄN</t>
        </is>
      </c>
      <c r="E4941" t="inlineStr">
        <is>
          <t>ÅTVIDABERG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19351-2023</t>
        </is>
      </c>
      <c r="B4942" s="1" t="n">
        <v>45049.59413194445</v>
      </c>
      <c r="C4942" s="1" t="n">
        <v>46093</v>
      </c>
      <c r="D4942" t="inlineStr">
        <is>
          <t>ÖSTERGÖTLANDS LÄN</t>
        </is>
      </c>
      <c r="E4942" t="inlineStr">
        <is>
          <t>ÖDESHÖG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40306-2021</t>
        </is>
      </c>
      <c r="B4943" s="1" t="n">
        <v>44419</v>
      </c>
      <c r="C4943" s="1" t="n">
        <v>46093</v>
      </c>
      <c r="D4943" t="inlineStr">
        <is>
          <t>ÖSTERGÖTLANDS LÄN</t>
        </is>
      </c>
      <c r="E4943" t="inlineStr">
        <is>
          <t>FINSPÅNG</t>
        </is>
      </c>
      <c r="F4943" t="inlineStr">
        <is>
          <t>Holmen skog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47115-2024</t>
        </is>
      </c>
      <c r="B4944" s="1" t="n">
        <v>45586.55983796297</v>
      </c>
      <c r="C4944" s="1" t="n">
        <v>46093</v>
      </c>
      <c r="D4944" t="inlineStr">
        <is>
          <t>ÖSTERGÖTLANDS LÄN</t>
        </is>
      </c>
      <c r="E4944" t="inlineStr">
        <is>
          <t>FINSPÅNG</t>
        </is>
      </c>
      <c r="F4944" t="inlineStr">
        <is>
          <t>Holmen skog AB</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29010-2023</t>
        </is>
      </c>
      <c r="B4945" s="1" t="n">
        <v>45096</v>
      </c>
      <c r="C4945" s="1" t="n">
        <v>46093</v>
      </c>
      <c r="D4945" t="inlineStr">
        <is>
          <t>ÖSTERGÖTLANDS LÄN</t>
        </is>
      </c>
      <c r="E4945" t="inlineStr">
        <is>
          <t>NORRKÖPING</t>
        </is>
      </c>
      <c r="F4945" t="inlineStr">
        <is>
          <t>Allmännings- och besparingsskogar</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57979-2022</t>
        </is>
      </c>
      <c r="B4946" s="1" t="n">
        <v>44900</v>
      </c>
      <c r="C4946" s="1" t="n">
        <v>46093</v>
      </c>
      <c r="D4946" t="inlineStr">
        <is>
          <t>ÖSTERGÖTLANDS LÄN</t>
        </is>
      </c>
      <c r="E4946" t="inlineStr">
        <is>
          <t>NORRKÖPING</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189-2022</t>
        </is>
      </c>
      <c r="B4947" s="1" t="n">
        <v>44564</v>
      </c>
      <c r="C4947" s="1" t="n">
        <v>46093</v>
      </c>
      <c r="D4947" t="inlineStr">
        <is>
          <t>ÖSTERGÖTLANDS LÄN</t>
        </is>
      </c>
      <c r="E4947" t="inlineStr">
        <is>
          <t>FINSPÅNG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25548-2023</t>
        </is>
      </c>
      <c r="B4948" s="1" t="n">
        <v>45089</v>
      </c>
      <c r="C4948" s="1" t="n">
        <v>46093</v>
      </c>
      <c r="D4948" t="inlineStr">
        <is>
          <t>ÖSTERGÖTLANDS LÄN</t>
        </is>
      </c>
      <c r="E4948" t="inlineStr">
        <is>
          <t>ÅTVIDABERG</t>
        </is>
      </c>
      <c r="G4948" t="n">
        <v>18.7</v>
      </c>
      <c r="H4948" t="n">
        <v>0</v>
      </c>
      <c r="I4948" t="n">
        <v>0</v>
      </c>
      <c r="J4948" t="n">
        <v>0</v>
      </c>
      <c r="K4948" t="n">
        <v>0</v>
      </c>
      <c r="L4948" t="n">
        <v>0</v>
      </c>
      <c r="M4948" t="n">
        <v>0</v>
      </c>
      <c r="N4948" t="n">
        <v>0</v>
      </c>
      <c r="O4948" t="n">
        <v>0</v>
      </c>
      <c r="P4948" t="n">
        <v>0</v>
      </c>
      <c r="Q4948" t="n">
        <v>0</v>
      </c>
      <c r="R4948" s="2" t="inlineStr"/>
    </row>
    <row r="4949" ht="15" customHeight="1">
      <c r="A4949" t="inlineStr">
        <is>
          <t>A 27181-2024</t>
        </is>
      </c>
      <c r="B4949" s="1" t="n">
        <v>45471.5771875</v>
      </c>
      <c r="C4949" s="1" t="n">
        <v>46093</v>
      </c>
      <c r="D4949" t="inlineStr">
        <is>
          <t>ÖSTERGÖTLANDS LÄN</t>
        </is>
      </c>
      <c r="E4949" t="inlineStr">
        <is>
          <t>ÅTVIDABERG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15198-2022</t>
        </is>
      </c>
      <c r="B4950" s="1" t="n">
        <v>44658.63459490741</v>
      </c>
      <c r="C4950" s="1" t="n">
        <v>46093</v>
      </c>
      <c r="D4950" t="inlineStr">
        <is>
          <t>ÖSTERGÖTLANDS LÄN</t>
        </is>
      </c>
      <c r="E4950" t="inlineStr">
        <is>
          <t>ÖDESHÖG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33703-2024</t>
        </is>
      </c>
      <c r="B4951" s="1" t="n">
        <v>45520.52375</v>
      </c>
      <c r="C4951" s="1" t="n">
        <v>46093</v>
      </c>
      <c r="D4951" t="inlineStr">
        <is>
          <t>ÖSTERGÖTLANDS LÄN</t>
        </is>
      </c>
      <c r="E4951" t="inlineStr">
        <is>
          <t>NORRKÖPING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42106-2023</t>
        </is>
      </c>
      <c r="B4952" s="1" t="n">
        <v>45177</v>
      </c>
      <c r="C4952" s="1" t="n">
        <v>46093</v>
      </c>
      <c r="D4952" t="inlineStr">
        <is>
          <t>ÖSTERGÖTLANDS LÄN</t>
        </is>
      </c>
      <c r="E4952" t="inlineStr">
        <is>
          <t>FINSPÅNG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42782-2024</t>
        </is>
      </c>
      <c r="B4953" s="1" t="n">
        <v>45566.53284722222</v>
      </c>
      <c r="C4953" s="1" t="n">
        <v>46093</v>
      </c>
      <c r="D4953" t="inlineStr">
        <is>
          <t>ÖSTERGÖTLANDS LÄN</t>
        </is>
      </c>
      <c r="E4953" t="inlineStr">
        <is>
          <t>FINSPÅNG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28024-2023</t>
        </is>
      </c>
      <c r="B4954" s="1" t="n">
        <v>45095</v>
      </c>
      <c r="C4954" s="1" t="n">
        <v>46093</v>
      </c>
      <c r="D4954" t="inlineStr">
        <is>
          <t>ÖSTERGÖTLANDS LÄN</t>
        </is>
      </c>
      <c r="E4954" t="inlineStr">
        <is>
          <t>FINSPÅNG</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19362-2023</t>
        </is>
      </c>
      <c r="B4955" s="1" t="n">
        <v>45049</v>
      </c>
      <c r="C4955" s="1" t="n">
        <v>46093</v>
      </c>
      <c r="D4955" t="inlineStr">
        <is>
          <t>ÖSTERGÖTLANDS LÄN</t>
        </is>
      </c>
      <c r="E4955" t="inlineStr">
        <is>
          <t>LINKÖPING</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50593-2021</t>
        </is>
      </c>
      <c r="B4956" s="1" t="n">
        <v>44459</v>
      </c>
      <c r="C4956" s="1" t="n">
        <v>46093</v>
      </c>
      <c r="D4956" t="inlineStr">
        <is>
          <t>ÖSTERGÖTLANDS LÄN</t>
        </is>
      </c>
      <c r="E4956" t="inlineStr">
        <is>
          <t>ÅTVIDABERG</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58802-2025</t>
        </is>
      </c>
      <c r="B4957" s="1" t="n">
        <v>45986.8768287037</v>
      </c>
      <c r="C4957" s="1" t="n">
        <v>46093</v>
      </c>
      <c r="D4957" t="inlineStr">
        <is>
          <t>ÖSTERGÖTLANDS LÄN</t>
        </is>
      </c>
      <c r="E4957" t="inlineStr">
        <is>
          <t>LINKÖPING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62491-2023</t>
        </is>
      </c>
      <c r="B4958" s="1" t="n">
        <v>45267</v>
      </c>
      <c r="C4958" s="1" t="n">
        <v>46093</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59100-2025</t>
        </is>
      </c>
      <c r="B4959" s="1" t="n">
        <v>45988.45670138889</v>
      </c>
      <c r="C4959" s="1" t="n">
        <v>46093</v>
      </c>
      <c r="D4959" t="inlineStr">
        <is>
          <t>ÖSTERGÖTLANDS LÄN</t>
        </is>
      </c>
      <c r="E4959" t="inlineStr">
        <is>
          <t>KINDA</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59101-2025</t>
        </is>
      </c>
      <c r="B4960" s="1" t="n">
        <v>45988.45870370371</v>
      </c>
      <c r="C4960" s="1" t="n">
        <v>46093</v>
      </c>
      <c r="D4960" t="inlineStr">
        <is>
          <t>ÖSTERGÖTLANDS LÄN</t>
        </is>
      </c>
      <c r="E4960" t="inlineStr">
        <is>
          <t>KINDA</t>
        </is>
      </c>
      <c r="F4960" t="inlineStr">
        <is>
          <t>Sveaskog</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35947-2023</t>
        </is>
      </c>
      <c r="B4961" s="1" t="n">
        <v>45148.70342592592</v>
      </c>
      <c r="C4961" s="1" t="n">
        <v>46093</v>
      </c>
      <c r="D4961" t="inlineStr">
        <is>
          <t>ÖSTERGÖTLANDS LÄN</t>
        </is>
      </c>
      <c r="E4961" t="inlineStr">
        <is>
          <t>KINDA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35218-2023</t>
        </is>
      </c>
      <c r="B4962" s="1" t="n">
        <v>45145.64796296296</v>
      </c>
      <c r="C4962" s="1" t="n">
        <v>46093</v>
      </c>
      <c r="D4962" t="inlineStr">
        <is>
          <t>ÖSTERGÖTLANDS LÄN</t>
        </is>
      </c>
      <c r="E4962" t="inlineStr">
        <is>
          <t>KINDA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36711-2023</t>
        </is>
      </c>
      <c r="B4963" s="1" t="n">
        <v>45153.65736111111</v>
      </c>
      <c r="C4963" s="1" t="n">
        <v>46093</v>
      </c>
      <c r="D4963" t="inlineStr">
        <is>
          <t>ÖSTERGÖTLANDS LÄN</t>
        </is>
      </c>
      <c r="E4963" t="inlineStr">
        <is>
          <t>YDRE</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35463-2023</t>
        </is>
      </c>
      <c r="B4964" s="1" t="n">
        <v>45146</v>
      </c>
      <c r="C4964" s="1" t="n">
        <v>46093</v>
      </c>
      <c r="D4964" t="inlineStr">
        <is>
          <t>ÖSTERGÖTLANDS LÄN</t>
        </is>
      </c>
      <c r="E4964" t="inlineStr">
        <is>
          <t>LINKÖPING</t>
        </is>
      </c>
      <c r="F4964" t="inlineStr">
        <is>
          <t>Övriga Aktiebolag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54125-2022</t>
        </is>
      </c>
      <c r="B4965" s="1" t="n">
        <v>44881.58206018519</v>
      </c>
      <c r="C4965" s="1" t="n">
        <v>46093</v>
      </c>
      <c r="D4965" t="inlineStr">
        <is>
          <t>ÖSTERGÖTLANDS LÄN</t>
        </is>
      </c>
      <c r="E4965" t="inlineStr">
        <is>
          <t>MOTALA</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59105-2025</t>
        </is>
      </c>
      <c r="B4966" s="1" t="n">
        <v>45988</v>
      </c>
      <c r="C4966" s="1" t="n">
        <v>46093</v>
      </c>
      <c r="D4966" t="inlineStr">
        <is>
          <t>ÖSTERGÖTLANDS LÄN</t>
        </is>
      </c>
      <c r="E4966" t="inlineStr">
        <is>
          <t>MJÖLBY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27164-2023</t>
        </is>
      </c>
      <c r="B4967" s="1" t="n">
        <v>45096</v>
      </c>
      <c r="C4967" s="1" t="n">
        <v>46093</v>
      </c>
      <c r="D4967" t="inlineStr">
        <is>
          <t>ÖSTERGÖTLANDS LÄN</t>
        </is>
      </c>
      <c r="E4967" t="inlineStr">
        <is>
          <t>YDRE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16111-2022</t>
        </is>
      </c>
      <c r="B4968" s="1" t="n">
        <v>44665</v>
      </c>
      <c r="C4968" s="1" t="n">
        <v>46093</v>
      </c>
      <c r="D4968" t="inlineStr">
        <is>
          <t>ÖSTERGÖTLANDS LÄN</t>
        </is>
      </c>
      <c r="E4968" t="inlineStr">
        <is>
          <t>LINKÖPING</t>
        </is>
      </c>
      <c r="F4968" t="inlineStr">
        <is>
          <t>Övriga Aktiebolag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6372-2023</t>
        </is>
      </c>
      <c r="B4969" s="1" t="n">
        <v>44965</v>
      </c>
      <c r="C4969" s="1" t="n">
        <v>46093</v>
      </c>
      <c r="D4969" t="inlineStr">
        <is>
          <t>ÖSTERGÖTLANDS LÄN</t>
        </is>
      </c>
      <c r="E4969" t="inlineStr">
        <is>
          <t>ÅTVIDABERG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8724-2022</t>
        </is>
      </c>
      <c r="B4970" s="1" t="n">
        <v>44613</v>
      </c>
      <c r="C4970" s="1" t="n">
        <v>46093</v>
      </c>
      <c r="D4970" t="inlineStr">
        <is>
          <t>ÖSTERGÖTLANDS LÄN</t>
        </is>
      </c>
      <c r="E4970" t="inlineStr">
        <is>
          <t>MOTALA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19324-2025</t>
        </is>
      </c>
      <c r="B4971" s="1" t="n">
        <v>45769</v>
      </c>
      <c r="C4971" s="1" t="n">
        <v>46093</v>
      </c>
      <c r="D4971" t="inlineStr">
        <is>
          <t>ÖSTERGÖTLANDS LÄN</t>
        </is>
      </c>
      <c r="E4971" t="inlineStr">
        <is>
          <t>NORRKÖPING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16586-2023</t>
        </is>
      </c>
      <c r="B4972" s="1" t="n">
        <v>45030</v>
      </c>
      <c r="C4972" s="1" t="n">
        <v>46093</v>
      </c>
      <c r="D4972" t="inlineStr">
        <is>
          <t>ÖSTERGÖTLANDS LÄN</t>
        </is>
      </c>
      <c r="E4972" t="inlineStr">
        <is>
          <t>MOTALA</t>
        </is>
      </c>
      <c r="F4972" t="inlineStr">
        <is>
          <t>Kyrkan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24462-2023</t>
        </is>
      </c>
      <c r="B4973" s="1" t="n">
        <v>45082</v>
      </c>
      <c r="C4973" s="1" t="n">
        <v>46093</v>
      </c>
      <c r="D4973" t="inlineStr">
        <is>
          <t>ÖSTERGÖTLANDS LÄN</t>
        </is>
      </c>
      <c r="E4973" t="inlineStr">
        <is>
          <t>LINKÖPING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38299-2023</t>
        </is>
      </c>
      <c r="B4974" s="1" t="n">
        <v>45161.64956018519</v>
      </c>
      <c r="C4974" s="1" t="n">
        <v>46093</v>
      </c>
      <c r="D4974" t="inlineStr">
        <is>
          <t>ÖSTERGÖTLANDS LÄN</t>
        </is>
      </c>
      <c r="E4974" t="inlineStr">
        <is>
          <t>MJÖLBY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24500-2023</t>
        </is>
      </c>
      <c r="B4975" s="1" t="n">
        <v>45082</v>
      </c>
      <c r="C4975" s="1" t="n">
        <v>46093</v>
      </c>
      <c r="D4975" t="inlineStr">
        <is>
          <t>ÖSTERGÖTLANDS LÄN</t>
        </is>
      </c>
      <c r="E4975" t="inlineStr">
        <is>
          <t>FINSPÅNG</t>
        </is>
      </c>
      <c r="F4975" t="inlineStr">
        <is>
          <t>Holmen skog AB</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59472-2025</t>
        </is>
      </c>
      <c r="B4976" s="1" t="n">
        <v>45989.58321759259</v>
      </c>
      <c r="C4976" s="1" t="n">
        <v>46093</v>
      </c>
      <c r="D4976" t="inlineStr">
        <is>
          <t>ÖSTERGÖTLANDS LÄN</t>
        </is>
      </c>
      <c r="E4976" t="inlineStr">
        <is>
          <t>LINKÖPING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27648-2023</t>
        </is>
      </c>
      <c r="B4977" s="1" t="n">
        <v>45097.68376157407</v>
      </c>
      <c r="C4977" s="1" t="n">
        <v>46093</v>
      </c>
      <c r="D4977" t="inlineStr">
        <is>
          <t>ÖSTERGÖTLANDS LÄN</t>
        </is>
      </c>
      <c r="E4977" t="inlineStr">
        <is>
          <t>KINDA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21397-2023</t>
        </is>
      </c>
      <c r="B4978" s="1" t="n">
        <v>45063.36952546296</v>
      </c>
      <c r="C4978" s="1" t="n">
        <v>46093</v>
      </c>
      <c r="D4978" t="inlineStr">
        <is>
          <t>ÖSTERGÖTLANDS LÄN</t>
        </is>
      </c>
      <c r="E4978" t="inlineStr">
        <is>
          <t>VALDEMARSVIK</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24506-2023</t>
        </is>
      </c>
      <c r="B4979" s="1" t="n">
        <v>45082.65296296297</v>
      </c>
      <c r="C4979" s="1" t="n">
        <v>46093</v>
      </c>
      <c r="D4979" t="inlineStr">
        <is>
          <t>ÖSTERGÖTLANDS LÄN</t>
        </is>
      </c>
      <c r="E4979" t="inlineStr">
        <is>
          <t>FINSPÅNG</t>
        </is>
      </c>
      <c r="F4979" t="inlineStr">
        <is>
          <t>Holmen skog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24510-2023</t>
        </is>
      </c>
      <c r="B4980" s="1" t="n">
        <v>45082.66013888889</v>
      </c>
      <c r="C4980" s="1" t="n">
        <v>46093</v>
      </c>
      <c r="D4980" t="inlineStr">
        <is>
          <t>ÖSTERGÖTLANDS LÄN</t>
        </is>
      </c>
      <c r="E4980" t="inlineStr">
        <is>
          <t>FINSPÅNG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38720-2023</t>
        </is>
      </c>
      <c r="B4981" s="1" t="n">
        <v>45163</v>
      </c>
      <c r="C4981" s="1" t="n">
        <v>46093</v>
      </c>
      <c r="D4981" t="inlineStr">
        <is>
          <t>ÖSTERGÖTLANDS LÄN</t>
        </is>
      </c>
      <c r="E4981" t="inlineStr">
        <is>
          <t>ÖDESHÖG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15349-2024</t>
        </is>
      </c>
      <c r="B4982" s="1" t="n">
        <v>45400.7590162037</v>
      </c>
      <c r="C4982" s="1" t="n">
        <v>46093</v>
      </c>
      <c r="D4982" t="inlineStr">
        <is>
          <t>ÖSTERGÖTLANDS LÄN</t>
        </is>
      </c>
      <c r="E4982" t="inlineStr">
        <is>
          <t>KINDA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59833-2025</t>
        </is>
      </c>
      <c r="B4983" s="1" t="n">
        <v>45992.66304398148</v>
      </c>
      <c r="C4983" s="1" t="n">
        <v>46093</v>
      </c>
      <c r="D4983" t="inlineStr">
        <is>
          <t>ÖSTERGÖTLANDS LÄN</t>
        </is>
      </c>
      <c r="E4983" t="inlineStr">
        <is>
          <t>BOXHOLM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60513-2023</t>
        </is>
      </c>
      <c r="B4984" s="1" t="n">
        <v>45259.64954861111</v>
      </c>
      <c r="C4984" s="1" t="n">
        <v>46093</v>
      </c>
      <c r="D4984" t="inlineStr">
        <is>
          <t>ÖSTERGÖTLANDS LÄN</t>
        </is>
      </c>
      <c r="E4984" t="inlineStr">
        <is>
          <t>ÅTVIDABERG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62859-2023</t>
        </is>
      </c>
      <c r="B4985" s="1" t="n">
        <v>45272.34440972222</v>
      </c>
      <c r="C4985" s="1" t="n">
        <v>46093</v>
      </c>
      <c r="D4985" t="inlineStr">
        <is>
          <t>ÖSTERGÖTLANDS LÄN</t>
        </is>
      </c>
      <c r="E4985" t="inlineStr">
        <is>
          <t>YDRE</t>
        </is>
      </c>
      <c r="F4985" t="inlineStr">
        <is>
          <t>Övriga Aktiebolag</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60514-2023</t>
        </is>
      </c>
      <c r="B4986" s="1" t="n">
        <v>45259</v>
      </c>
      <c r="C4986" s="1" t="n">
        <v>46093</v>
      </c>
      <c r="D4986" t="inlineStr">
        <is>
          <t>ÖSTERGÖTLANDS LÄN</t>
        </is>
      </c>
      <c r="E4986" t="inlineStr">
        <is>
          <t>ÅTVIDABERG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57457-2021</t>
        </is>
      </c>
      <c r="B4987" s="1" t="n">
        <v>44483.65719907408</v>
      </c>
      <c r="C4987" s="1" t="n">
        <v>46093</v>
      </c>
      <c r="D4987" t="inlineStr">
        <is>
          <t>ÖSTERGÖTLANDS LÄN</t>
        </is>
      </c>
      <c r="E4987" t="inlineStr">
        <is>
          <t>KINDA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10195-2025</t>
        </is>
      </c>
      <c r="B4988" s="1" t="n">
        <v>45719.70283564815</v>
      </c>
      <c r="C4988" s="1" t="n">
        <v>46093</v>
      </c>
      <c r="D4988" t="inlineStr">
        <is>
          <t>ÖSTERGÖTLANDS LÄN</t>
        </is>
      </c>
      <c r="E4988" t="inlineStr">
        <is>
          <t>SÖDERKÖPING</t>
        </is>
      </c>
      <c r="G4988" t="n">
        <v>13.2</v>
      </c>
      <c r="H4988" t="n">
        <v>0</v>
      </c>
      <c r="I4988" t="n">
        <v>0</v>
      </c>
      <c r="J4988" t="n">
        <v>0</v>
      </c>
      <c r="K4988" t="n">
        <v>0</v>
      </c>
      <c r="L4988" t="n">
        <v>0</v>
      </c>
      <c r="M4988" t="n">
        <v>0</v>
      </c>
      <c r="N4988" t="n">
        <v>0</v>
      </c>
      <c r="O4988" t="n">
        <v>0</v>
      </c>
      <c r="P4988" t="n">
        <v>0</v>
      </c>
      <c r="Q4988" t="n">
        <v>0</v>
      </c>
      <c r="R4988" s="2" t="inlineStr"/>
    </row>
    <row r="4989" ht="15" customHeight="1">
      <c r="A4989" t="inlineStr">
        <is>
          <t>A 6456-2025</t>
        </is>
      </c>
      <c r="B4989" s="1" t="n">
        <v>45699.55743055556</v>
      </c>
      <c r="C4989" s="1" t="n">
        <v>46093</v>
      </c>
      <c r="D4989" t="inlineStr">
        <is>
          <t>ÖSTERGÖTLANDS LÄN</t>
        </is>
      </c>
      <c r="E4989" t="inlineStr">
        <is>
          <t>ÖDESHÖG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4946-2022</t>
        </is>
      </c>
      <c r="B4990" s="1" t="n">
        <v>44593</v>
      </c>
      <c r="C4990" s="1" t="n">
        <v>46093</v>
      </c>
      <c r="D4990" t="inlineStr">
        <is>
          <t>ÖSTERGÖTLANDS LÄN</t>
        </is>
      </c>
      <c r="E4990" t="inlineStr">
        <is>
          <t>VALDEMARSVIK</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57733-2022</t>
        </is>
      </c>
      <c r="B4991" s="1" t="n">
        <v>44897</v>
      </c>
      <c r="C4991" s="1" t="n">
        <v>46093</v>
      </c>
      <c r="D4991" t="inlineStr">
        <is>
          <t>ÖSTERGÖTLANDS LÄN</t>
        </is>
      </c>
      <c r="E4991" t="inlineStr">
        <is>
          <t>NORRKÖPING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24247-2022</t>
        </is>
      </c>
      <c r="B4992" s="1" t="n">
        <v>44725.66600694445</v>
      </c>
      <c r="C4992" s="1" t="n">
        <v>46093</v>
      </c>
      <c r="D4992" t="inlineStr">
        <is>
          <t>ÖSTERGÖTLANDS LÄN</t>
        </is>
      </c>
      <c r="E4992" t="inlineStr">
        <is>
          <t>MOTALA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24015-2024</t>
        </is>
      </c>
      <c r="B4993" s="1" t="n">
        <v>45456.42511574074</v>
      </c>
      <c r="C4993" s="1" t="n">
        <v>46093</v>
      </c>
      <c r="D4993" t="inlineStr">
        <is>
          <t>ÖSTERGÖTLANDS LÄN</t>
        </is>
      </c>
      <c r="E4993" t="inlineStr">
        <is>
          <t>FINSPÅNG</t>
        </is>
      </c>
      <c r="F4993" t="inlineStr">
        <is>
          <t>Holmen skog AB</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46704-2024</t>
        </is>
      </c>
      <c r="B4994" s="1" t="n">
        <v>45583.44207175926</v>
      </c>
      <c r="C4994" s="1" t="n">
        <v>46093</v>
      </c>
      <c r="D4994" t="inlineStr">
        <is>
          <t>ÖSTERGÖTLANDS LÄN</t>
        </is>
      </c>
      <c r="E4994" t="inlineStr">
        <is>
          <t>KINDA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14560-2023</t>
        </is>
      </c>
      <c r="B4995" s="1" t="n">
        <v>45013.44790509259</v>
      </c>
      <c r="C4995" s="1" t="n">
        <v>46093</v>
      </c>
      <c r="D4995" t="inlineStr">
        <is>
          <t>ÖSTERGÖTLANDS LÄN</t>
        </is>
      </c>
      <c r="E4995" t="inlineStr">
        <is>
          <t>FINSPÅNG</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31635-2023</t>
        </is>
      </c>
      <c r="B4996" s="1" t="n">
        <v>45105</v>
      </c>
      <c r="C4996" s="1" t="n">
        <v>46093</v>
      </c>
      <c r="D4996" t="inlineStr">
        <is>
          <t>ÖSTERGÖTLANDS LÄN</t>
        </is>
      </c>
      <c r="E4996" t="inlineStr">
        <is>
          <t>LINKÖPING</t>
        </is>
      </c>
      <c r="F4996" t="inlineStr">
        <is>
          <t>Övriga statliga verk och myndigheter</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59576-2025</t>
        </is>
      </c>
      <c r="B4997" s="1" t="n">
        <v>45992.30050925926</v>
      </c>
      <c r="C4997" s="1" t="n">
        <v>46093</v>
      </c>
      <c r="D4997" t="inlineStr">
        <is>
          <t>ÖSTERGÖTLANDS LÄN</t>
        </is>
      </c>
      <c r="E4997" t="inlineStr">
        <is>
          <t>MOTALA</t>
        </is>
      </c>
      <c r="F4997" t="inlineStr">
        <is>
          <t>Sveaskog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4271-2023</t>
        </is>
      </c>
      <c r="B4998" s="1" t="n">
        <v>44953</v>
      </c>
      <c r="C4998" s="1" t="n">
        <v>46093</v>
      </c>
      <c r="D4998" t="inlineStr">
        <is>
          <t>ÖSTERGÖTLANDS LÄN</t>
        </is>
      </c>
      <c r="E4998" t="inlineStr">
        <is>
          <t>YDRE</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72-2023</t>
        </is>
      </c>
      <c r="B4999" s="1" t="n">
        <v>44928.45552083333</v>
      </c>
      <c r="C4999" s="1" t="n">
        <v>46093</v>
      </c>
      <c r="D4999" t="inlineStr">
        <is>
          <t>ÖSTERGÖTLANDS LÄN</t>
        </is>
      </c>
      <c r="E4999" t="inlineStr">
        <is>
          <t>NORRKÖPING</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58022-2024</t>
        </is>
      </c>
      <c r="B5000" s="1" t="n">
        <v>45631.68104166666</v>
      </c>
      <c r="C5000" s="1" t="n">
        <v>46093</v>
      </c>
      <c r="D5000" t="inlineStr">
        <is>
          <t>ÖSTERGÖTLANDS LÄN</t>
        </is>
      </c>
      <c r="E5000" t="inlineStr">
        <is>
          <t>FINSPÅNG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21855-2022</t>
        </is>
      </c>
      <c r="B5001" s="1" t="n">
        <v>44709</v>
      </c>
      <c r="C5001" s="1" t="n">
        <v>46093</v>
      </c>
      <c r="D5001" t="inlineStr">
        <is>
          <t>ÖSTERGÖTLANDS LÄN</t>
        </is>
      </c>
      <c r="E5001" t="inlineStr">
        <is>
          <t>ÖDESHÖG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49928-2024</t>
        </is>
      </c>
      <c r="B5002" s="1" t="n">
        <v>45597.57811342592</v>
      </c>
      <c r="C5002" s="1" t="n">
        <v>46093</v>
      </c>
      <c r="D5002" t="inlineStr">
        <is>
          <t>ÖSTERGÖTLANDS LÄN</t>
        </is>
      </c>
      <c r="E5002" t="inlineStr">
        <is>
          <t>LINKÖPING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56275-2022</t>
        </is>
      </c>
      <c r="B5003" s="1" t="n">
        <v>44890.57740740741</v>
      </c>
      <c r="C5003" s="1" t="n">
        <v>46093</v>
      </c>
      <c r="D5003" t="inlineStr">
        <is>
          <t>ÖSTERGÖTLANDS LÄN</t>
        </is>
      </c>
      <c r="E5003" t="inlineStr">
        <is>
          <t>MOTALA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36542-2023</t>
        </is>
      </c>
      <c r="B5004" s="1" t="n">
        <v>45153.36402777778</v>
      </c>
      <c r="C5004" s="1" t="n">
        <v>46093</v>
      </c>
      <c r="D5004" t="inlineStr">
        <is>
          <t>ÖSTERGÖTLANDS LÄN</t>
        </is>
      </c>
      <c r="E5004" t="inlineStr">
        <is>
          <t>NORRKÖPING</t>
        </is>
      </c>
      <c r="F5004" t="inlineStr">
        <is>
          <t>Holmen skog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31668-2023</t>
        </is>
      </c>
      <c r="B5005" s="1" t="n">
        <v>45117</v>
      </c>
      <c r="C5005" s="1" t="n">
        <v>46093</v>
      </c>
      <c r="D5005" t="inlineStr">
        <is>
          <t>ÖSTERGÖTLANDS LÄN</t>
        </is>
      </c>
      <c r="E5005" t="inlineStr">
        <is>
          <t>NORRKÖPING</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48829-2023</t>
        </is>
      </c>
      <c r="B5006" s="1" t="n">
        <v>45209.38177083333</v>
      </c>
      <c r="C5006" s="1" t="n">
        <v>46093</v>
      </c>
      <c r="D5006" t="inlineStr">
        <is>
          <t>ÖSTERGÖTLANDS LÄN</t>
        </is>
      </c>
      <c r="E5006" t="inlineStr">
        <is>
          <t>LINKÖPING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27598-2023</t>
        </is>
      </c>
      <c r="B5007" s="1" t="n">
        <v>45097</v>
      </c>
      <c r="C5007" s="1" t="n">
        <v>46093</v>
      </c>
      <c r="D5007" t="inlineStr">
        <is>
          <t>ÖSTERGÖTLANDS LÄN</t>
        </is>
      </c>
      <c r="E5007" t="inlineStr">
        <is>
          <t>SÖDERKÖPING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17582-2025</t>
        </is>
      </c>
      <c r="B5008" s="1" t="n">
        <v>45757.66474537037</v>
      </c>
      <c r="C5008" s="1" t="n">
        <v>46093</v>
      </c>
      <c r="D5008" t="inlineStr">
        <is>
          <t>ÖSTERGÖTLANDS LÄN</t>
        </is>
      </c>
      <c r="E5008" t="inlineStr">
        <is>
          <t>NORRKÖPING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72597-2021</t>
        </is>
      </c>
      <c r="B5009" s="1" t="n">
        <v>44546</v>
      </c>
      <c r="C5009" s="1" t="n">
        <v>46093</v>
      </c>
      <c r="D5009" t="inlineStr">
        <is>
          <t>ÖSTERGÖTLANDS LÄN</t>
        </is>
      </c>
      <c r="E5009" t="inlineStr">
        <is>
          <t>ÅTVIDABERG</t>
        </is>
      </c>
      <c r="F5009" t="inlineStr">
        <is>
          <t>Holmen skog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13845-2025</t>
        </is>
      </c>
      <c r="B5010" s="1" t="n">
        <v>45737.5596875</v>
      </c>
      <c r="C5010" s="1" t="n">
        <v>46093</v>
      </c>
      <c r="D5010" t="inlineStr">
        <is>
          <t>ÖSTERGÖTLANDS LÄN</t>
        </is>
      </c>
      <c r="E5010" t="inlineStr">
        <is>
          <t>KINDA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13866-2025</t>
        </is>
      </c>
      <c r="B5011" s="1" t="n">
        <v>45737</v>
      </c>
      <c r="C5011" s="1" t="n">
        <v>46093</v>
      </c>
      <c r="D5011" t="inlineStr">
        <is>
          <t>ÖSTERGÖTLANDS LÄN</t>
        </is>
      </c>
      <c r="E5011" t="inlineStr">
        <is>
          <t>YDRE</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72603-2021</t>
        </is>
      </c>
      <c r="B5012" s="1" t="n">
        <v>44546.49693287037</v>
      </c>
      <c r="C5012" s="1" t="n">
        <v>46093</v>
      </c>
      <c r="D5012" t="inlineStr">
        <is>
          <t>ÖSTERGÖTLANDS LÄN</t>
        </is>
      </c>
      <c r="E5012" t="inlineStr">
        <is>
          <t>ÖDESHÖG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50189-2022</t>
        </is>
      </c>
      <c r="B5013" s="1" t="n">
        <v>44865</v>
      </c>
      <c r="C5013" s="1" t="n">
        <v>46093</v>
      </c>
      <c r="D5013" t="inlineStr">
        <is>
          <t>ÖSTERGÖTLANDS LÄN</t>
        </is>
      </c>
      <c r="E5013" t="inlineStr">
        <is>
          <t>FINSPÅNG</t>
        </is>
      </c>
      <c r="F5013" t="inlineStr">
        <is>
          <t>Holmen skog AB</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59839-2025</t>
        </is>
      </c>
      <c r="B5014" s="1" t="n">
        <v>45992.67703703704</v>
      </c>
      <c r="C5014" s="1" t="n">
        <v>46093</v>
      </c>
      <c r="D5014" t="inlineStr">
        <is>
          <t>ÖSTERGÖTLANDS LÄN</t>
        </is>
      </c>
      <c r="E5014" t="inlineStr">
        <is>
          <t>VALDEMARSVIK</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25121-2023</t>
        </is>
      </c>
      <c r="B5015" s="1" t="n">
        <v>45086.43366898148</v>
      </c>
      <c r="C5015" s="1" t="n">
        <v>46093</v>
      </c>
      <c r="D5015" t="inlineStr">
        <is>
          <t>ÖSTERGÖTLANDS LÄN</t>
        </is>
      </c>
      <c r="E5015" t="inlineStr">
        <is>
          <t>FINSPÅNG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567-2022</t>
        </is>
      </c>
      <c r="B5016" s="1" t="n">
        <v>44566.78021990741</v>
      </c>
      <c r="C5016" s="1" t="n">
        <v>46093</v>
      </c>
      <c r="D5016" t="inlineStr">
        <is>
          <t>ÖSTERGÖTLANDS LÄN</t>
        </is>
      </c>
      <c r="E5016" t="inlineStr">
        <is>
          <t>MOTALA</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29077-2022</t>
        </is>
      </c>
      <c r="B5017" s="1" t="n">
        <v>44750.37049768519</v>
      </c>
      <c r="C5017" s="1" t="n">
        <v>46093</v>
      </c>
      <c r="D5017" t="inlineStr">
        <is>
          <t>ÖSTERGÖTLANDS LÄN</t>
        </is>
      </c>
      <c r="E5017" t="inlineStr">
        <is>
          <t>MOTALA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481-2025</t>
        </is>
      </c>
      <c r="B5018" s="1" t="n">
        <v>45664.4512962963</v>
      </c>
      <c r="C5018" s="1" t="n">
        <v>46093</v>
      </c>
      <c r="D5018" t="inlineStr">
        <is>
          <t>ÖSTERGÖTLANDS LÄN</t>
        </is>
      </c>
      <c r="E5018" t="inlineStr">
        <is>
          <t>FINSPÅNG</t>
        </is>
      </c>
      <c r="F5018" t="inlineStr">
        <is>
          <t>Holmen skog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9262-2023</t>
        </is>
      </c>
      <c r="B5019" s="1" t="n">
        <v>44980</v>
      </c>
      <c r="C5019" s="1" t="n">
        <v>46093</v>
      </c>
      <c r="D5019" t="inlineStr">
        <is>
          <t>ÖSTERGÖTLANDS LÄN</t>
        </is>
      </c>
      <c r="E5019" t="inlineStr">
        <is>
          <t>NORRKÖPING</t>
        </is>
      </c>
      <c r="F5019" t="inlineStr">
        <is>
          <t>Holmen skog AB</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3405-2025</t>
        </is>
      </c>
      <c r="B5020" s="1" t="n">
        <v>45680.37934027778</v>
      </c>
      <c r="C5020" s="1" t="n">
        <v>46093</v>
      </c>
      <c r="D5020" t="inlineStr">
        <is>
          <t>ÖSTERGÖTLANDS LÄN</t>
        </is>
      </c>
      <c r="E5020" t="inlineStr">
        <is>
          <t>FINSPÅNG</t>
        </is>
      </c>
      <c r="F5020" t="inlineStr">
        <is>
          <t>Sveaskog</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59533-2025</t>
        </is>
      </c>
      <c r="B5021" s="1" t="n">
        <v>45989.73280092593</v>
      </c>
      <c r="C5021" s="1" t="n">
        <v>46093</v>
      </c>
      <c r="D5021" t="inlineStr">
        <is>
          <t>ÖSTERGÖTLANDS LÄN</t>
        </is>
      </c>
      <c r="E5021" t="inlineStr">
        <is>
          <t>NORRKÖPING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62376-2022</t>
        </is>
      </c>
      <c r="B5022" s="1" t="n">
        <v>44923.67971064815</v>
      </c>
      <c r="C5022" s="1" t="n">
        <v>46093</v>
      </c>
      <c r="D5022" t="inlineStr">
        <is>
          <t>ÖSTERGÖTLANDS LÄN</t>
        </is>
      </c>
      <c r="E5022" t="inlineStr">
        <is>
          <t>NORRKÖPING</t>
        </is>
      </c>
      <c r="F5022" t="inlineStr">
        <is>
          <t>Holmen skog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17148-2023</t>
        </is>
      </c>
      <c r="B5023" s="1" t="n">
        <v>45034</v>
      </c>
      <c r="C5023" s="1" t="n">
        <v>46093</v>
      </c>
      <c r="D5023" t="inlineStr">
        <is>
          <t>ÖSTERGÖTLANDS LÄN</t>
        </is>
      </c>
      <c r="E5023" t="inlineStr">
        <is>
          <t>MOTALA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53158-2023</t>
        </is>
      </c>
      <c r="B5024" s="1" t="n">
        <v>45229</v>
      </c>
      <c r="C5024" s="1" t="n">
        <v>46093</v>
      </c>
      <c r="D5024" t="inlineStr">
        <is>
          <t>ÖSTERGÖTLANDS LÄN</t>
        </is>
      </c>
      <c r="E5024" t="inlineStr">
        <is>
          <t>ÅTVIDABERG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13792-2025</t>
        </is>
      </c>
      <c r="B5025" s="1" t="n">
        <v>45737.46815972222</v>
      </c>
      <c r="C5025" s="1" t="n">
        <v>46093</v>
      </c>
      <c r="D5025" t="inlineStr">
        <is>
          <t>ÖSTERGÖTLANDS LÄN</t>
        </is>
      </c>
      <c r="E5025" t="inlineStr">
        <is>
          <t>SÖDERKÖPING</t>
        </is>
      </c>
      <c r="F5025" t="inlineStr">
        <is>
          <t>Holmen skog AB</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12563-2025</t>
        </is>
      </c>
      <c r="B5026" s="1" t="n">
        <v>45731.59962962963</v>
      </c>
      <c r="C5026" s="1" t="n">
        <v>46093</v>
      </c>
      <c r="D5026" t="inlineStr">
        <is>
          <t>ÖSTERGÖTLANDS LÄN</t>
        </is>
      </c>
      <c r="E5026" t="inlineStr">
        <is>
          <t>NORRKÖPING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26832-2023</t>
        </is>
      </c>
      <c r="B5027" s="1" t="n">
        <v>45093</v>
      </c>
      <c r="C5027" s="1" t="n">
        <v>46093</v>
      </c>
      <c r="D5027" t="inlineStr">
        <is>
          <t>ÖSTERGÖTLANDS LÄN</t>
        </is>
      </c>
      <c r="E5027" t="inlineStr">
        <is>
          <t>NORRKÖPING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9130-2023</t>
        </is>
      </c>
      <c r="B5028" s="1" t="n">
        <v>44980.33758101852</v>
      </c>
      <c r="C5028" s="1" t="n">
        <v>46093</v>
      </c>
      <c r="D5028" t="inlineStr">
        <is>
          <t>ÖSTERGÖTLANDS LÄN</t>
        </is>
      </c>
      <c r="E5028" t="inlineStr">
        <is>
          <t>FINSPÅNG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9159-2023</t>
        </is>
      </c>
      <c r="B5029" s="1" t="n">
        <v>44980.39921296296</v>
      </c>
      <c r="C5029" s="1" t="n">
        <v>46093</v>
      </c>
      <c r="D5029" t="inlineStr">
        <is>
          <t>ÖSTERGÖTLANDS LÄN</t>
        </is>
      </c>
      <c r="E5029" t="inlineStr">
        <is>
          <t>YDRE</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8987-2023</t>
        </is>
      </c>
      <c r="B5030" s="1" t="n">
        <v>44974</v>
      </c>
      <c r="C5030" s="1" t="n">
        <v>46093</v>
      </c>
      <c r="D5030" t="inlineStr">
        <is>
          <t>ÖSTERGÖTLANDS LÄN</t>
        </is>
      </c>
      <c r="E5030" t="inlineStr">
        <is>
          <t>NORRKÖPING</t>
        </is>
      </c>
      <c r="F5030" t="inlineStr">
        <is>
          <t>Allmännings- och besparingsskogar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15516-2025</t>
        </is>
      </c>
      <c r="B5031" s="1" t="n">
        <v>45747.61622685185</v>
      </c>
      <c r="C5031" s="1" t="n">
        <v>46093</v>
      </c>
      <c r="D5031" t="inlineStr">
        <is>
          <t>ÖSTERGÖTLANDS LÄN</t>
        </is>
      </c>
      <c r="E5031" t="inlineStr">
        <is>
          <t>BOXHOLM</t>
        </is>
      </c>
      <c r="F5031" t="inlineStr">
        <is>
          <t>Övriga Aktiebolag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17480-2025</t>
        </is>
      </c>
      <c r="B5032" s="1" t="n">
        <v>45757.48918981481</v>
      </c>
      <c r="C5032" s="1" t="n">
        <v>46093</v>
      </c>
      <c r="D5032" t="inlineStr">
        <is>
          <t>ÖSTERGÖTLANDS LÄN</t>
        </is>
      </c>
      <c r="E5032" t="inlineStr">
        <is>
          <t>KINDA</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4314-2024</t>
        </is>
      </c>
      <c r="B5033" s="1" t="n">
        <v>45324</v>
      </c>
      <c r="C5033" s="1" t="n">
        <v>46093</v>
      </c>
      <c r="D5033" t="inlineStr">
        <is>
          <t>ÖSTERGÖTLANDS LÄN</t>
        </is>
      </c>
      <c r="E5033" t="inlineStr">
        <is>
          <t>MJÖLBY</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59727-2025</t>
        </is>
      </c>
      <c r="B5034" s="1" t="n">
        <v>45992.55408564815</v>
      </c>
      <c r="C5034" s="1" t="n">
        <v>46093</v>
      </c>
      <c r="D5034" t="inlineStr">
        <is>
          <t>ÖSTERGÖTLANDS LÄN</t>
        </is>
      </c>
      <c r="E5034" t="inlineStr">
        <is>
          <t>NORRKÖPING</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4351-2022</t>
        </is>
      </c>
      <c r="B5035" s="1" t="n">
        <v>44589</v>
      </c>
      <c r="C5035" s="1" t="n">
        <v>46093</v>
      </c>
      <c r="D5035" t="inlineStr">
        <is>
          <t>ÖSTERGÖTLANDS LÄN</t>
        </is>
      </c>
      <c r="E5035" t="inlineStr">
        <is>
          <t>FINSPÅNG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25703-2023</t>
        </is>
      </c>
      <c r="B5036" s="1" t="n">
        <v>45090.31920138889</v>
      </c>
      <c r="C5036" s="1" t="n">
        <v>46093</v>
      </c>
      <c r="D5036" t="inlineStr">
        <is>
          <t>ÖSTERGÖTLANDS LÄN</t>
        </is>
      </c>
      <c r="E5036" t="inlineStr">
        <is>
          <t>VALDEMARSVIK</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9206-2023</t>
        </is>
      </c>
      <c r="B5037" s="1" t="n">
        <v>44980.48200231481</v>
      </c>
      <c r="C5037" s="1" t="n">
        <v>46093</v>
      </c>
      <c r="D5037" t="inlineStr">
        <is>
          <t>ÖSTERGÖTLANDS LÄN</t>
        </is>
      </c>
      <c r="E5037" t="inlineStr">
        <is>
          <t>NORRKÖPING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9512-2023</t>
        </is>
      </c>
      <c r="B5038" s="1" t="n">
        <v>44981</v>
      </c>
      <c r="C5038" s="1" t="n">
        <v>46093</v>
      </c>
      <c r="D5038" t="inlineStr">
        <is>
          <t>ÖSTERGÖTLANDS LÄN</t>
        </is>
      </c>
      <c r="E5038" t="inlineStr">
        <is>
          <t>NORRKÖPING</t>
        </is>
      </c>
      <c r="F5038" t="inlineStr">
        <is>
          <t>Holmen skog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59838-2025</t>
        </is>
      </c>
      <c r="B5039" s="1" t="n">
        <v>45992.67606481481</v>
      </c>
      <c r="C5039" s="1" t="n">
        <v>46093</v>
      </c>
      <c r="D5039" t="inlineStr">
        <is>
          <t>ÖSTERGÖTLANDS LÄN</t>
        </is>
      </c>
      <c r="E5039" t="inlineStr">
        <is>
          <t>VALDEMARSVIK</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9448-2023</t>
        </is>
      </c>
      <c r="B5040" s="1" t="n">
        <v>44981.54462962963</v>
      </c>
      <c r="C5040" s="1" t="n">
        <v>46093</v>
      </c>
      <c r="D5040" t="inlineStr">
        <is>
          <t>ÖSTERGÖTLANDS LÄN</t>
        </is>
      </c>
      <c r="E5040" t="inlineStr">
        <is>
          <t>ÖDESHÖG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6628-2023</t>
        </is>
      </c>
      <c r="B5041" s="1" t="n">
        <v>44966</v>
      </c>
      <c r="C5041" s="1" t="n">
        <v>46093</v>
      </c>
      <c r="D5041" t="inlineStr">
        <is>
          <t>ÖSTERGÖTLANDS LÄN</t>
        </is>
      </c>
      <c r="E5041" t="inlineStr">
        <is>
          <t>FINSPÅNG</t>
        </is>
      </c>
      <c r="F5041" t="inlineStr">
        <is>
          <t>Övriga Aktiebolag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6636-2023</t>
        </is>
      </c>
      <c r="B5042" s="1" t="n">
        <v>44966.57550925926</v>
      </c>
      <c r="C5042" s="1" t="n">
        <v>46093</v>
      </c>
      <c r="D5042" t="inlineStr">
        <is>
          <t>ÖSTERGÖTLANDS LÄN</t>
        </is>
      </c>
      <c r="E5042" t="inlineStr">
        <is>
          <t>NORRKÖPING</t>
        </is>
      </c>
      <c r="F5042" t="inlineStr">
        <is>
          <t>Holmen skog AB</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60049-2025</t>
        </is>
      </c>
      <c r="B5043" s="1" t="n">
        <v>45992</v>
      </c>
      <c r="C5043" s="1" t="n">
        <v>46093</v>
      </c>
      <c r="D5043" t="inlineStr">
        <is>
          <t>ÖSTERGÖTLANDS LÄN</t>
        </is>
      </c>
      <c r="E5043" t="inlineStr">
        <is>
          <t>MOTALA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2969-2024</t>
        </is>
      </c>
      <c r="B5044" s="1" t="n">
        <v>45315.66914351852</v>
      </c>
      <c r="C5044" s="1" t="n">
        <v>46093</v>
      </c>
      <c r="D5044" t="inlineStr">
        <is>
          <t>ÖSTERGÖTLANDS LÄN</t>
        </is>
      </c>
      <c r="E5044" t="inlineStr">
        <is>
          <t>KINDA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54845-2023</t>
        </is>
      </c>
      <c r="B5045" s="1" t="n">
        <v>45236</v>
      </c>
      <c r="C5045" s="1" t="n">
        <v>46093</v>
      </c>
      <c r="D5045" t="inlineStr">
        <is>
          <t>ÖSTERGÖTLANDS LÄN</t>
        </is>
      </c>
      <c r="E5045" t="inlineStr">
        <is>
          <t>LINKÖPING</t>
        </is>
      </c>
      <c r="F5045" t="inlineStr">
        <is>
          <t>Övriga Aktiebolag</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16705-2023</t>
        </is>
      </c>
      <c r="B5046" s="1" t="n">
        <v>45030.62916666667</v>
      </c>
      <c r="C5046" s="1" t="n">
        <v>46093</v>
      </c>
      <c r="D5046" t="inlineStr">
        <is>
          <t>ÖSTERGÖTLANDS LÄN</t>
        </is>
      </c>
      <c r="E5046" t="inlineStr">
        <is>
          <t>NORRKÖPING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38231-2022</t>
        </is>
      </c>
      <c r="B5047" s="1" t="n">
        <v>44812</v>
      </c>
      <c r="C5047" s="1" t="n">
        <v>46093</v>
      </c>
      <c r="D5047" t="inlineStr">
        <is>
          <t>ÖSTERGÖTLANDS LÄN</t>
        </is>
      </c>
      <c r="E5047" t="inlineStr">
        <is>
          <t>LINKÖPING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38266-2022</t>
        </is>
      </c>
      <c r="B5048" s="1" t="n">
        <v>44812</v>
      </c>
      <c r="C5048" s="1" t="n">
        <v>46093</v>
      </c>
      <c r="D5048" t="inlineStr">
        <is>
          <t>ÖSTERGÖTLANDS LÄN</t>
        </is>
      </c>
      <c r="E5048" t="inlineStr">
        <is>
          <t>ÖDESHÖG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16611-2023</t>
        </is>
      </c>
      <c r="B5049" s="1" t="n">
        <v>45030</v>
      </c>
      <c r="C5049" s="1" t="n">
        <v>46093</v>
      </c>
      <c r="D5049" t="inlineStr">
        <is>
          <t>ÖSTERGÖTLANDS LÄN</t>
        </is>
      </c>
      <c r="E5049" t="inlineStr">
        <is>
          <t>KINDA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59597-2025</t>
        </is>
      </c>
      <c r="B5050" s="1" t="n">
        <v>45992.34927083334</v>
      </c>
      <c r="C5050" s="1" t="n">
        <v>46093</v>
      </c>
      <c r="D5050" t="inlineStr">
        <is>
          <t>ÖSTERGÖTLANDS LÄN</t>
        </is>
      </c>
      <c r="E5050" t="inlineStr">
        <is>
          <t>MOTALA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53889-2021</t>
        </is>
      </c>
      <c r="B5051" s="1" t="n">
        <v>44469.69513888889</v>
      </c>
      <c r="C5051" s="1" t="n">
        <v>46093</v>
      </c>
      <c r="D5051" t="inlineStr">
        <is>
          <t>ÖSTERGÖTLANDS LÄN</t>
        </is>
      </c>
      <c r="E5051" t="inlineStr">
        <is>
          <t>SÖDERKÖPING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48344-2022</t>
        </is>
      </c>
      <c r="B5052" s="1" t="n">
        <v>44858</v>
      </c>
      <c r="C5052" s="1" t="n">
        <v>46093</v>
      </c>
      <c r="D5052" t="inlineStr">
        <is>
          <t>ÖSTERGÖTLANDS LÄN</t>
        </is>
      </c>
      <c r="E5052" t="inlineStr">
        <is>
          <t>YDRE</t>
        </is>
      </c>
      <c r="F5052" t="inlineStr">
        <is>
          <t>Övriga Aktiebolag</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50799-2022</t>
        </is>
      </c>
      <c r="B5053" s="1" t="n">
        <v>44862</v>
      </c>
      <c r="C5053" s="1" t="n">
        <v>46093</v>
      </c>
      <c r="D5053" t="inlineStr">
        <is>
          <t>ÖSTERGÖTLANDS LÄN</t>
        </is>
      </c>
      <c r="E5053" t="inlineStr">
        <is>
          <t>LINKÖPING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46687-2021</t>
        </is>
      </c>
      <c r="B5054" s="1" t="n">
        <v>44445</v>
      </c>
      <c r="C5054" s="1" t="n">
        <v>46093</v>
      </c>
      <c r="D5054" t="inlineStr">
        <is>
          <t>ÖSTERGÖTLANDS LÄN</t>
        </is>
      </c>
      <c r="E5054" t="inlineStr">
        <is>
          <t>LINKÖPING</t>
        </is>
      </c>
      <c r="F5054" t="inlineStr">
        <is>
          <t>Övriga statliga verk och myndigheter</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55254-2022</t>
        </is>
      </c>
      <c r="B5055" s="1" t="n">
        <v>44887.31924768518</v>
      </c>
      <c r="C5055" s="1" t="n">
        <v>46093</v>
      </c>
      <c r="D5055" t="inlineStr">
        <is>
          <t>ÖSTERGÖTLANDS LÄN</t>
        </is>
      </c>
      <c r="E5055" t="inlineStr">
        <is>
          <t>BOXHOLM</t>
        </is>
      </c>
      <c r="F5055" t="inlineStr">
        <is>
          <t>Övriga Aktiebolag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53491-2022</t>
        </is>
      </c>
      <c r="B5056" s="1" t="n">
        <v>44879.56688657407</v>
      </c>
      <c r="C5056" s="1" t="n">
        <v>46093</v>
      </c>
      <c r="D5056" t="inlineStr">
        <is>
          <t>ÖSTERGÖTLANDS LÄN</t>
        </is>
      </c>
      <c r="E5056" t="inlineStr">
        <is>
          <t>MOTALA</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28601-2024</t>
        </is>
      </c>
      <c r="B5057" s="1" t="n">
        <v>45478.42675925926</v>
      </c>
      <c r="C5057" s="1" t="n">
        <v>46093</v>
      </c>
      <c r="D5057" t="inlineStr">
        <is>
          <t>ÖSTERGÖTLANDS LÄN</t>
        </is>
      </c>
      <c r="E5057" t="inlineStr">
        <is>
          <t>NORRKÖPING</t>
        </is>
      </c>
      <c r="F5057" t="inlineStr">
        <is>
          <t>Holmen skog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16771-2024</t>
        </is>
      </c>
      <c r="B5058" s="1" t="n">
        <v>45411</v>
      </c>
      <c r="C5058" s="1" t="n">
        <v>46093</v>
      </c>
      <c r="D5058" t="inlineStr">
        <is>
          <t>ÖSTERGÖTLANDS LÄN</t>
        </is>
      </c>
      <c r="E5058" t="inlineStr">
        <is>
          <t>VALDEMARSVIK</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45875-2024</t>
        </is>
      </c>
      <c r="B5059" s="1" t="n">
        <v>45580.37579861111</v>
      </c>
      <c r="C5059" s="1" t="n">
        <v>46093</v>
      </c>
      <c r="D5059" t="inlineStr">
        <is>
          <t>ÖSTERGÖTLANDS LÄN</t>
        </is>
      </c>
      <c r="E5059" t="inlineStr">
        <is>
          <t>YDRE</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40431-2024</t>
        </is>
      </c>
      <c r="B5060" s="1" t="n">
        <v>45555.47070601852</v>
      </c>
      <c r="C5060" s="1" t="n">
        <v>46093</v>
      </c>
      <c r="D5060" t="inlineStr">
        <is>
          <t>ÖSTERGÖTLANDS LÄN</t>
        </is>
      </c>
      <c r="E5060" t="inlineStr">
        <is>
          <t>LINKÖPING</t>
        </is>
      </c>
      <c r="F5060" t="inlineStr">
        <is>
          <t>Allmännings- och besparingsskogar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7051-2025</t>
        </is>
      </c>
      <c r="B5061" s="1" t="n">
        <v>45701.64657407408</v>
      </c>
      <c r="C5061" s="1" t="n">
        <v>46093</v>
      </c>
      <c r="D5061" t="inlineStr">
        <is>
          <t>ÖSTERGÖTLANDS LÄN</t>
        </is>
      </c>
      <c r="E5061" t="inlineStr">
        <is>
          <t>YDRE</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7058-2025</t>
        </is>
      </c>
      <c r="B5062" s="1" t="n">
        <v>45701.65451388889</v>
      </c>
      <c r="C5062" s="1" t="n">
        <v>46093</v>
      </c>
      <c r="D5062" t="inlineStr">
        <is>
          <t>ÖSTERGÖTLANDS LÄN</t>
        </is>
      </c>
      <c r="E5062" t="inlineStr">
        <is>
          <t>SÖDERKÖPING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30855-2022</t>
        </is>
      </c>
      <c r="B5063" s="1" t="n">
        <v>44767</v>
      </c>
      <c r="C5063" s="1" t="n">
        <v>46093</v>
      </c>
      <c r="D5063" t="inlineStr">
        <is>
          <t>ÖSTERGÖTLANDS LÄN</t>
        </is>
      </c>
      <c r="E5063" t="inlineStr">
        <is>
          <t>LINKÖPING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15164-2025</t>
        </is>
      </c>
      <c r="B5064" s="1" t="n">
        <v>45744.48476851852</v>
      </c>
      <c r="C5064" s="1" t="n">
        <v>46093</v>
      </c>
      <c r="D5064" t="inlineStr">
        <is>
          <t>ÖSTERGÖTLANDS LÄN</t>
        </is>
      </c>
      <c r="E5064" t="inlineStr">
        <is>
          <t>FINSPÅNG</t>
        </is>
      </c>
      <c r="F5064" t="inlineStr">
        <is>
          <t>Holmen skog AB</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59479-2025</t>
        </is>
      </c>
      <c r="B5065" s="1" t="n">
        <v>45989.58854166666</v>
      </c>
      <c r="C5065" s="1" t="n">
        <v>46093</v>
      </c>
      <c r="D5065" t="inlineStr">
        <is>
          <t>ÖSTERGÖTLANDS LÄN</t>
        </is>
      </c>
      <c r="E5065" t="inlineStr">
        <is>
          <t>VALDEMARSVIK</t>
        </is>
      </c>
      <c r="F5065" t="inlineStr">
        <is>
          <t>Holmen skog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10823-2024</t>
        </is>
      </c>
      <c r="B5066" s="1" t="n">
        <v>45369.67408564815</v>
      </c>
      <c r="C5066" s="1" t="n">
        <v>46093</v>
      </c>
      <c r="D5066" t="inlineStr">
        <is>
          <t>ÖSTERGÖTLANDS LÄN</t>
        </is>
      </c>
      <c r="E5066" t="inlineStr">
        <is>
          <t>KINDA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25790-2023</t>
        </is>
      </c>
      <c r="B5067" s="1" t="n">
        <v>45090</v>
      </c>
      <c r="C5067" s="1" t="n">
        <v>46093</v>
      </c>
      <c r="D5067" t="inlineStr">
        <is>
          <t>ÖSTERGÖTLANDS LÄN</t>
        </is>
      </c>
      <c r="E5067" t="inlineStr">
        <is>
          <t>SÖDERKÖPING</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1355-2023</t>
        </is>
      </c>
      <c r="B5068" s="1" t="n">
        <v>44931</v>
      </c>
      <c r="C5068" s="1" t="n">
        <v>46093</v>
      </c>
      <c r="D5068" t="inlineStr">
        <is>
          <t>ÖSTERGÖTLANDS LÄN</t>
        </is>
      </c>
      <c r="E5068" t="inlineStr">
        <is>
          <t>LINKÖPING</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60749-2022</t>
        </is>
      </c>
      <c r="B5069" s="1" t="n">
        <v>44914</v>
      </c>
      <c r="C5069" s="1" t="n">
        <v>46093</v>
      </c>
      <c r="D5069" t="inlineStr">
        <is>
          <t>ÖSTERGÖTLANDS LÄN</t>
        </is>
      </c>
      <c r="E5069" t="inlineStr">
        <is>
          <t>FINSPÅNG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60285-2023</t>
        </is>
      </c>
      <c r="B5070" s="1" t="n">
        <v>45258.70151620371</v>
      </c>
      <c r="C5070" s="1" t="n">
        <v>46093</v>
      </c>
      <c r="D5070" t="inlineStr">
        <is>
          <t>ÖSTERGÖTLANDS LÄN</t>
        </is>
      </c>
      <c r="E5070" t="inlineStr">
        <is>
          <t>VALDEMARSVIK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58926-2025</t>
        </is>
      </c>
      <c r="B5071" s="1" t="n">
        <v>45986</v>
      </c>
      <c r="C5071" s="1" t="n">
        <v>46093</v>
      </c>
      <c r="D5071" t="inlineStr">
        <is>
          <t>ÖSTERGÖTLANDS LÄN</t>
        </is>
      </c>
      <c r="E5071" t="inlineStr">
        <is>
          <t>VADSTENA</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2201-2023</t>
        </is>
      </c>
      <c r="B5072" s="1" t="n">
        <v>44942</v>
      </c>
      <c r="C5072" s="1" t="n">
        <v>46093</v>
      </c>
      <c r="D5072" t="inlineStr">
        <is>
          <t>ÖSTERGÖTLANDS LÄN</t>
        </is>
      </c>
      <c r="E5072" t="inlineStr">
        <is>
          <t>MOTALA</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59485-2025</t>
        </is>
      </c>
      <c r="B5073" s="1" t="n">
        <v>45989.593125</v>
      </c>
      <c r="C5073" s="1" t="n">
        <v>46093</v>
      </c>
      <c r="D5073" t="inlineStr">
        <is>
          <t>ÖSTERGÖTLANDS LÄN</t>
        </is>
      </c>
      <c r="E5073" t="inlineStr">
        <is>
          <t>BOXHOLM</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59490-2025</t>
        </is>
      </c>
      <c r="B5074" s="1" t="n">
        <v>45989.60222222222</v>
      </c>
      <c r="C5074" s="1" t="n">
        <v>46093</v>
      </c>
      <c r="D5074" t="inlineStr">
        <is>
          <t>ÖSTERGÖTLANDS LÄN</t>
        </is>
      </c>
      <c r="E5074" t="inlineStr">
        <is>
          <t>BOXHOLM</t>
        </is>
      </c>
      <c r="F5074" t="inlineStr">
        <is>
          <t>Övriga Aktiebolag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59577-2025</t>
        </is>
      </c>
      <c r="B5075" s="1" t="n">
        <v>45992.30173611111</v>
      </c>
      <c r="C5075" s="1" t="n">
        <v>46093</v>
      </c>
      <c r="D5075" t="inlineStr">
        <is>
          <t>ÖSTERGÖTLANDS LÄN</t>
        </is>
      </c>
      <c r="E5075" t="inlineStr">
        <is>
          <t>MOTALA</t>
        </is>
      </c>
      <c r="F5075" t="inlineStr">
        <is>
          <t>Sveaskog</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64709-2023</t>
        </is>
      </c>
      <c r="B5076" s="1" t="n">
        <v>45281.67853009259</v>
      </c>
      <c r="C5076" s="1" t="n">
        <v>46093</v>
      </c>
      <c r="D5076" t="inlineStr">
        <is>
          <t>ÖSTERGÖTLANDS LÄN</t>
        </is>
      </c>
      <c r="E5076" t="inlineStr">
        <is>
          <t>ÖDESHÖG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64710-2023</t>
        </is>
      </c>
      <c r="B5077" s="1" t="n">
        <v>45281.68364583333</v>
      </c>
      <c r="C5077" s="1" t="n">
        <v>46093</v>
      </c>
      <c r="D5077" t="inlineStr">
        <is>
          <t>ÖSTERGÖTLANDS LÄN</t>
        </is>
      </c>
      <c r="E5077" t="inlineStr">
        <is>
          <t>ÖDESHÖG</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4506-2024</t>
        </is>
      </c>
      <c r="B5078" s="1" t="n">
        <v>45327</v>
      </c>
      <c r="C5078" s="1" t="n">
        <v>46093</v>
      </c>
      <c r="D5078" t="inlineStr">
        <is>
          <t>ÖSTERGÖTLANDS LÄN</t>
        </is>
      </c>
      <c r="E5078" t="inlineStr">
        <is>
          <t>MOTALA</t>
        </is>
      </c>
      <c r="F5078" t="inlineStr">
        <is>
          <t>Allmännings- och besparingsskogar</t>
        </is>
      </c>
      <c r="G5078" t="n">
        <v>15.7</v>
      </c>
      <c r="H5078" t="n">
        <v>0</v>
      </c>
      <c r="I5078" t="n">
        <v>0</v>
      </c>
      <c r="J5078" t="n">
        <v>0</v>
      </c>
      <c r="K5078" t="n">
        <v>0</v>
      </c>
      <c r="L5078" t="n">
        <v>0</v>
      </c>
      <c r="M5078" t="n">
        <v>0</v>
      </c>
      <c r="N5078" t="n">
        <v>0</v>
      </c>
      <c r="O5078" t="n">
        <v>0</v>
      </c>
      <c r="P5078" t="n">
        <v>0</v>
      </c>
      <c r="Q5078" t="n">
        <v>0</v>
      </c>
      <c r="R5078" s="2" t="inlineStr"/>
    </row>
    <row r="5079" ht="15" customHeight="1">
      <c r="A5079" t="inlineStr">
        <is>
          <t>A 27844-2024</t>
        </is>
      </c>
      <c r="B5079" s="1" t="n">
        <v>45475.63047453704</v>
      </c>
      <c r="C5079" s="1" t="n">
        <v>46093</v>
      </c>
      <c r="D5079" t="inlineStr">
        <is>
          <t>ÖSTERGÖTLANDS LÄN</t>
        </is>
      </c>
      <c r="E5079" t="inlineStr">
        <is>
          <t>LINKÖPING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57570-2023</t>
        </is>
      </c>
      <c r="B5080" s="1" t="n">
        <v>45246</v>
      </c>
      <c r="C5080" s="1" t="n">
        <v>46093</v>
      </c>
      <c r="D5080" t="inlineStr">
        <is>
          <t>ÖSTERGÖTLANDS LÄN</t>
        </is>
      </c>
      <c r="E5080" t="inlineStr">
        <is>
          <t>BOXHOLM</t>
        </is>
      </c>
      <c r="F5080" t="inlineStr">
        <is>
          <t>Övriga Aktiebolag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43074-2024</t>
        </is>
      </c>
      <c r="B5081" s="1" t="n">
        <v>45567.48658564815</v>
      </c>
      <c r="C5081" s="1" t="n">
        <v>46093</v>
      </c>
      <c r="D5081" t="inlineStr">
        <is>
          <t>ÖSTERGÖTLANDS LÄN</t>
        </is>
      </c>
      <c r="E5081" t="inlineStr">
        <is>
          <t>KINDA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2826-2023</t>
        </is>
      </c>
      <c r="B5082" s="1" t="n">
        <v>44945</v>
      </c>
      <c r="C5082" s="1" t="n">
        <v>46093</v>
      </c>
      <c r="D5082" t="inlineStr">
        <is>
          <t>ÖSTERGÖTLANDS LÄN</t>
        </is>
      </c>
      <c r="E5082" t="inlineStr">
        <is>
          <t>VALDEMARSVIK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30438-2022</t>
        </is>
      </c>
      <c r="B5083" s="1" t="n">
        <v>44761</v>
      </c>
      <c r="C5083" s="1" t="n">
        <v>46093</v>
      </c>
      <c r="D5083" t="inlineStr">
        <is>
          <t>ÖSTERGÖTLANDS LÄN</t>
        </is>
      </c>
      <c r="E5083" t="inlineStr">
        <is>
          <t>SÖDERKÖPING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16229-2024</t>
        </is>
      </c>
      <c r="B5084" s="1" t="n">
        <v>45407.04653935185</v>
      </c>
      <c r="C5084" s="1" t="n">
        <v>46093</v>
      </c>
      <c r="D5084" t="inlineStr">
        <is>
          <t>ÖSTERGÖTLANDS LÄN</t>
        </is>
      </c>
      <c r="E5084" t="inlineStr">
        <is>
          <t>FINSPÅNG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3388-2023</t>
        </is>
      </c>
      <c r="B5085" s="1" t="n">
        <v>44949</v>
      </c>
      <c r="C5085" s="1" t="n">
        <v>46093</v>
      </c>
      <c r="D5085" t="inlineStr">
        <is>
          <t>ÖSTERGÖTLANDS LÄN</t>
        </is>
      </c>
      <c r="E5085" t="inlineStr">
        <is>
          <t>ÅTVIDABERG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267-2023</t>
        </is>
      </c>
      <c r="B5086" s="1" t="n">
        <v>44928.80907407407</v>
      </c>
      <c r="C5086" s="1" t="n">
        <v>46093</v>
      </c>
      <c r="D5086" t="inlineStr">
        <is>
          <t>ÖSTERGÖTLANDS LÄN</t>
        </is>
      </c>
      <c r="E5086" t="inlineStr">
        <is>
          <t>LINKÖPING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58563-2022</t>
        </is>
      </c>
      <c r="B5087" s="1" t="n">
        <v>44902.49914351852</v>
      </c>
      <c r="C5087" s="1" t="n">
        <v>46093</v>
      </c>
      <c r="D5087" t="inlineStr">
        <is>
          <t>ÖSTERGÖTLANDS LÄN</t>
        </is>
      </c>
      <c r="E5087" t="inlineStr">
        <is>
          <t>ÅTVIDABERG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26618-2023</t>
        </is>
      </c>
      <c r="B5088" s="1" t="n">
        <v>45092.70306712963</v>
      </c>
      <c r="C5088" s="1" t="n">
        <v>46093</v>
      </c>
      <c r="D5088" t="inlineStr">
        <is>
          <t>ÖSTERGÖTLANDS LÄN</t>
        </is>
      </c>
      <c r="E5088" t="inlineStr">
        <is>
          <t>LINKÖPING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8517-2023</t>
        </is>
      </c>
      <c r="B5089" s="1" t="n">
        <v>44977.57584490741</v>
      </c>
      <c r="C5089" s="1" t="n">
        <v>46093</v>
      </c>
      <c r="D5089" t="inlineStr">
        <is>
          <t>ÖSTERGÖTLANDS LÄN</t>
        </is>
      </c>
      <c r="E5089" t="inlineStr">
        <is>
          <t>NORRKÖPING</t>
        </is>
      </c>
      <c r="F5089" t="inlineStr">
        <is>
          <t>Holmen skog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23886-2023</t>
        </is>
      </c>
      <c r="B5090" s="1" t="n">
        <v>45078.5274537037</v>
      </c>
      <c r="C5090" s="1" t="n">
        <v>46093</v>
      </c>
      <c r="D5090" t="inlineStr">
        <is>
          <t>ÖSTERGÖTLANDS LÄN</t>
        </is>
      </c>
      <c r="E5090" t="inlineStr">
        <is>
          <t>KINDA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13078-2025</t>
        </is>
      </c>
      <c r="B5091" s="1" t="n">
        <v>45734.62297453704</v>
      </c>
      <c r="C5091" s="1" t="n">
        <v>46093</v>
      </c>
      <c r="D5091" t="inlineStr">
        <is>
          <t>ÖSTERGÖTLANDS LÄN</t>
        </is>
      </c>
      <c r="E5091" t="inlineStr">
        <is>
          <t>ÅTVIDABERG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21648-2023</t>
        </is>
      </c>
      <c r="B5092" s="1" t="n">
        <v>45063</v>
      </c>
      <c r="C5092" s="1" t="n">
        <v>46093</v>
      </c>
      <c r="D5092" t="inlineStr">
        <is>
          <t>ÖSTERGÖTLANDS LÄN</t>
        </is>
      </c>
      <c r="E5092" t="inlineStr">
        <is>
          <t>SÖDERKÖPING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60314-2025</t>
        </is>
      </c>
      <c r="B5093" s="1" t="n">
        <v>45994.70809027777</v>
      </c>
      <c r="C5093" s="1" t="n">
        <v>46093</v>
      </c>
      <c r="D5093" t="inlineStr">
        <is>
          <t>ÖSTERGÖTLANDS LÄN</t>
        </is>
      </c>
      <c r="E5093" t="inlineStr">
        <is>
          <t>KINDA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60087-2025</t>
        </is>
      </c>
      <c r="B5094" s="1" t="n">
        <v>45993.71726851852</v>
      </c>
      <c r="C5094" s="1" t="n">
        <v>46093</v>
      </c>
      <c r="D5094" t="inlineStr">
        <is>
          <t>ÖSTERGÖTLANDS LÄN</t>
        </is>
      </c>
      <c r="E5094" t="inlineStr">
        <is>
          <t>LINKÖPING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42130-2024</t>
        </is>
      </c>
      <c r="B5095" s="1" t="n">
        <v>45562.40653935185</v>
      </c>
      <c r="C5095" s="1" t="n">
        <v>46093</v>
      </c>
      <c r="D5095" t="inlineStr">
        <is>
          <t>ÖSTERGÖTLANDS LÄN</t>
        </is>
      </c>
      <c r="E5095" t="inlineStr">
        <is>
          <t>MOTALA</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3681-2025</t>
        </is>
      </c>
      <c r="B5096" s="1" t="n">
        <v>45681.44800925926</v>
      </c>
      <c r="C5096" s="1" t="n">
        <v>46093</v>
      </c>
      <c r="D5096" t="inlineStr">
        <is>
          <t>ÖSTERGÖTLANDS LÄN</t>
        </is>
      </c>
      <c r="E5096" t="inlineStr">
        <is>
          <t>MJÖLBY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63665-2023</t>
        </is>
      </c>
      <c r="B5097" s="1" t="n">
        <v>45275</v>
      </c>
      <c r="C5097" s="1" t="n">
        <v>46093</v>
      </c>
      <c r="D5097" t="inlineStr">
        <is>
          <t>ÖSTERGÖTLANDS LÄN</t>
        </is>
      </c>
      <c r="E5097" t="inlineStr">
        <is>
          <t>LINKÖPING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4368-2025</t>
        </is>
      </c>
      <c r="B5098" s="1" t="n">
        <v>45686.34563657407</v>
      </c>
      <c r="C5098" s="1" t="n">
        <v>46093</v>
      </c>
      <c r="D5098" t="inlineStr">
        <is>
          <t>ÖSTERGÖTLANDS LÄN</t>
        </is>
      </c>
      <c r="E5098" t="inlineStr">
        <is>
          <t>KINDA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58142-2022</t>
        </is>
      </c>
      <c r="B5099" s="1" t="n">
        <v>44900.72767361111</v>
      </c>
      <c r="C5099" s="1" t="n">
        <v>46093</v>
      </c>
      <c r="D5099" t="inlineStr">
        <is>
          <t>ÖSTERGÖTLANDS LÄN</t>
        </is>
      </c>
      <c r="E5099" t="inlineStr">
        <is>
          <t>FINSPÅNG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60090-2025</t>
        </is>
      </c>
      <c r="B5100" s="1" t="n">
        <v>45993.72018518519</v>
      </c>
      <c r="C5100" s="1" t="n">
        <v>46093</v>
      </c>
      <c r="D5100" t="inlineStr">
        <is>
          <t>ÖSTERGÖTLANDS LÄN</t>
        </is>
      </c>
      <c r="E5100" t="inlineStr">
        <is>
          <t>ÅTVIDABERG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354-2024</t>
        </is>
      </c>
      <c r="B5101" s="1" t="n">
        <v>45295</v>
      </c>
      <c r="C5101" s="1" t="n">
        <v>46093</v>
      </c>
      <c r="D5101" t="inlineStr">
        <is>
          <t>ÖSTERGÖTLANDS LÄN</t>
        </is>
      </c>
      <c r="E5101" t="inlineStr">
        <is>
          <t>SÖDERKÖPING</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59722-2021</t>
        </is>
      </c>
      <c r="B5102" s="1" t="n">
        <v>44494</v>
      </c>
      <c r="C5102" s="1" t="n">
        <v>46093</v>
      </c>
      <c r="D5102" t="inlineStr">
        <is>
          <t>ÖSTERGÖTLANDS LÄN</t>
        </is>
      </c>
      <c r="E5102" t="inlineStr">
        <is>
          <t>ÅTVIDABERG</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64184-2023</t>
        </is>
      </c>
      <c r="B5103" s="1" t="n">
        <v>45279.65524305555</v>
      </c>
      <c r="C5103" s="1" t="n">
        <v>46093</v>
      </c>
      <c r="D5103" t="inlineStr">
        <is>
          <t>ÖSTERGÖTLANDS LÄN</t>
        </is>
      </c>
      <c r="E5103" t="inlineStr">
        <is>
          <t>MOTALA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64188-2023</t>
        </is>
      </c>
      <c r="B5104" s="1" t="n">
        <v>45279.66864583334</v>
      </c>
      <c r="C5104" s="1" t="n">
        <v>46093</v>
      </c>
      <c r="D5104" t="inlineStr">
        <is>
          <t>ÖSTERGÖTLANDS LÄN</t>
        </is>
      </c>
      <c r="E5104" t="inlineStr">
        <is>
          <t>NORRKÖPING</t>
        </is>
      </c>
      <c r="F5104" t="inlineStr">
        <is>
          <t>Holmen skog AB</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50870-2023</t>
        </is>
      </c>
      <c r="B5105" s="1" t="n">
        <v>45218.36380787037</v>
      </c>
      <c r="C5105" s="1" t="n">
        <v>46093</v>
      </c>
      <c r="D5105" t="inlineStr">
        <is>
          <t>ÖSTERGÖTLANDS LÄN</t>
        </is>
      </c>
      <c r="E5105" t="inlineStr">
        <is>
          <t>SÖDERKÖPING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60138-2025</t>
        </is>
      </c>
      <c r="B5106" s="1" t="n">
        <v>45994.35961805555</v>
      </c>
      <c r="C5106" s="1" t="n">
        <v>46093</v>
      </c>
      <c r="D5106" t="inlineStr">
        <is>
          <t>ÖSTERGÖTLANDS LÄN</t>
        </is>
      </c>
      <c r="E5106" t="inlineStr">
        <is>
          <t>YDRE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16775-2025</t>
        </is>
      </c>
      <c r="B5107" s="1" t="n">
        <v>45754</v>
      </c>
      <c r="C5107" s="1" t="n">
        <v>46093</v>
      </c>
      <c r="D5107" t="inlineStr">
        <is>
          <t>ÖSTERGÖTLANDS LÄN</t>
        </is>
      </c>
      <c r="E5107" t="inlineStr">
        <is>
          <t>SÖDERKÖPING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59586-2022</t>
        </is>
      </c>
      <c r="B5108" s="1" t="n">
        <v>44907.66710648148</v>
      </c>
      <c r="C5108" s="1" t="n">
        <v>46093</v>
      </c>
      <c r="D5108" t="inlineStr">
        <is>
          <t>ÖSTERGÖTLANDS LÄN</t>
        </is>
      </c>
      <c r="E5108" t="inlineStr">
        <is>
          <t>NORRKÖPING</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43559-2021</t>
        </is>
      </c>
      <c r="B5109" s="1" t="n">
        <v>44433</v>
      </c>
      <c r="C5109" s="1" t="n">
        <v>46093</v>
      </c>
      <c r="D5109" t="inlineStr">
        <is>
          <t>ÖSTERGÖTLANDS LÄN</t>
        </is>
      </c>
      <c r="E5109" t="inlineStr">
        <is>
          <t>NORRKÖPING</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60284-2025</t>
        </is>
      </c>
      <c r="B5110" s="1" t="n">
        <v>45994.64373842593</v>
      </c>
      <c r="C5110" s="1" t="n">
        <v>46093</v>
      </c>
      <c r="D5110" t="inlineStr">
        <is>
          <t>ÖSTERGÖTLANDS LÄN</t>
        </is>
      </c>
      <c r="E5110" t="inlineStr">
        <is>
          <t>LINKÖPING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50536-2023</t>
        </is>
      </c>
      <c r="B5111" s="1" t="n">
        <v>45217</v>
      </c>
      <c r="C5111" s="1" t="n">
        <v>46093</v>
      </c>
      <c r="D5111" t="inlineStr">
        <is>
          <t>ÖSTERGÖTLANDS LÄN</t>
        </is>
      </c>
      <c r="E5111" t="inlineStr">
        <is>
          <t>MOTALA</t>
        </is>
      </c>
      <c r="F5111" t="inlineStr">
        <is>
          <t>Sveaskog</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59941-2025</t>
        </is>
      </c>
      <c r="B5112" s="1" t="n">
        <v>45993.43421296297</v>
      </c>
      <c r="C5112" s="1" t="n">
        <v>46093</v>
      </c>
      <c r="D5112" t="inlineStr">
        <is>
          <t>ÖSTERGÖTLANDS LÄN</t>
        </is>
      </c>
      <c r="E5112" t="inlineStr">
        <is>
          <t>NORRKÖPING</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54081-2025</t>
        </is>
      </c>
      <c r="B5113" s="1" t="n">
        <v>45964</v>
      </c>
      <c r="C5113" s="1" t="n">
        <v>46093</v>
      </c>
      <c r="D5113" t="inlineStr">
        <is>
          <t>ÖSTERGÖTLANDS LÄN</t>
        </is>
      </c>
      <c r="E5113" t="inlineStr">
        <is>
          <t>NORRKÖPING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8317-2023</t>
        </is>
      </c>
      <c r="B5114" s="1" t="n">
        <v>44974.72851851852</v>
      </c>
      <c r="C5114" s="1" t="n">
        <v>46093</v>
      </c>
      <c r="D5114" t="inlineStr">
        <is>
          <t>ÖSTERGÖTLANDS LÄN</t>
        </is>
      </c>
      <c r="E5114" t="inlineStr">
        <is>
          <t>FINSPÅNG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14287-2025</t>
        </is>
      </c>
      <c r="B5115" s="1" t="n">
        <v>45740</v>
      </c>
      <c r="C5115" s="1" t="n">
        <v>46093</v>
      </c>
      <c r="D5115" t="inlineStr">
        <is>
          <t>ÖSTERGÖTLANDS LÄN</t>
        </is>
      </c>
      <c r="E5115" t="inlineStr">
        <is>
          <t>VALDEMARSVIK</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14295-2025</t>
        </is>
      </c>
      <c r="B5116" s="1" t="n">
        <v>45740</v>
      </c>
      <c r="C5116" s="1" t="n">
        <v>46093</v>
      </c>
      <c r="D5116" t="inlineStr">
        <is>
          <t>ÖSTERGÖTLANDS LÄN</t>
        </is>
      </c>
      <c r="E5116" t="inlineStr">
        <is>
          <t>VALDEMARSVIK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20100-2025</t>
        </is>
      </c>
      <c r="B5117" s="1" t="n">
        <v>45771</v>
      </c>
      <c r="C5117" s="1" t="n">
        <v>46093</v>
      </c>
      <c r="D5117" t="inlineStr">
        <is>
          <t>ÖSTERGÖTLANDS LÄN</t>
        </is>
      </c>
      <c r="E5117" t="inlineStr">
        <is>
          <t>SÖDERKÖPING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46228-2024</t>
        </is>
      </c>
      <c r="B5118" s="1" t="n">
        <v>45581.57662037037</v>
      </c>
      <c r="C5118" s="1" t="n">
        <v>46093</v>
      </c>
      <c r="D5118" t="inlineStr">
        <is>
          <t>ÖSTERGÖTLANDS LÄN</t>
        </is>
      </c>
      <c r="E5118" t="inlineStr">
        <is>
          <t>KINDA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35097-2023</t>
        </is>
      </c>
      <c r="B5119" s="1" t="n">
        <v>45145.45475694445</v>
      </c>
      <c r="C5119" s="1" t="n">
        <v>46093</v>
      </c>
      <c r="D5119" t="inlineStr">
        <is>
          <t>ÖSTERGÖTLANDS LÄN</t>
        </is>
      </c>
      <c r="E5119" t="inlineStr">
        <is>
          <t>ÖDESHÖG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14134-2025</t>
        </is>
      </c>
      <c r="B5120" s="1" t="n">
        <v>45740.47725694445</v>
      </c>
      <c r="C5120" s="1" t="n">
        <v>46093</v>
      </c>
      <c r="D5120" t="inlineStr">
        <is>
          <t>ÖSTERGÖTLANDS LÄN</t>
        </is>
      </c>
      <c r="E5120" t="inlineStr">
        <is>
          <t>FINSPÅNG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4127-2022</t>
        </is>
      </c>
      <c r="B5121" s="1" t="n">
        <v>44588</v>
      </c>
      <c r="C5121" s="1" t="n">
        <v>46093</v>
      </c>
      <c r="D5121" t="inlineStr">
        <is>
          <t>ÖSTERGÖTLANDS LÄN</t>
        </is>
      </c>
      <c r="E5121" t="inlineStr">
        <is>
          <t>NORRKÖPING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51558-2023</t>
        </is>
      </c>
      <c r="B5122" s="1" t="n">
        <v>45222.43846064815</v>
      </c>
      <c r="C5122" s="1" t="n">
        <v>46093</v>
      </c>
      <c r="D5122" t="inlineStr">
        <is>
          <t>ÖSTERGÖTLANDS LÄN</t>
        </is>
      </c>
      <c r="E5122" t="inlineStr">
        <is>
          <t>BOXHOLM</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43744-2021</t>
        </is>
      </c>
      <c r="B5123" s="1" t="n">
        <v>44433</v>
      </c>
      <c r="C5123" s="1" t="n">
        <v>46093</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3217-2024</t>
        </is>
      </c>
      <c r="B5124" s="1" t="n">
        <v>45316.81165509259</v>
      </c>
      <c r="C5124" s="1" t="n">
        <v>46093</v>
      </c>
      <c r="D5124" t="inlineStr">
        <is>
          <t>ÖSTERGÖTLANDS LÄN</t>
        </is>
      </c>
      <c r="E5124" t="inlineStr">
        <is>
          <t>ÅTVIDABERG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50609-2024</t>
        </is>
      </c>
      <c r="B5125" s="1" t="n">
        <v>45601.62701388889</v>
      </c>
      <c r="C5125" s="1" t="n">
        <v>46093</v>
      </c>
      <c r="D5125" t="inlineStr">
        <is>
          <t>ÖSTERGÖTLANDS LÄN</t>
        </is>
      </c>
      <c r="E5125" t="inlineStr">
        <is>
          <t>VALDEMARSVIK</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58800-2022</t>
        </is>
      </c>
      <c r="B5126" s="1" t="n">
        <v>44903</v>
      </c>
      <c r="C5126" s="1" t="n">
        <v>46093</v>
      </c>
      <c r="D5126" t="inlineStr">
        <is>
          <t>ÖSTERGÖTLANDS LÄN</t>
        </is>
      </c>
      <c r="E5126" t="inlineStr">
        <is>
          <t>MJÖLBY</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10553-2025</t>
        </is>
      </c>
      <c r="B5127" s="1" t="n">
        <v>45721.51255787037</v>
      </c>
      <c r="C5127" s="1" t="n">
        <v>46093</v>
      </c>
      <c r="D5127" t="inlineStr">
        <is>
          <t>ÖSTERGÖTLANDS LÄN</t>
        </is>
      </c>
      <c r="E5127" t="inlineStr">
        <is>
          <t>NORRKÖPING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10554-2025</t>
        </is>
      </c>
      <c r="B5128" s="1" t="n">
        <v>45721.51346064815</v>
      </c>
      <c r="C5128" s="1" t="n">
        <v>46093</v>
      </c>
      <c r="D5128" t="inlineStr">
        <is>
          <t>ÖSTERGÖTLANDS LÄN</t>
        </is>
      </c>
      <c r="E5128" t="inlineStr">
        <is>
          <t>NORRKÖPING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3568-2023</t>
        </is>
      </c>
      <c r="B5129" s="1" t="n">
        <v>44950</v>
      </c>
      <c r="C5129" s="1" t="n">
        <v>46093</v>
      </c>
      <c r="D5129" t="inlineStr">
        <is>
          <t>ÖSTERGÖTLANDS LÄN</t>
        </is>
      </c>
      <c r="E5129" t="inlineStr">
        <is>
          <t>FINSPÅNG</t>
        </is>
      </c>
      <c r="F5129" t="inlineStr">
        <is>
          <t>Holmen skog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60306-2025</t>
        </is>
      </c>
      <c r="B5130" s="1" t="n">
        <v>45994.68326388889</v>
      </c>
      <c r="C5130" s="1" t="n">
        <v>46093</v>
      </c>
      <c r="D5130" t="inlineStr">
        <is>
          <t>ÖSTERGÖTLANDS LÄN</t>
        </is>
      </c>
      <c r="E5130" t="inlineStr">
        <is>
          <t>LINKÖPING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12269-2023</t>
        </is>
      </c>
      <c r="B5131" s="1" t="n">
        <v>44998</v>
      </c>
      <c r="C5131" s="1" t="n">
        <v>46093</v>
      </c>
      <c r="D5131" t="inlineStr">
        <is>
          <t>ÖSTERGÖTLANDS LÄN</t>
        </is>
      </c>
      <c r="E5131" t="inlineStr">
        <is>
          <t>KINDA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13173-2022</t>
        </is>
      </c>
      <c r="B5132" s="1" t="n">
        <v>44644</v>
      </c>
      <c r="C5132" s="1" t="n">
        <v>46093</v>
      </c>
      <c r="D5132" t="inlineStr">
        <is>
          <t>ÖSTERGÖTLANDS LÄN</t>
        </is>
      </c>
      <c r="E5132" t="inlineStr">
        <is>
          <t>NORRKÖPING</t>
        </is>
      </c>
      <c r="F5132" t="inlineStr">
        <is>
          <t>Allmännings- och besparingsskogar</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6209-2024</t>
        </is>
      </c>
      <c r="B5133" s="1" t="n">
        <v>45337.60327546296</v>
      </c>
      <c r="C5133" s="1" t="n">
        <v>46093</v>
      </c>
      <c r="D5133" t="inlineStr">
        <is>
          <t>ÖSTERGÖTLANDS LÄN</t>
        </is>
      </c>
      <c r="E5133" t="inlineStr">
        <is>
          <t>BOXHOLM</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10741-2023</t>
        </is>
      </c>
      <c r="B5134" s="1" t="n">
        <v>44988.70084490741</v>
      </c>
      <c r="C5134" s="1" t="n">
        <v>46093</v>
      </c>
      <c r="D5134" t="inlineStr">
        <is>
          <t>ÖSTERGÖTLANDS LÄN</t>
        </is>
      </c>
      <c r="E5134" t="inlineStr">
        <is>
          <t>LINKÖPING</t>
        </is>
      </c>
      <c r="F5134" t="inlineStr">
        <is>
          <t>Allmännings- och besparingsskogar</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43471-2022</t>
        </is>
      </c>
      <c r="B5135" s="1" t="n">
        <v>44836</v>
      </c>
      <c r="C5135" s="1" t="n">
        <v>46093</v>
      </c>
      <c r="D5135" t="inlineStr">
        <is>
          <t>ÖSTERGÖTLANDS LÄN</t>
        </is>
      </c>
      <c r="E5135" t="inlineStr">
        <is>
          <t>BOXHOLM</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6785-2024</t>
        </is>
      </c>
      <c r="B5136" s="1" t="n">
        <v>45342</v>
      </c>
      <c r="C5136" s="1" t="n">
        <v>46093</v>
      </c>
      <c r="D5136" t="inlineStr">
        <is>
          <t>ÖSTERGÖTLANDS LÄN</t>
        </is>
      </c>
      <c r="E5136" t="inlineStr">
        <is>
          <t>MJÖLBY</t>
        </is>
      </c>
      <c r="F5136" t="inlineStr">
        <is>
          <t>Kyrkan</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50963-2021</t>
        </is>
      </c>
      <c r="B5137" s="1" t="n">
        <v>44460</v>
      </c>
      <c r="C5137" s="1" t="n">
        <v>46093</v>
      </c>
      <c r="D5137" t="inlineStr">
        <is>
          <t>ÖSTERGÖTLANDS LÄN</t>
        </is>
      </c>
      <c r="E5137" t="inlineStr">
        <is>
          <t>LINKÖPING</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60131-2025</t>
        </is>
      </c>
      <c r="B5138" s="1" t="n">
        <v>45994.34493055556</v>
      </c>
      <c r="C5138" s="1" t="n">
        <v>46093</v>
      </c>
      <c r="D5138" t="inlineStr">
        <is>
          <t>ÖSTERGÖTLANDS LÄN</t>
        </is>
      </c>
      <c r="E5138" t="inlineStr">
        <is>
          <t>YDRE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60135-2025</t>
        </is>
      </c>
      <c r="B5139" s="1" t="n">
        <v>45994.35134259259</v>
      </c>
      <c r="C5139" s="1" t="n">
        <v>46093</v>
      </c>
      <c r="D5139" t="inlineStr">
        <is>
          <t>ÖSTERGÖTLANDS LÄN</t>
        </is>
      </c>
      <c r="E5139" t="inlineStr">
        <is>
          <t>YDRE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60149-2025</t>
        </is>
      </c>
      <c r="B5140" s="1" t="n">
        <v>45994</v>
      </c>
      <c r="C5140" s="1" t="n">
        <v>46093</v>
      </c>
      <c r="D5140" t="inlineStr">
        <is>
          <t>ÖSTERGÖTLANDS LÄN</t>
        </is>
      </c>
      <c r="E5140" t="inlineStr">
        <is>
          <t>YDRE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50510-2024</t>
        </is>
      </c>
      <c r="B5141" s="1" t="n">
        <v>45601.54071759259</v>
      </c>
      <c r="C5141" s="1" t="n">
        <v>46093</v>
      </c>
      <c r="D5141" t="inlineStr">
        <is>
          <t>ÖSTERGÖTLANDS LÄN</t>
        </is>
      </c>
      <c r="E5141" t="inlineStr">
        <is>
          <t>FINSPÅNG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4083-2024</t>
        </is>
      </c>
      <c r="B5142" s="1" t="n">
        <v>45323.61266203703</v>
      </c>
      <c r="C5142" s="1" t="n">
        <v>46093</v>
      </c>
      <c r="D5142" t="inlineStr">
        <is>
          <t>ÖSTERGÖTLANDS LÄN</t>
        </is>
      </c>
      <c r="E5142" t="inlineStr">
        <is>
          <t>FINSPÅNG</t>
        </is>
      </c>
      <c r="F5142" t="inlineStr">
        <is>
          <t>Holmen skog AB</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14485-2023</t>
        </is>
      </c>
      <c r="B5143" s="1" t="n">
        <v>45012</v>
      </c>
      <c r="C5143" s="1" t="n">
        <v>46093</v>
      </c>
      <c r="D5143" t="inlineStr">
        <is>
          <t>ÖSTERGÖTLANDS LÄN</t>
        </is>
      </c>
      <c r="E5143" t="inlineStr">
        <is>
          <t>NORRKÖPING</t>
        </is>
      </c>
      <c r="G5143" t="n">
        <v>9.9</v>
      </c>
      <c r="H5143" t="n">
        <v>0</v>
      </c>
      <c r="I5143" t="n">
        <v>0</v>
      </c>
      <c r="J5143" t="n">
        <v>0</v>
      </c>
      <c r="K5143" t="n">
        <v>0</v>
      </c>
      <c r="L5143" t="n">
        <v>0</v>
      </c>
      <c r="M5143" t="n">
        <v>0</v>
      </c>
      <c r="N5143" t="n">
        <v>0</v>
      </c>
      <c r="O5143" t="n">
        <v>0</v>
      </c>
      <c r="P5143" t="n">
        <v>0</v>
      </c>
      <c r="Q5143" t="n">
        <v>0</v>
      </c>
      <c r="R5143" s="2" t="inlineStr"/>
    </row>
    <row r="5144" ht="15" customHeight="1">
      <c r="A5144" t="inlineStr">
        <is>
          <t>A 51830-2024</t>
        </is>
      </c>
      <c r="B5144" s="1" t="n">
        <v>45607.50465277778</v>
      </c>
      <c r="C5144" s="1" t="n">
        <v>46093</v>
      </c>
      <c r="D5144" t="inlineStr">
        <is>
          <t>ÖSTERGÖTLANDS LÄN</t>
        </is>
      </c>
      <c r="E5144" t="inlineStr">
        <is>
          <t>KINDA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26695-2021</t>
        </is>
      </c>
      <c r="B5145" s="1" t="n">
        <v>44348</v>
      </c>
      <c r="C5145" s="1" t="n">
        <v>46093</v>
      </c>
      <c r="D5145" t="inlineStr">
        <is>
          <t>ÖSTERGÖTLANDS LÄN</t>
        </is>
      </c>
      <c r="E5145" t="inlineStr">
        <is>
          <t>MJÖLBY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10122-2025</t>
        </is>
      </c>
      <c r="B5146" s="1" t="n">
        <v>45719.60188657408</v>
      </c>
      <c r="C5146" s="1" t="n">
        <v>46093</v>
      </c>
      <c r="D5146" t="inlineStr">
        <is>
          <t>ÖSTERGÖTLANDS LÄN</t>
        </is>
      </c>
      <c r="E5146" t="inlineStr">
        <is>
          <t>VALDEMARSVIK</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11944-2024</t>
        </is>
      </c>
      <c r="B5147" s="1" t="n">
        <v>45376.68662037037</v>
      </c>
      <c r="C5147" s="1" t="n">
        <v>46093</v>
      </c>
      <c r="D5147" t="inlineStr">
        <is>
          <t>ÖSTERGÖTLANDS LÄN</t>
        </is>
      </c>
      <c r="E5147" t="inlineStr">
        <is>
          <t>MJÖLBY</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65594-2021</t>
        </is>
      </c>
      <c r="B5148" s="1" t="n">
        <v>44516</v>
      </c>
      <c r="C5148" s="1" t="n">
        <v>46093</v>
      </c>
      <c r="D5148" t="inlineStr">
        <is>
          <t>ÖSTERGÖTLANDS LÄN</t>
        </is>
      </c>
      <c r="E5148" t="inlineStr">
        <is>
          <t>ÅTVIDABERG</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35411-2023</t>
        </is>
      </c>
      <c r="B5149" s="1" t="n">
        <v>45146.60487268519</v>
      </c>
      <c r="C5149" s="1" t="n">
        <v>46093</v>
      </c>
      <c r="D5149" t="inlineStr">
        <is>
          <t>ÖSTERGÖTLANDS LÄN</t>
        </is>
      </c>
      <c r="E5149" t="inlineStr">
        <is>
          <t>ÖDESHÖG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28395-2022</t>
        </is>
      </c>
      <c r="B5150" s="1" t="n">
        <v>44747</v>
      </c>
      <c r="C5150" s="1" t="n">
        <v>46093</v>
      </c>
      <c r="D5150" t="inlineStr">
        <is>
          <t>ÖSTERGÖTLANDS LÄN</t>
        </is>
      </c>
      <c r="E5150" t="inlineStr">
        <is>
          <t>MOTALA</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60521-2025</t>
        </is>
      </c>
      <c r="B5151" s="1" t="n">
        <v>45995.63800925926</v>
      </c>
      <c r="C5151" s="1" t="n">
        <v>46093</v>
      </c>
      <c r="D5151" t="inlineStr">
        <is>
          <t>ÖSTERGÖTLANDS LÄN</t>
        </is>
      </c>
      <c r="E5151" t="inlineStr">
        <is>
          <t>BOXHOLM</t>
        </is>
      </c>
      <c r="F5151" t="inlineStr">
        <is>
          <t>Allmännings- och besparingsskogar</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35209-2023</t>
        </is>
      </c>
      <c r="B5152" s="1" t="n">
        <v>45145</v>
      </c>
      <c r="C5152" s="1" t="n">
        <v>46093</v>
      </c>
      <c r="D5152" t="inlineStr">
        <is>
          <t>ÖSTERGÖTLANDS LÄN</t>
        </is>
      </c>
      <c r="E5152" t="inlineStr">
        <is>
          <t>YDRE</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35213-2023</t>
        </is>
      </c>
      <c r="B5153" s="1" t="n">
        <v>45145.63927083334</v>
      </c>
      <c r="C5153" s="1" t="n">
        <v>46093</v>
      </c>
      <c r="D5153" t="inlineStr">
        <is>
          <t>ÖSTERGÖTLANDS LÄN</t>
        </is>
      </c>
      <c r="E5153" t="inlineStr">
        <is>
          <t>KINDA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30429-2024</t>
        </is>
      </c>
      <c r="B5154" s="1" t="n">
        <v>45491.68972222223</v>
      </c>
      <c r="C5154" s="1" t="n">
        <v>46093</v>
      </c>
      <c r="D5154" t="inlineStr">
        <is>
          <t>ÖSTERGÖTLANDS LÄN</t>
        </is>
      </c>
      <c r="E5154" t="inlineStr">
        <is>
          <t>LINKÖPING</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60577-2025</t>
        </is>
      </c>
      <c r="B5155" s="1" t="n">
        <v>45996.31822916667</v>
      </c>
      <c r="C5155" s="1" t="n">
        <v>46093</v>
      </c>
      <c r="D5155" t="inlineStr">
        <is>
          <t>ÖSTERGÖTLANDS LÄN</t>
        </is>
      </c>
      <c r="E5155" t="inlineStr">
        <is>
          <t>YDRE</t>
        </is>
      </c>
      <c r="F5155" t="inlineStr">
        <is>
          <t>Övriga Aktiebolag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42779-2023</t>
        </is>
      </c>
      <c r="B5156" s="1" t="n">
        <v>45181.79957175926</v>
      </c>
      <c r="C5156" s="1" t="n">
        <v>46093</v>
      </c>
      <c r="D5156" t="inlineStr">
        <is>
          <t>ÖSTERGÖTLANDS LÄN</t>
        </is>
      </c>
      <c r="E5156" t="inlineStr">
        <is>
          <t>FINSPÅNG</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9971-2023</t>
        </is>
      </c>
      <c r="B5157" s="1" t="n">
        <v>44985</v>
      </c>
      <c r="C5157" s="1" t="n">
        <v>46093</v>
      </c>
      <c r="D5157" t="inlineStr">
        <is>
          <t>ÖSTERGÖTLANDS LÄN</t>
        </is>
      </c>
      <c r="E5157" t="inlineStr">
        <is>
          <t>VALDEMARSVIK</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25844-2023</t>
        </is>
      </c>
      <c r="B5158" s="1" t="n">
        <v>45090</v>
      </c>
      <c r="C5158" s="1" t="n">
        <v>46093</v>
      </c>
      <c r="D5158" t="inlineStr">
        <is>
          <t>ÖSTERGÖTLANDS LÄN</t>
        </is>
      </c>
      <c r="E5158" t="inlineStr">
        <is>
          <t>YDRE</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9003-2024</t>
        </is>
      </c>
      <c r="B5159" s="1" t="n">
        <v>45357.56899305555</v>
      </c>
      <c r="C5159" s="1" t="n">
        <v>46093</v>
      </c>
      <c r="D5159" t="inlineStr">
        <is>
          <t>ÖSTERGÖTLANDS LÄN</t>
        </is>
      </c>
      <c r="E5159" t="inlineStr">
        <is>
          <t>FINSPÅNG</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18445-2023</t>
        </is>
      </c>
      <c r="B5160" s="1" t="n">
        <v>45042</v>
      </c>
      <c r="C5160" s="1" t="n">
        <v>46093</v>
      </c>
      <c r="D5160" t="inlineStr">
        <is>
          <t>ÖSTERGÖTLANDS LÄN</t>
        </is>
      </c>
      <c r="E5160" t="inlineStr">
        <is>
          <t>FINSPÅNG</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23742-2023</t>
        </is>
      </c>
      <c r="B5161" s="1" t="n">
        <v>45077.77979166667</v>
      </c>
      <c r="C5161" s="1" t="n">
        <v>46093</v>
      </c>
      <c r="D5161" t="inlineStr">
        <is>
          <t>ÖSTERGÖTLANDS LÄN</t>
        </is>
      </c>
      <c r="E5161" t="inlineStr">
        <is>
          <t>ÅTVIDABERG</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36730-2023</t>
        </is>
      </c>
      <c r="B5162" s="1" t="n">
        <v>45153</v>
      </c>
      <c r="C5162" s="1" t="n">
        <v>46093</v>
      </c>
      <c r="D5162" t="inlineStr">
        <is>
          <t>ÖSTERGÖTLANDS LÄN</t>
        </is>
      </c>
      <c r="E5162" t="inlineStr">
        <is>
          <t>ÖDESHÖG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71098-2021</t>
        </is>
      </c>
      <c r="B5163" s="1" t="n">
        <v>44539.34103009259</v>
      </c>
      <c r="C5163" s="1" t="n">
        <v>46093</v>
      </c>
      <c r="D5163" t="inlineStr">
        <is>
          <t>ÖSTERGÖTLANDS LÄN</t>
        </is>
      </c>
      <c r="E5163" t="inlineStr">
        <is>
          <t>KINDA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45821-2024</t>
        </is>
      </c>
      <c r="B5164" s="1" t="n">
        <v>45579.75803240741</v>
      </c>
      <c r="C5164" s="1" t="n">
        <v>46093</v>
      </c>
      <c r="D5164" t="inlineStr">
        <is>
          <t>ÖSTERGÖTLANDS LÄN</t>
        </is>
      </c>
      <c r="E5164" t="inlineStr">
        <is>
          <t>LINKÖPING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33735-2023</t>
        </is>
      </c>
      <c r="B5165" s="1" t="n">
        <v>45119</v>
      </c>
      <c r="C5165" s="1" t="n">
        <v>46093</v>
      </c>
      <c r="D5165" t="inlineStr">
        <is>
          <t>ÖSTERGÖTLANDS LÄN</t>
        </is>
      </c>
      <c r="E5165" t="inlineStr">
        <is>
          <t>SÖDERKÖPING</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17559-2025</t>
        </is>
      </c>
      <c r="B5166" s="1" t="n">
        <v>45757.6337037037</v>
      </c>
      <c r="C5166" s="1" t="n">
        <v>46093</v>
      </c>
      <c r="D5166" t="inlineStr">
        <is>
          <t>ÖSTERGÖTLANDS LÄN</t>
        </is>
      </c>
      <c r="E5166" t="inlineStr">
        <is>
          <t>YDRE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14329-2022</t>
        </is>
      </c>
      <c r="B5167" s="1" t="n">
        <v>44652</v>
      </c>
      <c r="C5167" s="1" t="n">
        <v>46093</v>
      </c>
      <c r="D5167" t="inlineStr">
        <is>
          <t>ÖSTERGÖTLANDS LÄN</t>
        </is>
      </c>
      <c r="E5167" t="inlineStr">
        <is>
          <t>NORRKÖPING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20587-2024</t>
        </is>
      </c>
      <c r="B5168" s="1" t="n">
        <v>45436.41847222222</v>
      </c>
      <c r="C5168" s="1" t="n">
        <v>46093</v>
      </c>
      <c r="D5168" t="inlineStr">
        <is>
          <t>ÖSTERGÖTLANDS LÄN</t>
        </is>
      </c>
      <c r="E5168" t="inlineStr">
        <is>
          <t>NORRKÖPING</t>
        </is>
      </c>
      <c r="F5168" t="inlineStr">
        <is>
          <t>Holmen skog AB</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43369-2023</t>
        </is>
      </c>
      <c r="B5169" s="1" t="n">
        <v>45183.73969907407</v>
      </c>
      <c r="C5169" s="1" t="n">
        <v>46093</v>
      </c>
      <c r="D5169" t="inlineStr">
        <is>
          <t>ÖSTERGÖTLANDS LÄN</t>
        </is>
      </c>
      <c r="E5169" t="inlineStr">
        <is>
          <t>MOTALA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50992-2023</t>
        </is>
      </c>
      <c r="B5170" s="1" t="n">
        <v>45218</v>
      </c>
      <c r="C5170" s="1" t="n">
        <v>46093</v>
      </c>
      <c r="D5170" t="inlineStr">
        <is>
          <t>ÖSTERGÖTLANDS LÄN</t>
        </is>
      </c>
      <c r="E5170" t="inlineStr">
        <is>
          <t>VALDEMARSVIK</t>
        </is>
      </c>
      <c r="F5170" t="inlineStr">
        <is>
          <t>Holmen skog AB</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11035-2025</t>
        </is>
      </c>
      <c r="B5171" s="1" t="n">
        <v>45723.47864583333</v>
      </c>
      <c r="C5171" s="1" t="n">
        <v>46093</v>
      </c>
      <c r="D5171" t="inlineStr">
        <is>
          <t>ÖSTERGÖTLANDS LÄN</t>
        </is>
      </c>
      <c r="E5171" t="inlineStr">
        <is>
          <t>FINSPÅNG</t>
        </is>
      </c>
      <c r="F5171" t="inlineStr">
        <is>
          <t>Holmen skog AB</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7216-2023</t>
        </is>
      </c>
      <c r="B5172" s="1" t="n">
        <v>44970.57682870371</v>
      </c>
      <c r="C5172" s="1" t="n">
        <v>46093</v>
      </c>
      <c r="D5172" t="inlineStr">
        <is>
          <t>ÖSTERGÖTLANDS LÄN</t>
        </is>
      </c>
      <c r="E5172" t="inlineStr">
        <is>
          <t>KINDA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44502-2023</t>
        </is>
      </c>
      <c r="B5173" s="1" t="n">
        <v>45184</v>
      </c>
      <c r="C5173" s="1" t="n">
        <v>46093</v>
      </c>
      <c r="D5173" t="inlineStr">
        <is>
          <t>ÖSTERGÖTLANDS LÄN</t>
        </is>
      </c>
      <c r="E5173" t="inlineStr">
        <is>
          <t>ÅTVIDABERG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56309-2022</t>
        </is>
      </c>
      <c r="B5174" s="1" t="n">
        <v>44887</v>
      </c>
      <c r="C5174" s="1" t="n">
        <v>46093</v>
      </c>
      <c r="D5174" t="inlineStr">
        <is>
          <t>ÖSTERGÖTLANDS LÄN</t>
        </is>
      </c>
      <c r="E5174" t="inlineStr">
        <is>
          <t>FINSPÅNG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41-2025</t>
        </is>
      </c>
      <c r="B5175" s="1" t="n">
        <v>45659.34769675926</v>
      </c>
      <c r="C5175" s="1" t="n">
        <v>46093</v>
      </c>
      <c r="D5175" t="inlineStr">
        <is>
          <t>ÖSTERGÖTLANDS LÄN</t>
        </is>
      </c>
      <c r="E5175" t="inlineStr">
        <is>
          <t>MOTALA</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3734-2025</t>
        </is>
      </c>
      <c r="B5176" s="1" t="n">
        <v>45681.56399305556</v>
      </c>
      <c r="C5176" s="1" t="n">
        <v>46093</v>
      </c>
      <c r="D5176" t="inlineStr">
        <is>
          <t>ÖSTERGÖTLANDS LÄN</t>
        </is>
      </c>
      <c r="E5176" t="inlineStr">
        <is>
          <t>FINSPÅNG</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41527-2024</t>
        </is>
      </c>
      <c r="B5177" s="1" t="n">
        <v>45560</v>
      </c>
      <c r="C5177" s="1" t="n">
        <v>46093</v>
      </c>
      <c r="D5177" t="inlineStr">
        <is>
          <t>ÖSTERGÖTLANDS LÄN</t>
        </is>
      </c>
      <c r="E5177" t="inlineStr">
        <is>
          <t>FINSPÅNG</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60547-2023</t>
        </is>
      </c>
      <c r="B5178" s="1" t="n">
        <v>45259</v>
      </c>
      <c r="C5178" s="1" t="n">
        <v>46093</v>
      </c>
      <c r="D5178" t="inlineStr">
        <is>
          <t>ÖSTERGÖTLANDS LÄN</t>
        </is>
      </c>
      <c r="E5178" t="inlineStr">
        <is>
          <t>FINSPÅNG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17359-2025</t>
        </is>
      </c>
      <c r="B5179" s="1" t="n">
        <v>45756</v>
      </c>
      <c r="C5179" s="1" t="n">
        <v>46093</v>
      </c>
      <c r="D5179" t="inlineStr">
        <is>
          <t>ÖSTERGÖTLANDS LÄN</t>
        </is>
      </c>
      <c r="E5179" t="inlineStr">
        <is>
          <t>SÖDERKÖPING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14180-2025</t>
        </is>
      </c>
      <c r="B5180" s="1" t="n">
        <v>45740.53533564815</v>
      </c>
      <c r="C5180" s="1" t="n">
        <v>46093</v>
      </c>
      <c r="D5180" t="inlineStr">
        <is>
          <t>ÖSTERGÖTLANDS LÄN</t>
        </is>
      </c>
      <c r="E5180" t="inlineStr">
        <is>
          <t>ÅTVIDABERG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17765-2025</t>
        </is>
      </c>
      <c r="B5181" s="1" t="n">
        <v>45758.50152777778</v>
      </c>
      <c r="C5181" s="1" t="n">
        <v>46093</v>
      </c>
      <c r="D5181" t="inlineStr">
        <is>
          <t>ÖSTERGÖTLANDS LÄN</t>
        </is>
      </c>
      <c r="E5181" t="inlineStr">
        <is>
          <t>ÅTVIDABERG</t>
        </is>
      </c>
      <c r="G5181" t="n">
        <v>11.7</v>
      </c>
      <c r="H5181" t="n">
        <v>0</v>
      </c>
      <c r="I5181" t="n">
        <v>0</v>
      </c>
      <c r="J5181" t="n">
        <v>0</v>
      </c>
      <c r="K5181" t="n">
        <v>0</v>
      </c>
      <c r="L5181" t="n">
        <v>0</v>
      </c>
      <c r="M5181" t="n">
        <v>0</v>
      </c>
      <c r="N5181" t="n">
        <v>0</v>
      </c>
      <c r="O5181" t="n">
        <v>0</v>
      </c>
      <c r="P5181" t="n">
        <v>0</v>
      </c>
      <c r="Q5181" t="n">
        <v>0</v>
      </c>
      <c r="R5181" s="2" t="inlineStr"/>
    </row>
    <row r="5182" ht="15" customHeight="1">
      <c r="A5182" t="inlineStr">
        <is>
          <t>A 41819-2023</t>
        </is>
      </c>
      <c r="B5182" s="1" t="n">
        <v>45176.56298611111</v>
      </c>
      <c r="C5182" s="1" t="n">
        <v>46093</v>
      </c>
      <c r="D5182" t="inlineStr">
        <is>
          <t>ÖSTERGÖTLANDS LÄN</t>
        </is>
      </c>
      <c r="E5182" t="inlineStr">
        <is>
          <t>MJÖLBY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17770-2025</t>
        </is>
      </c>
      <c r="B5183" s="1" t="n">
        <v>45758.50716435185</v>
      </c>
      <c r="C5183" s="1" t="n">
        <v>46093</v>
      </c>
      <c r="D5183" t="inlineStr">
        <is>
          <t>ÖSTERGÖTLANDS LÄN</t>
        </is>
      </c>
      <c r="E5183" t="inlineStr">
        <is>
          <t>ÅTVIDABERG</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17666-2025</t>
        </is>
      </c>
      <c r="B5184" s="1" t="n">
        <v>45758.36324074074</v>
      </c>
      <c r="C5184" s="1" t="n">
        <v>46093</v>
      </c>
      <c r="D5184" t="inlineStr">
        <is>
          <t>ÖSTERGÖTLANDS LÄN</t>
        </is>
      </c>
      <c r="E5184" t="inlineStr">
        <is>
          <t>KINDA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57349-2023</t>
        </is>
      </c>
      <c r="B5185" s="1" t="n">
        <v>45245</v>
      </c>
      <c r="C5185" s="1" t="n">
        <v>46093</v>
      </c>
      <c r="D5185" t="inlineStr">
        <is>
          <t>ÖSTERGÖTLANDS LÄN</t>
        </is>
      </c>
      <c r="E5185" t="inlineStr">
        <is>
          <t>SÖDERKÖPING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59808-2023</t>
        </is>
      </c>
      <c r="B5186" s="1" t="n">
        <v>45257.48733796296</v>
      </c>
      <c r="C5186" s="1" t="n">
        <v>46093</v>
      </c>
      <c r="D5186" t="inlineStr">
        <is>
          <t>ÖSTERGÖTLANDS LÄN</t>
        </is>
      </c>
      <c r="E5186" t="inlineStr">
        <is>
          <t>FINSPÅNG</t>
        </is>
      </c>
      <c r="F5186" t="inlineStr">
        <is>
          <t>Holmen skog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52731-2023</t>
        </is>
      </c>
      <c r="B5187" s="1" t="n">
        <v>45225.94203703704</v>
      </c>
      <c r="C5187" s="1" t="n">
        <v>46093</v>
      </c>
      <c r="D5187" t="inlineStr">
        <is>
          <t>ÖSTERGÖTLANDS LÄN</t>
        </is>
      </c>
      <c r="E5187" t="inlineStr">
        <is>
          <t>FINSPÅNG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30435-2024</t>
        </is>
      </c>
      <c r="B5188" s="1" t="n">
        <v>45491.69962962963</v>
      </c>
      <c r="C5188" s="1" t="n">
        <v>46093</v>
      </c>
      <c r="D5188" t="inlineStr">
        <is>
          <t>ÖSTERGÖTLANDS LÄN</t>
        </is>
      </c>
      <c r="E5188" t="inlineStr">
        <is>
          <t>LINKÖPING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61936-2023</t>
        </is>
      </c>
      <c r="B5189" s="1" t="n">
        <v>45266.54534722222</v>
      </c>
      <c r="C5189" s="1" t="n">
        <v>46093</v>
      </c>
      <c r="D5189" t="inlineStr">
        <is>
          <t>ÖSTERGÖTLANDS LÄN</t>
        </is>
      </c>
      <c r="E5189" t="inlineStr">
        <is>
          <t>LINKÖPING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59125-2022</t>
        </is>
      </c>
      <c r="B5190" s="1" t="n">
        <v>44904</v>
      </c>
      <c r="C5190" s="1" t="n">
        <v>46093</v>
      </c>
      <c r="D5190" t="inlineStr">
        <is>
          <t>ÖSTERGÖTLANDS LÄN</t>
        </is>
      </c>
      <c r="E5190" t="inlineStr">
        <is>
          <t>BOXHOLM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1263-2024</t>
        </is>
      </c>
      <c r="B5191" s="1" t="n">
        <v>45302</v>
      </c>
      <c r="C5191" s="1" t="n">
        <v>46093</v>
      </c>
      <c r="D5191" t="inlineStr">
        <is>
          <t>ÖSTERGÖTLANDS LÄN</t>
        </is>
      </c>
      <c r="E5191" t="inlineStr">
        <is>
          <t>LINKÖPING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41561-2024</t>
        </is>
      </c>
      <c r="B5192" s="1" t="n">
        <v>45560</v>
      </c>
      <c r="C5192" s="1" t="n">
        <v>46093</v>
      </c>
      <c r="D5192" t="inlineStr">
        <is>
          <t>ÖSTERGÖTLANDS LÄN</t>
        </is>
      </c>
      <c r="E5192" t="inlineStr">
        <is>
          <t>FINSPÅNG</t>
        </is>
      </c>
      <c r="F5192" t="inlineStr">
        <is>
          <t>Holmen skog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7902-2025</t>
        </is>
      </c>
      <c r="B5193" s="1" t="n">
        <v>45707</v>
      </c>
      <c r="C5193" s="1" t="n">
        <v>46093</v>
      </c>
      <c r="D5193" t="inlineStr">
        <is>
          <t>ÖSTERGÖTLANDS LÄN</t>
        </is>
      </c>
      <c r="E5193" t="inlineStr">
        <is>
          <t>SÖDERKÖPING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26638-2023</t>
        </is>
      </c>
      <c r="B5194" s="1" t="n">
        <v>45092</v>
      </c>
      <c r="C5194" s="1" t="n">
        <v>46093</v>
      </c>
      <c r="D5194" t="inlineStr">
        <is>
          <t>ÖSTERGÖTLANDS LÄN</t>
        </is>
      </c>
      <c r="E5194" t="inlineStr">
        <is>
          <t>BOXHOLM</t>
        </is>
      </c>
      <c r="F5194" t="inlineStr">
        <is>
          <t>Allmännings- och besparingsskogar</t>
        </is>
      </c>
      <c r="G5194" t="n">
        <v>8.4</v>
      </c>
      <c r="H5194" t="n">
        <v>0</v>
      </c>
      <c r="I5194" t="n">
        <v>0</v>
      </c>
      <c r="J5194" t="n">
        <v>0</v>
      </c>
      <c r="K5194" t="n">
        <v>0</v>
      </c>
      <c r="L5194" t="n">
        <v>0</v>
      </c>
      <c r="M5194" t="n">
        <v>0</v>
      </c>
      <c r="N5194" t="n">
        <v>0</v>
      </c>
      <c r="O5194" t="n">
        <v>0</v>
      </c>
      <c r="P5194" t="n">
        <v>0</v>
      </c>
      <c r="Q5194" t="n">
        <v>0</v>
      </c>
      <c r="R5194" s="2" t="inlineStr"/>
    </row>
    <row r="5195" ht="15" customHeight="1">
      <c r="A5195" t="inlineStr">
        <is>
          <t>A 32630-2022</t>
        </is>
      </c>
      <c r="B5195" s="1" t="n">
        <v>44783</v>
      </c>
      <c r="C5195" s="1" t="n">
        <v>46093</v>
      </c>
      <c r="D5195" t="inlineStr">
        <is>
          <t>ÖSTERGÖTLANDS LÄN</t>
        </is>
      </c>
      <c r="E5195" t="inlineStr">
        <is>
          <t>NORRKÖPING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60703-2025</t>
        </is>
      </c>
      <c r="B5196" s="1" t="n">
        <v>45996.6052662037</v>
      </c>
      <c r="C5196" s="1" t="n">
        <v>46093</v>
      </c>
      <c r="D5196" t="inlineStr">
        <is>
          <t>ÖSTERGÖTLANDS LÄN</t>
        </is>
      </c>
      <c r="E5196" t="inlineStr">
        <is>
          <t>LINKÖPING</t>
        </is>
      </c>
      <c r="F5196" t="inlineStr">
        <is>
          <t>Övriga Aktiebolag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53816-2023</t>
        </is>
      </c>
      <c r="B5197" s="1" t="n">
        <v>45231.40012731482</v>
      </c>
      <c r="C5197" s="1" t="n">
        <v>46093</v>
      </c>
      <c r="D5197" t="inlineStr">
        <is>
          <t>ÖSTERGÖTLANDS LÄN</t>
        </is>
      </c>
      <c r="E5197" t="inlineStr">
        <is>
          <t>LINKÖPING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23462-2023</t>
        </is>
      </c>
      <c r="B5198" s="1" t="n">
        <v>45076</v>
      </c>
      <c r="C5198" s="1" t="n">
        <v>46093</v>
      </c>
      <c r="D5198" t="inlineStr">
        <is>
          <t>ÖSTERGÖTLANDS LÄN</t>
        </is>
      </c>
      <c r="E5198" t="inlineStr">
        <is>
          <t>NORRKÖPING</t>
        </is>
      </c>
      <c r="F5198" t="inlineStr">
        <is>
          <t>Holmen skog AB</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60666-2025</t>
        </is>
      </c>
      <c r="B5199" s="1" t="n">
        <v>45996.51731481482</v>
      </c>
      <c r="C5199" s="1" t="n">
        <v>46093</v>
      </c>
      <c r="D5199" t="inlineStr">
        <is>
          <t>ÖSTERGÖTLANDS LÄN</t>
        </is>
      </c>
      <c r="E5199" t="inlineStr">
        <is>
          <t>FINSPÅNG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26939-2023</t>
        </is>
      </c>
      <c r="B5200" s="1" t="n">
        <v>45093</v>
      </c>
      <c r="C5200" s="1" t="n">
        <v>46093</v>
      </c>
      <c r="D5200" t="inlineStr">
        <is>
          <t>ÖSTERGÖTLANDS LÄN</t>
        </is>
      </c>
      <c r="E5200" t="inlineStr">
        <is>
          <t>VALDEMARSVIK</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36557-2023</t>
        </is>
      </c>
      <c r="B5201" s="1" t="n">
        <v>45153</v>
      </c>
      <c r="C5201" s="1" t="n">
        <v>46093</v>
      </c>
      <c r="D5201" t="inlineStr">
        <is>
          <t>ÖSTERGÖTLANDS LÄN</t>
        </is>
      </c>
      <c r="E5201" t="inlineStr">
        <is>
          <t>LINKÖPING</t>
        </is>
      </c>
      <c r="F5201" t="inlineStr">
        <is>
          <t>Övriga Aktiebolag</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28824-2023</t>
        </is>
      </c>
      <c r="B5202" s="1" t="n">
        <v>45104.38790509259</v>
      </c>
      <c r="C5202" s="1" t="n">
        <v>46093</v>
      </c>
      <c r="D5202" t="inlineStr">
        <is>
          <t>ÖSTERGÖTLANDS LÄN</t>
        </is>
      </c>
      <c r="E5202" t="inlineStr">
        <is>
          <t>ÅTVIDABERG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24454-2023</t>
        </is>
      </c>
      <c r="B5203" s="1" t="n">
        <v>45082.55885416667</v>
      </c>
      <c r="C5203" s="1" t="n">
        <v>46093</v>
      </c>
      <c r="D5203" t="inlineStr">
        <is>
          <t>ÖSTERGÖTLANDS LÄN</t>
        </is>
      </c>
      <c r="E5203" t="inlineStr">
        <is>
          <t>KINDA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24458-2023</t>
        </is>
      </c>
      <c r="B5204" s="1" t="n">
        <v>45082.57385416667</v>
      </c>
      <c r="C5204" s="1" t="n">
        <v>46093</v>
      </c>
      <c r="D5204" t="inlineStr">
        <is>
          <t>ÖSTERGÖTLANDS LÄN</t>
        </is>
      </c>
      <c r="E5204" t="inlineStr">
        <is>
          <t>FINSPÅNG</t>
        </is>
      </c>
      <c r="F5204" t="inlineStr">
        <is>
          <t>Holmen skog AB</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24464-2023</t>
        </is>
      </c>
      <c r="B5205" s="1" t="n">
        <v>45082.58068287037</v>
      </c>
      <c r="C5205" s="1" t="n">
        <v>46093</v>
      </c>
      <c r="D5205" t="inlineStr">
        <is>
          <t>ÖSTERGÖTLANDS LÄN</t>
        </is>
      </c>
      <c r="E5205" t="inlineStr">
        <is>
          <t>LINKÖPING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6599-2023</t>
        </is>
      </c>
      <c r="B5206" s="1" t="n">
        <v>44966.52603009259</v>
      </c>
      <c r="C5206" s="1" t="n">
        <v>46093</v>
      </c>
      <c r="D5206" t="inlineStr">
        <is>
          <t>ÖSTERGÖTLANDS LÄN</t>
        </is>
      </c>
      <c r="E5206" t="inlineStr">
        <is>
          <t>LINKÖPING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63585-2023</t>
        </is>
      </c>
      <c r="B5207" s="1" t="n">
        <v>45275.41934027777</v>
      </c>
      <c r="C5207" s="1" t="n">
        <v>46093</v>
      </c>
      <c r="D5207" t="inlineStr">
        <is>
          <t>ÖSTERGÖTLANDS LÄN</t>
        </is>
      </c>
      <c r="E5207" t="inlineStr">
        <is>
          <t>FINSPÅNG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25678-2024</t>
        </is>
      </c>
      <c r="B5208" s="1" t="n">
        <v>45463.79037037037</v>
      </c>
      <c r="C5208" s="1" t="n">
        <v>46093</v>
      </c>
      <c r="D5208" t="inlineStr">
        <is>
          <t>ÖSTERGÖTLANDS LÄN</t>
        </is>
      </c>
      <c r="E5208" t="inlineStr">
        <is>
          <t>FINSPÅNG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43473-2024</t>
        </is>
      </c>
      <c r="B5209" s="1" t="n">
        <v>45568</v>
      </c>
      <c r="C5209" s="1" t="n">
        <v>46093</v>
      </c>
      <c r="D5209" t="inlineStr">
        <is>
          <t>ÖSTERGÖTLANDS LÄN</t>
        </is>
      </c>
      <c r="E5209" t="inlineStr">
        <is>
          <t>LINKÖPING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43509-2024</t>
        </is>
      </c>
      <c r="B5210" s="1" t="n">
        <v>45569.31166666667</v>
      </c>
      <c r="C5210" s="1" t="n">
        <v>46093</v>
      </c>
      <c r="D5210" t="inlineStr">
        <is>
          <t>ÖSTERGÖTLANDS LÄN</t>
        </is>
      </c>
      <c r="E5210" t="inlineStr">
        <is>
          <t>VALDEMARSVIK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60638-2025</t>
        </is>
      </c>
      <c r="B5211" s="1" t="n">
        <v>45996.43736111111</v>
      </c>
      <c r="C5211" s="1" t="n">
        <v>46093</v>
      </c>
      <c r="D5211" t="inlineStr">
        <is>
          <t>ÖSTERGÖTLANDS LÄN</t>
        </is>
      </c>
      <c r="E5211" t="inlineStr">
        <is>
          <t>BOXHOLM</t>
        </is>
      </c>
      <c r="F5211" t="inlineStr">
        <is>
          <t>Övriga Aktiebolag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17937-2023</t>
        </is>
      </c>
      <c r="B5212" s="1" t="n">
        <v>45040</v>
      </c>
      <c r="C5212" s="1" t="n">
        <v>46093</v>
      </c>
      <c r="D5212" t="inlineStr">
        <is>
          <t>ÖSTERGÖTLANDS LÄN</t>
        </is>
      </c>
      <c r="E5212" t="inlineStr">
        <is>
          <t>VALDEMARSVIK</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50082-2022</t>
        </is>
      </c>
      <c r="B5213" s="1" t="n">
        <v>44865</v>
      </c>
      <c r="C5213" s="1" t="n">
        <v>46093</v>
      </c>
      <c r="D5213" t="inlineStr">
        <is>
          <t>ÖSTERGÖTLANDS LÄN</t>
        </is>
      </c>
      <c r="E5213" t="inlineStr">
        <is>
          <t>MOTALA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28878-2023</t>
        </is>
      </c>
      <c r="B5214" s="1" t="n">
        <v>45104</v>
      </c>
      <c r="C5214" s="1" t="n">
        <v>46093</v>
      </c>
      <c r="D5214" t="inlineStr">
        <is>
          <t>ÖSTERGÖTLANDS LÄN</t>
        </is>
      </c>
      <c r="E5214" t="inlineStr">
        <is>
          <t>ÅTVIDABERG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60062-2024</t>
        </is>
      </c>
      <c r="B5215" s="1" t="n">
        <v>45642.49179398148</v>
      </c>
      <c r="C5215" s="1" t="n">
        <v>46093</v>
      </c>
      <c r="D5215" t="inlineStr">
        <is>
          <t>ÖSTERGÖTLANDS LÄN</t>
        </is>
      </c>
      <c r="E5215" t="inlineStr">
        <is>
          <t>YDRE</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4001-2025</t>
        </is>
      </c>
      <c r="B5216" s="1" t="n">
        <v>45684.57195601852</v>
      </c>
      <c r="C5216" s="1" t="n">
        <v>46093</v>
      </c>
      <c r="D5216" t="inlineStr">
        <is>
          <t>ÖSTERGÖTLANDS LÄN</t>
        </is>
      </c>
      <c r="E5216" t="inlineStr">
        <is>
          <t>KINDA</t>
        </is>
      </c>
      <c r="G5216" t="n">
        <v>10.7</v>
      </c>
      <c r="H5216" t="n">
        <v>0</v>
      </c>
      <c r="I5216" t="n">
        <v>0</v>
      </c>
      <c r="J5216" t="n">
        <v>0</v>
      </c>
      <c r="K5216" t="n">
        <v>0</v>
      </c>
      <c r="L5216" t="n">
        <v>0</v>
      </c>
      <c r="M5216" t="n">
        <v>0</v>
      </c>
      <c r="N5216" t="n">
        <v>0</v>
      </c>
      <c r="O5216" t="n">
        <v>0</v>
      </c>
      <c r="P5216" t="n">
        <v>0</v>
      </c>
      <c r="Q5216" t="n">
        <v>0</v>
      </c>
      <c r="R5216" s="2" t="inlineStr"/>
    </row>
    <row r="5217" ht="15" customHeight="1">
      <c r="A5217" t="inlineStr">
        <is>
          <t>A 57455-2021</t>
        </is>
      </c>
      <c r="B5217" s="1" t="n">
        <v>44483.65453703704</v>
      </c>
      <c r="C5217" s="1" t="n">
        <v>46093</v>
      </c>
      <c r="D5217" t="inlineStr">
        <is>
          <t>ÖSTERGÖTLANDS LÄN</t>
        </is>
      </c>
      <c r="E5217" t="inlineStr">
        <is>
          <t>KINDA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11785-2023</t>
        </is>
      </c>
      <c r="B5218" s="1" t="n">
        <v>44994.65613425926</v>
      </c>
      <c r="C5218" s="1" t="n">
        <v>46093</v>
      </c>
      <c r="D5218" t="inlineStr">
        <is>
          <t>ÖSTERGÖTLANDS LÄN</t>
        </is>
      </c>
      <c r="E5218" t="inlineStr">
        <is>
          <t>YDRE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26338-2023</t>
        </is>
      </c>
      <c r="B5219" s="1" t="n">
        <v>45091.86737268518</v>
      </c>
      <c r="C5219" s="1" t="n">
        <v>46093</v>
      </c>
      <c r="D5219" t="inlineStr">
        <is>
          <t>ÖSTERGÖTLANDS LÄN</t>
        </is>
      </c>
      <c r="E5219" t="inlineStr">
        <is>
          <t>MOTALA</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4367-2025</t>
        </is>
      </c>
      <c r="B5220" s="1" t="n">
        <v>45685</v>
      </c>
      <c r="C5220" s="1" t="n">
        <v>46093</v>
      </c>
      <c r="D5220" t="inlineStr">
        <is>
          <t>ÖSTERGÖTLANDS LÄN</t>
        </is>
      </c>
      <c r="E5220" t="inlineStr">
        <is>
          <t>SÖDERKÖPING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66075-2021</t>
        </is>
      </c>
      <c r="B5221" s="1" t="n">
        <v>44517</v>
      </c>
      <c r="C5221" s="1" t="n">
        <v>46093</v>
      </c>
      <c r="D5221" t="inlineStr">
        <is>
          <t>ÖSTERGÖTLANDS LÄN</t>
        </is>
      </c>
      <c r="E5221" t="inlineStr">
        <is>
          <t>SÖDERKÖPING</t>
        </is>
      </c>
      <c r="F5221" t="inlineStr">
        <is>
          <t>Kyrkan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15538-2025</t>
        </is>
      </c>
      <c r="B5222" s="1" t="n">
        <v>45747.64530092593</v>
      </c>
      <c r="C5222" s="1" t="n">
        <v>46093</v>
      </c>
      <c r="D5222" t="inlineStr">
        <is>
          <t>ÖSTERGÖTLANDS LÄN</t>
        </is>
      </c>
      <c r="E5222" t="inlineStr">
        <is>
          <t>ÅTVIDABERG</t>
        </is>
      </c>
      <c r="F5222" t="inlineStr">
        <is>
          <t>Sveaskog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11950-2023</t>
        </is>
      </c>
      <c r="B5223" s="1" t="n">
        <v>44995</v>
      </c>
      <c r="C5223" s="1" t="n">
        <v>46093</v>
      </c>
      <c r="D5223" t="inlineStr">
        <is>
          <t>ÖSTERGÖTLANDS LÄN</t>
        </is>
      </c>
      <c r="E5223" t="inlineStr">
        <is>
          <t>FINSPÅNG</t>
        </is>
      </c>
      <c r="F5223" t="inlineStr">
        <is>
          <t>Holmen skog AB</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66100-2021</t>
        </is>
      </c>
      <c r="B5224" s="1" t="n">
        <v>44517</v>
      </c>
      <c r="C5224" s="1" t="n">
        <v>46093</v>
      </c>
      <c r="D5224" t="inlineStr">
        <is>
          <t>ÖSTERGÖTLANDS LÄN</t>
        </is>
      </c>
      <c r="E5224" t="inlineStr">
        <is>
          <t>KINDA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15779-2024</t>
        </is>
      </c>
      <c r="B5225" s="1" t="n">
        <v>45404.60186342592</v>
      </c>
      <c r="C5225" s="1" t="n">
        <v>46093</v>
      </c>
      <c r="D5225" t="inlineStr">
        <is>
          <t>ÖSTERGÖTLANDS LÄN</t>
        </is>
      </c>
      <c r="E5225" t="inlineStr">
        <is>
          <t>VALDEMARSVIK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2852-2025</t>
        </is>
      </c>
      <c r="B5226" s="1" t="n">
        <v>45677.65697916667</v>
      </c>
      <c r="C5226" s="1" t="n">
        <v>46093</v>
      </c>
      <c r="D5226" t="inlineStr">
        <is>
          <t>ÖSTERGÖTLANDS LÄN</t>
        </is>
      </c>
      <c r="E5226" t="inlineStr">
        <is>
          <t>FINSPÅNG</t>
        </is>
      </c>
      <c r="F5226" t="inlineStr">
        <is>
          <t>Holmen skog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28556-2023</t>
        </is>
      </c>
      <c r="B5227" s="1" t="n">
        <v>45103.51917824074</v>
      </c>
      <c r="C5227" s="1" t="n">
        <v>46093</v>
      </c>
      <c r="D5227" t="inlineStr">
        <is>
          <t>ÖSTERGÖTLANDS LÄN</t>
        </is>
      </c>
      <c r="E5227" t="inlineStr">
        <is>
          <t>FINSPÅNG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36110-2023</t>
        </is>
      </c>
      <c r="B5228" s="1" t="n">
        <v>45149</v>
      </c>
      <c r="C5228" s="1" t="n">
        <v>46093</v>
      </c>
      <c r="D5228" t="inlineStr">
        <is>
          <t>ÖSTERGÖTLANDS LÄN</t>
        </is>
      </c>
      <c r="E5228" t="inlineStr">
        <is>
          <t>FINSPÅNG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33731-2023</t>
        </is>
      </c>
      <c r="B5229" s="1" t="n">
        <v>45119</v>
      </c>
      <c r="C5229" s="1" t="n">
        <v>46093</v>
      </c>
      <c r="D5229" t="inlineStr">
        <is>
          <t>ÖSTERGÖTLANDS LÄN</t>
        </is>
      </c>
      <c r="E5229" t="inlineStr">
        <is>
          <t>SÖDERKÖPING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33733-2023</t>
        </is>
      </c>
      <c r="B5230" s="1" t="n">
        <v>45119</v>
      </c>
      <c r="C5230" s="1" t="n">
        <v>46093</v>
      </c>
      <c r="D5230" t="inlineStr">
        <is>
          <t>ÖSTERGÖTLANDS LÄN</t>
        </is>
      </c>
      <c r="E5230" t="inlineStr">
        <is>
          <t>SÖDERKÖPING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5184-2023</t>
        </is>
      </c>
      <c r="B5231" s="1" t="n">
        <v>44959.3233912037</v>
      </c>
      <c r="C5231" s="1" t="n">
        <v>46093</v>
      </c>
      <c r="D5231" t="inlineStr">
        <is>
          <t>ÖSTERGÖTLANDS LÄN</t>
        </is>
      </c>
      <c r="E5231" t="inlineStr">
        <is>
          <t>KINDA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48389-2024</t>
        </is>
      </c>
      <c r="B5232" s="1" t="n">
        <v>45590.59991898148</v>
      </c>
      <c r="C5232" s="1" t="n">
        <v>46093</v>
      </c>
      <c r="D5232" t="inlineStr">
        <is>
          <t>ÖSTERGÖTLANDS LÄN</t>
        </is>
      </c>
      <c r="E5232" t="inlineStr">
        <is>
          <t>LINKÖPING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12564-2025</t>
        </is>
      </c>
      <c r="B5233" s="1" t="n">
        <v>45731.60166666667</v>
      </c>
      <c r="C5233" s="1" t="n">
        <v>46093</v>
      </c>
      <c r="D5233" t="inlineStr">
        <is>
          <t>ÖSTERGÖTLANDS LÄN</t>
        </is>
      </c>
      <c r="E5233" t="inlineStr">
        <is>
          <t>NORRKÖPING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9714-2025</t>
        </is>
      </c>
      <c r="B5234" s="1" t="n">
        <v>45716.39159722222</v>
      </c>
      <c r="C5234" s="1" t="n">
        <v>46093</v>
      </c>
      <c r="D5234" t="inlineStr">
        <is>
          <t>ÖSTERGÖTLANDS LÄN</t>
        </is>
      </c>
      <c r="E5234" t="inlineStr">
        <is>
          <t>NORRKÖPING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61281-2021</t>
        </is>
      </c>
      <c r="B5235" s="1" t="n">
        <v>44498.60736111111</v>
      </c>
      <c r="C5235" s="1" t="n">
        <v>46093</v>
      </c>
      <c r="D5235" t="inlineStr">
        <is>
          <t>ÖSTERGÖTLANDS LÄN</t>
        </is>
      </c>
      <c r="E5235" t="inlineStr">
        <is>
          <t>LINKÖPING</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25729-2023</t>
        </is>
      </c>
      <c r="B5236" s="1" t="n">
        <v>45084</v>
      </c>
      <c r="C5236" s="1" t="n">
        <v>46093</v>
      </c>
      <c r="D5236" t="inlineStr">
        <is>
          <t>ÖSTERGÖTLANDS LÄN</t>
        </is>
      </c>
      <c r="E5236" t="inlineStr">
        <is>
          <t>ÖDESHÖG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31130-2023</t>
        </is>
      </c>
      <c r="B5237" s="1" t="n">
        <v>45113.7019212963</v>
      </c>
      <c r="C5237" s="1" t="n">
        <v>46093</v>
      </c>
      <c r="D5237" t="inlineStr">
        <is>
          <t>ÖSTERGÖTLANDS LÄN</t>
        </is>
      </c>
      <c r="E5237" t="inlineStr">
        <is>
          <t>FINSPÅNG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11699-2024</t>
        </is>
      </c>
      <c r="B5238" s="1" t="n">
        <v>45373.60663194444</v>
      </c>
      <c r="C5238" s="1" t="n">
        <v>46093</v>
      </c>
      <c r="D5238" t="inlineStr">
        <is>
          <t>ÖSTERGÖTLANDS LÄN</t>
        </is>
      </c>
      <c r="E5238" t="inlineStr">
        <is>
          <t>ÖDESHÖG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11704-2024</t>
        </is>
      </c>
      <c r="B5239" s="1" t="n">
        <v>45373.61019675926</v>
      </c>
      <c r="C5239" s="1" t="n">
        <v>46093</v>
      </c>
      <c r="D5239" t="inlineStr">
        <is>
          <t>ÖSTERGÖTLANDS LÄN</t>
        </is>
      </c>
      <c r="E5239" t="inlineStr">
        <is>
          <t>ÖDESHÖG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18055-2025</t>
        </is>
      </c>
      <c r="B5240" s="1" t="n">
        <v>45761.47571759259</v>
      </c>
      <c r="C5240" s="1" t="n">
        <v>46093</v>
      </c>
      <c r="D5240" t="inlineStr">
        <is>
          <t>ÖSTERGÖTLANDS LÄN</t>
        </is>
      </c>
      <c r="E5240" t="inlineStr">
        <is>
          <t>VALDEMARSVIK</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44303-2023</t>
        </is>
      </c>
      <c r="B5241" s="1" t="n">
        <v>45188.64319444444</v>
      </c>
      <c r="C5241" s="1" t="n">
        <v>46093</v>
      </c>
      <c r="D5241" t="inlineStr">
        <is>
          <t>ÖSTERGÖTLANDS LÄN</t>
        </is>
      </c>
      <c r="E5241" t="inlineStr">
        <is>
          <t>KINDA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7750-2025</t>
        </is>
      </c>
      <c r="B5242" s="1" t="n">
        <v>45706.49520833333</v>
      </c>
      <c r="C5242" s="1" t="n">
        <v>46093</v>
      </c>
      <c r="D5242" t="inlineStr">
        <is>
          <t>ÖSTERGÖTLANDS LÄN</t>
        </is>
      </c>
      <c r="E5242" t="inlineStr">
        <is>
          <t>NORRKÖPING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7826-2025</t>
        </is>
      </c>
      <c r="B5243" s="1" t="n">
        <v>45706.64918981482</v>
      </c>
      <c r="C5243" s="1" t="n">
        <v>46093</v>
      </c>
      <c r="D5243" t="inlineStr">
        <is>
          <t>ÖSTERGÖTLANDS LÄN</t>
        </is>
      </c>
      <c r="E5243" t="inlineStr">
        <is>
          <t>FINSPÅNG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19296-2023</t>
        </is>
      </c>
      <c r="B5244" s="1" t="n">
        <v>45048</v>
      </c>
      <c r="C5244" s="1" t="n">
        <v>46093</v>
      </c>
      <c r="D5244" t="inlineStr">
        <is>
          <t>ÖSTERGÖTLANDS LÄN</t>
        </is>
      </c>
      <c r="E5244" t="inlineStr">
        <is>
          <t>KINDA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12091-2023</t>
        </is>
      </c>
      <c r="B5245" s="1" t="n">
        <v>44998</v>
      </c>
      <c r="C5245" s="1" t="n">
        <v>46093</v>
      </c>
      <c r="D5245" t="inlineStr">
        <is>
          <t>ÖSTERGÖTLANDS LÄN</t>
        </is>
      </c>
      <c r="E5245" t="inlineStr">
        <is>
          <t>MOTALA</t>
        </is>
      </c>
      <c r="F5245" t="inlineStr">
        <is>
          <t>Sveaskog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19601-2023</t>
        </is>
      </c>
      <c r="B5246" s="1" t="n">
        <v>45050.91261574074</v>
      </c>
      <c r="C5246" s="1" t="n">
        <v>46093</v>
      </c>
      <c r="D5246" t="inlineStr">
        <is>
          <t>ÖSTERGÖTLANDS LÄN</t>
        </is>
      </c>
      <c r="E5246" t="inlineStr">
        <is>
          <t>BOXHOLM</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11540-2023</t>
        </is>
      </c>
      <c r="B5247" s="1" t="n">
        <v>44993.89005787037</v>
      </c>
      <c r="C5247" s="1" t="n">
        <v>46093</v>
      </c>
      <c r="D5247" t="inlineStr">
        <is>
          <t>ÖSTERGÖTLANDS LÄN</t>
        </is>
      </c>
      <c r="E5247" t="inlineStr">
        <is>
          <t>FINSPÅNG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59462-2025</t>
        </is>
      </c>
      <c r="B5248" s="1" t="n">
        <v>45989</v>
      </c>
      <c r="C5248" s="1" t="n">
        <v>46093</v>
      </c>
      <c r="D5248" t="inlineStr">
        <is>
          <t>ÖSTERGÖTLANDS LÄN</t>
        </is>
      </c>
      <c r="E5248" t="inlineStr">
        <is>
          <t>KINDA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24529-2023</t>
        </is>
      </c>
      <c r="B5249" s="1" t="n">
        <v>45077</v>
      </c>
      <c r="C5249" s="1" t="n">
        <v>46093</v>
      </c>
      <c r="D5249" t="inlineStr">
        <is>
          <t>ÖSTERGÖTLANDS LÄN</t>
        </is>
      </c>
      <c r="E5249" t="inlineStr">
        <is>
          <t>YDRE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61202-2025</t>
        </is>
      </c>
      <c r="B5250" s="1" t="n">
        <v>46000.61194444444</v>
      </c>
      <c r="C5250" s="1" t="n">
        <v>46093</v>
      </c>
      <c r="D5250" t="inlineStr">
        <is>
          <t>ÖSTERGÖTLANDS LÄN</t>
        </is>
      </c>
      <c r="E5250" t="inlineStr">
        <is>
          <t>FINSPÅNG</t>
        </is>
      </c>
      <c r="F5250" t="inlineStr">
        <is>
          <t>Holmen skog AB</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54590-2024</t>
        </is>
      </c>
      <c r="B5251" s="1" t="n">
        <v>45617.66524305556</v>
      </c>
      <c r="C5251" s="1" t="n">
        <v>46093</v>
      </c>
      <c r="D5251" t="inlineStr">
        <is>
          <t>ÖSTERGÖTLANDS LÄN</t>
        </is>
      </c>
      <c r="E5251" t="inlineStr">
        <is>
          <t>ÖDESHÖG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6369-2023</t>
        </is>
      </c>
      <c r="B5252" s="1" t="n">
        <v>44965.61106481482</v>
      </c>
      <c r="C5252" s="1" t="n">
        <v>46093</v>
      </c>
      <c r="D5252" t="inlineStr">
        <is>
          <t>ÖSTERGÖTLANDS LÄN</t>
        </is>
      </c>
      <c r="E5252" t="inlineStr">
        <is>
          <t>LINKÖPING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15069-2025</t>
        </is>
      </c>
      <c r="B5253" s="1" t="n">
        <v>45743.77284722222</v>
      </c>
      <c r="C5253" s="1" t="n">
        <v>46093</v>
      </c>
      <c r="D5253" t="inlineStr">
        <is>
          <t>ÖSTERGÖTLANDS LÄN</t>
        </is>
      </c>
      <c r="E5253" t="inlineStr">
        <is>
          <t>MOTALA</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15123-2025</t>
        </is>
      </c>
      <c r="B5254" s="1" t="n">
        <v>45744</v>
      </c>
      <c r="C5254" s="1" t="n">
        <v>46093</v>
      </c>
      <c r="D5254" t="inlineStr">
        <is>
          <t>ÖSTERGÖTLANDS LÄN</t>
        </is>
      </c>
      <c r="E5254" t="inlineStr">
        <is>
          <t>FINSPÅNG</t>
        </is>
      </c>
      <c r="F5254" t="inlineStr">
        <is>
          <t>Naturvårdsverket</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31313-2024</t>
        </is>
      </c>
      <c r="B5255" s="1" t="n">
        <v>45504</v>
      </c>
      <c r="C5255" s="1" t="n">
        <v>46093</v>
      </c>
      <c r="D5255" t="inlineStr">
        <is>
          <t>ÖSTERGÖTLANDS LÄN</t>
        </is>
      </c>
      <c r="E5255" t="inlineStr">
        <is>
          <t>SÖDERKÖPING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61230-2025</t>
        </is>
      </c>
      <c r="B5256" s="1" t="n">
        <v>46000.63111111111</v>
      </c>
      <c r="C5256" s="1" t="n">
        <v>46093</v>
      </c>
      <c r="D5256" t="inlineStr">
        <is>
          <t>ÖSTERGÖTLANDS LÄN</t>
        </is>
      </c>
      <c r="E5256" t="inlineStr">
        <is>
          <t>LINKÖPING</t>
        </is>
      </c>
      <c r="F5256" t="inlineStr">
        <is>
          <t>Kyrkan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20776-2023</t>
        </is>
      </c>
      <c r="B5257" s="1" t="n">
        <v>45058.5816087963</v>
      </c>
      <c r="C5257" s="1" t="n">
        <v>46093</v>
      </c>
      <c r="D5257" t="inlineStr">
        <is>
          <t>ÖSTERGÖTLANDS LÄN</t>
        </is>
      </c>
      <c r="E5257" t="inlineStr">
        <is>
          <t>SÖDERKÖPING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50883-2024</t>
        </is>
      </c>
      <c r="B5258" s="1" t="n">
        <v>45602.65869212963</v>
      </c>
      <c r="C5258" s="1" t="n">
        <v>46093</v>
      </c>
      <c r="D5258" t="inlineStr">
        <is>
          <t>ÖSTERGÖTLANDS LÄN</t>
        </is>
      </c>
      <c r="E5258" t="inlineStr">
        <is>
          <t>MJÖLBY</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50896-2024</t>
        </is>
      </c>
      <c r="B5259" s="1" t="n">
        <v>45602.68004629629</v>
      </c>
      <c r="C5259" s="1" t="n">
        <v>46093</v>
      </c>
      <c r="D5259" t="inlineStr">
        <is>
          <t>ÖSTERGÖTLANDS LÄN</t>
        </is>
      </c>
      <c r="E5259" t="inlineStr">
        <is>
          <t>MJÖLBY</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37831-2023</t>
        </is>
      </c>
      <c r="B5260" s="1" t="n">
        <v>45160.3425</v>
      </c>
      <c r="C5260" s="1" t="n">
        <v>46093</v>
      </c>
      <c r="D5260" t="inlineStr">
        <is>
          <t>ÖSTERGÖTLANDS LÄN</t>
        </is>
      </c>
      <c r="E5260" t="inlineStr">
        <is>
          <t>KINDA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60959-2025</t>
        </is>
      </c>
      <c r="B5261" s="1" t="n">
        <v>45999.6604050926</v>
      </c>
      <c r="C5261" s="1" t="n">
        <v>46093</v>
      </c>
      <c r="D5261" t="inlineStr">
        <is>
          <t>ÖSTERGÖTLANDS LÄN</t>
        </is>
      </c>
      <c r="E5261" t="inlineStr">
        <is>
          <t>ÅTVIDABERG</t>
        </is>
      </c>
      <c r="F5261" t="inlineStr">
        <is>
          <t>Kyrkan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19114-2023</t>
        </is>
      </c>
      <c r="B5262" s="1" t="n">
        <v>45048</v>
      </c>
      <c r="C5262" s="1" t="n">
        <v>46093</v>
      </c>
      <c r="D5262" t="inlineStr">
        <is>
          <t>ÖSTERGÖTLANDS LÄN</t>
        </is>
      </c>
      <c r="E5262" t="inlineStr">
        <is>
          <t>NORRKÖPING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32617-2023</t>
        </is>
      </c>
      <c r="B5263" s="1" t="n">
        <v>45121</v>
      </c>
      <c r="C5263" s="1" t="n">
        <v>46093</v>
      </c>
      <c r="D5263" t="inlineStr">
        <is>
          <t>ÖSTERGÖTLANDS LÄN</t>
        </is>
      </c>
      <c r="E5263" t="inlineStr">
        <is>
          <t>NORRKÖPING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60911-2025</t>
        </is>
      </c>
      <c r="B5264" s="1" t="n">
        <v>45999.60096064815</v>
      </c>
      <c r="C5264" s="1" t="n">
        <v>46093</v>
      </c>
      <c r="D5264" t="inlineStr">
        <is>
          <t>ÖSTERGÖTLANDS LÄN</t>
        </is>
      </c>
      <c r="E5264" t="inlineStr">
        <is>
          <t>VALDEMARSVIK</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60866-2025</t>
        </is>
      </c>
      <c r="B5265" s="1" t="n">
        <v>45999</v>
      </c>
      <c r="C5265" s="1" t="n">
        <v>46093</v>
      </c>
      <c r="D5265" t="inlineStr">
        <is>
          <t>ÖSTERGÖTLANDS LÄN</t>
        </is>
      </c>
      <c r="E5265" t="inlineStr">
        <is>
          <t>LINKÖPING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22259-2024</t>
        </is>
      </c>
      <c r="B5266" s="1" t="n">
        <v>45446.48325231481</v>
      </c>
      <c r="C5266" s="1" t="n">
        <v>46093</v>
      </c>
      <c r="D5266" t="inlineStr">
        <is>
          <t>ÖSTERGÖTLANDS LÄN</t>
        </is>
      </c>
      <c r="E5266" t="inlineStr">
        <is>
          <t>FINSPÅNG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60931-2025</t>
        </is>
      </c>
      <c r="B5267" s="1" t="n">
        <v>45999.63747685185</v>
      </c>
      <c r="C5267" s="1" t="n">
        <v>46093</v>
      </c>
      <c r="D5267" t="inlineStr">
        <is>
          <t>ÖSTERGÖTLANDS LÄN</t>
        </is>
      </c>
      <c r="E5267" t="inlineStr">
        <is>
          <t>YDRE</t>
        </is>
      </c>
      <c r="F5267" t="inlineStr">
        <is>
          <t>Sveaskog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9292-2023</t>
        </is>
      </c>
      <c r="B5268" s="1" t="n">
        <v>44980</v>
      </c>
      <c r="C5268" s="1" t="n">
        <v>46093</v>
      </c>
      <c r="D5268" t="inlineStr">
        <is>
          <t>ÖSTERGÖTLANDS LÄN</t>
        </is>
      </c>
      <c r="E5268" t="inlineStr">
        <is>
          <t>VALDEMARSVIK</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46948-2024</t>
        </is>
      </c>
      <c r="B5269" s="1" t="n">
        <v>45585.82836805555</v>
      </c>
      <c r="C5269" s="1" t="n">
        <v>46093</v>
      </c>
      <c r="D5269" t="inlineStr">
        <is>
          <t>ÖSTERGÖTLANDS LÄN</t>
        </is>
      </c>
      <c r="E5269" t="inlineStr">
        <is>
          <t>YDRE</t>
        </is>
      </c>
      <c r="F5269" t="inlineStr">
        <is>
          <t>Övriga Aktiebolag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19747-2024</t>
        </is>
      </c>
      <c r="B5270" s="1" t="n">
        <v>45432.6571875</v>
      </c>
      <c r="C5270" s="1" t="n">
        <v>46093</v>
      </c>
      <c r="D5270" t="inlineStr">
        <is>
          <t>ÖSTERGÖTLANDS LÄN</t>
        </is>
      </c>
      <c r="E5270" t="inlineStr">
        <is>
          <t>VALDEMARSVIK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60903-2025</t>
        </is>
      </c>
      <c r="B5271" s="1" t="n">
        <v>45999.59362268518</v>
      </c>
      <c r="C5271" s="1" t="n">
        <v>46093</v>
      </c>
      <c r="D5271" t="inlineStr">
        <is>
          <t>ÖSTERGÖTLANDS LÄN</t>
        </is>
      </c>
      <c r="E5271" t="inlineStr">
        <is>
          <t>VALDEMARSVIK</t>
        </is>
      </c>
      <c r="F5271" t="inlineStr">
        <is>
          <t>Holmen skog AB</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10094-2024</t>
        </is>
      </c>
      <c r="B5272" s="1" t="n">
        <v>45364</v>
      </c>
      <c r="C5272" s="1" t="n">
        <v>46093</v>
      </c>
      <c r="D5272" t="inlineStr">
        <is>
          <t>ÖSTERGÖTLANDS LÄN</t>
        </is>
      </c>
      <c r="E5272" t="inlineStr">
        <is>
          <t>LINKÖPING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61309-2025</t>
        </is>
      </c>
      <c r="B5273" s="1" t="n">
        <v>46000</v>
      </c>
      <c r="C5273" s="1" t="n">
        <v>46093</v>
      </c>
      <c r="D5273" t="inlineStr">
        <is>
          <t>ÖSTERGÖTLANDS LÄN</t>
        </is>
      </c>
      <c r="E5273" t="inlineStr">
        <is>
          <t>VALDEMARSVIK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10984-2024</t>
        </is>
      </c>
      <c r="B5274" s="1" t="n">
        <v>45370.54677083333</v>
      </c>
      <c r="C5274" s="1" t="n">
        <v>46093</v>
      </c>
      <c r="D5274" t="inlineStr">
        <is>
          <t>ÖSTERGÖTLANDS LÄN</t>
        </is>
      </c>
      <c r="E5274" t="inlineStr">
        <is>
          <t>MJÖLBY</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487-2025</t>
        </is>
      </c>
      <c r="B5275" s="1" t="n">
        <v>45664.45697916667</v>
      </c>
      <c r="C5275" s="1" t="n">
        <v>46093</v>
      </c>
      <c r="D5275" t="inlineStr">
        <is>
          <t>ÖSTERGÖTLANDS LÄN</t>
        </is>
      </c>
      <c r="E5275" t="inlineStr">
        <is>
          <t>FINSPÅNG</t>
        </is>
      </c>
      <c r="F5275" t="inlineStr">
        <is>
          <t>Holmen skog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58564-2022</t>
        </is>
      </c>
      <c r="B5276" s="1" t="n">
        <v>44902.50083333333</v>
      </c>
      <c r="C5276" s="1" t="n">
        <v>46093</v>
      </c>
      <c r="D5276" t="inlineStr">
        <is>
          <t>ÖSTERGÖTLANDS LÄN</t>
        </is>
      </c>
      <c r="E5276" t="inlineStr">
        <is>
          <t>ÅTVIDABERG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61571-2025</t>
        </is>
      </c>
      <c r="B5277" s="1" t="n">
        <v>46002.30209490741</v>
      </c>
      <c r="C5277" s="1" t="n">
        <v>46093</v>
      </c>
      <c r="D5277" t="inlineStr">
        <is>
          <t>ÖSTERGÖTLANDS LÄN</t>
        </is>
      </c>
      <c r="E5277" t="inlineStr">
        <is>
          <t>KINDA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41134-2024</t>
        </is>
      </c>
      <c r="B5278" s="1" t="n">
        <v>45559.46480324074</v>
      </c>
      <c r="C5278" s="1" t="n">
        <v>46093</v>
      </c>
      <c r="D5278" t="inlineStr">
        <is>
          <t>ÖSTERGÖTLANDS LÄN</t>
        </is>
      </c>
      <c r="E5278" t="inlineStr">
        <is>
          <t>SÖDERKÖPING</t>
        </is>
      </c>
      <c r="F5278" t="inlineStr">
        <is>
          <t>Allmännings- och besparingsskogar</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61801-2025</t>
        </is>
      </c>
      <c r="B5279" s="1" t="n">
        <v>46002.72216435185</v>
      </c>
      <c r="C5279" s="1" t="n">
        <v>46093</v>
      </c>
      <c r="D5279" t="inlineStr">
        <is>
          <t>ÖSTERGÖTLANDS LÄN</t>
        </is>
      </c>
      <c r="E5279" t="inlineStr">
        <is>
          <t>ÖDESHÖG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60742-2025</t>
        </is>
      </c>
      <c r="B5280" s="1" t="n">
        <v>45998</v>
      </c>
      <c r="C5280" s="1" t="n">
        <v>46093</v>
      </c>
      <c r="D5280" t="inlineStr">
        <is>
          <t>ÖSTERGÖTLANDS LÄN</t>
        </is>
      </c>
      <c r="E5280" t="inlineStr">
        <is>
          <t>MOTALA</t>
        </is>
      </c>
      <c r="G5280" t="n">
        <v>15.9</v>
      </c>
      <c r="H5280" t="n">
        <v>0</v>
      </c>
      <c r="I5280" t="n">
        <v>0</v>
      </c>
      <c r="J5280" t="n">
        <v>0</v>
      </c>
      <c r="K5280" t="n">
        <v>0</v>
      </c>
      <c r="L5280" t="n">
        <v>0</v>
      </c>
      <c r="M5280" t="n">
        <v>0</v>
      </c>
      <c r="N5280" t="n">
        <v>0</v>
      </c>
      <c r="O5280" t="n">
        <v>0</v>
      </c>
      <c r="P5280" t="n">
        <v>0</v>
      </c>
      <c r="Q5280" t="n">
        <v>0</v>
      </c>
      <c r="R5280" s="2" t="inlineStr"/>
    </row>
    <row r="5281" ht="15" customHeight="1">
      <c r="A5281" t="inlineStr">
        <is>
          <t>A 61470-2025</t>
        </is>
      </c>
      <c r="B5281" s="1" t="n">
        <v>46001</v>
      </c>
      <c r="C5281" s="1" t="n">
        <v>46093</v>
      </c>
      <c r="D5281" t="inlineStr">
        <is>
          <t>ÖSTERGÖTLANDS LÄN</t>
        </is>
      </c>
      <c r="E5281" t="inlineStr">
        <is>
          <t>ÖDESHÖG</t>
        </is>
      </c>
      <c r="F5281" t="inlineStr">
        <is>
          <t>Allmännings- och besparingsskogar</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61802-2022</t>
        </is>
      </c>
      <c r="B5282" s="1" t="n">
        <v>44917</v>
      </c>
      <c r="C5282" s="1" t="n">
        <v>46093</v>
      </c>
      <c r="D5282" t="inlineStr">
        <is>
          <t>ÖSTERGÖTLANDS LÄN</t>
        </is>
      </c>
      <c r="E5282" t="inlineStr">
        <is>
          <t>SÖDERKÖPING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60605-2022</t>
        </is>
      </c>
      <c r="B5283" s="1" t="n">
        <v>44911</v>
      </c>
      <c r="C5283" s="1" t="n">
        <v>46093</v>
      </c>
      <c r="D5283" t="inlineStr">
        <is>
          <t>ÖSTERGÖTLANDS LÄN</t>
        </is>
      </c>
      <c r="E5283" t="inlineStr">
        <is>
          <t>SÖDERKÖPING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61643-2025</t>
        </is>
      </c>
      <c r="B5284" s="1" t="n">
        <v>46002.43575231481</v>
      </c>
      <c r="C5284" s="1" t="n">
        <v>46093</v>
      </c>
      <c r="D5284" t="inlineStr">
        <is>
          <t>ÖSTERGÖTLANDS LÄN</t>
        </is>
      </c>
      <c r="E5284" t="inlineStr">
        <is>
          <t>LINKÖPING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39064-2024</t>
        </is>
      </c>
      <c r="B5285" s="1" t="n">
        <v>45548.50846064815</v>
      </c>
      <c r="C5285" s="1" t="n">
        <v>46093</v>
      </c>
      <c r="D5285" t="inlineStr">
        <is>
          <t>ÖSTERGÖTLANDS LÄN</t>
        </is>
      </c>
      <c r="E5285" t="inlineStr">
        <is>
          <t>ÅTVIDABERG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1207-2023</t>
        </is>
      </c>
      <c r="B5286" s="1" t="n">
        <v>44930</v>
      </c>
      <c r="C5286" s="1" t="n">
        <v>46093</v>
      </c>
      <c r="D5286" t="inlineStr">
        <is>
          <t>ÖSTERGÖTLANDS LÄN</t>
        </is>
      </c>
      <c r="E5286" t="inlineStr">
        <is>
          <t>LINKÖPING</t>
        </is>
      </c>
      <c r="F5286" t="inlineStr">
        <is>
          <t>Övriga statliga verk och myndigheter</t>
        </is>
      </c>
      <c r="G5286" t="n">
        <v>32.8</v>
      </c>
      <c r="H5286" t="n">
        <v>0</v>
      </c>
      <c r="I5286" t="n">
        <v>0</v>
      </c>
      <c r="J5286" t="n">
        <v>0</v>
      </c>
      <c r="K5286" t="n">
        <v>0</v>
      </c>
      <c r="L5286" t="n">
        <v>0</v>
      </c>
      <c r="M5286" t="n">
        <v>0</v>
      </c>
      <c r="N5286" t="n">
        <v>0</v>
      </c>
      <c r="O5286" t="n">
        <v>0</v>
      </c>
      <c r="P5286" t="n">
        <v>0</v>
      </c>
      <c r="Q5286" t="n">
        <v>0</v>
      </c>
      <c r="R5286" s="2" t="inlineStr"/>
    </row>
    <row r="5287" ht="15" customHeight="1">
      <c r="A5287" t="inlineStr">
        <is>
          <t>A 61567-2025</t>
        </is>
      </c>
      <c r="B5287" s="1" t="n">
        <v>46002.24141203704</v>
      </c>
      <c r="C5287" s="1" t="n">
        <v>46093</v>
      </c>
      <c r="D5287" t="inlineStr">
        <is>
          <t>ÖSTERGÖTLANDS LÄN</t>
        </is>
      </c>
      <c r="E5287" t="inlineStr">
        <is>
          <t>KINDA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11481-2023</t>
        </is>
      </c>
      <c r="B5288" s="1" t="n">
        <v>44993.61875</v>
      </c>
      <c r="C5288" s="1" t="n">
        <v>46093</v>
      </c>
      <c r="D5288" t="inlineStr">
        <is>
          <t>ÖSTERGÖTLANDS LÄN</t>
        </is>
      </c>
      <c r="E5288" t="inlineStr">
        <is>
          <t>FINSPÅNG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57690-2021</t>
        </is>
      </c>
      <c r="B5289" s="1" t="n">
        <v>44484</v>
      </c>
      <c r="C5289" s="1" t="n">
        <v>46093</v>
      </c>
      <c r="D5289" t="inlineStr">
        <is>
          <t>ÖSTERGÖTLANDS LÄN</t>
        </is>
      </c>
      <c r="E5289" t="inlineStr">
        <is>
          <t>KINDA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62015-2024</t>
        </is>
      </c>
      <c r="B5290" s="1" t="n">
        <v>45655.80457175926</v>
      </c>
      <c r="C5290" s="1" t="n">
        <v>46093</v>
      </c>
      <c r="D5290" t="inlineStr">
        <is>
          <t>ÖSTERGÖTLANDS LÄN</t>
        </is>
      </c>
      <c r="E5290" t="inlineStr">
        <is>
          <t>LINKÖPING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62020-2024</t>
        </is>
      </c>
      <c r="B5291" s="1" t="n">
        <v>45655.83563657408</v>
      </c>
      <c r="C5291" s="1" t="n">
        <v>46093</v>
      </c>
      <c r="D5291" t="inlineStr">
        <is>
          <t>ÖSTERGÖTLANDS LÄN</t>
        </is>
      </c>
      <c r="E5291" t="inlineStr">
        <is>
          <t>LINKÖPING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62021-2024</t>
        </is>
      </c>
      <c r="B5292" s="1" t="n">
        <v>45655.84232638889</v>
      </c>
      <c r="C5292" s="1" t="n">
        <v>46093</v>
      </c>
      <c r="D5292" t="inlineStr">
        <is>
          <t>ÖSTERGÖTLANDS LÄN</t>
        </is>
      </c>
      <c r="E5292" t="inlineStr">
        <is>
          <t>LINKÖPING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6203-2025</t>
        </is>
      </c>
      <c r="B5293" s="1" t="n">
        <v>45698.48292824074</v>
      </c>
      <c r="C5293" s="1" t="n">
        <v>46093</v>
      </c>
      <c r="D5293" t="inlineStr">
        <is>
          <t>ÖSTERGÖTLANDS LÄN</t>
        </is>
      </c>
      <c r="E5293" t="inlineStr">
        <is>
          <t>FINSPÅNG</t>
        </is>
      </c>
      <c r="F5293" t="inlineStr">
        <is>
          <t>Holmen skog AB</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795-2025</t>
        </is>
      </c>
      <c r="B5294" s="1" t="n">
        <v>45665.5275925926</v>
      </c>
      <c r="C5294" s="1" t="n">
        <v>46093</v>
      </c>
      <c r="D5294" t="inlineStr">
        <is>
          <t>ÖSTERGÖTLANDS LÄN</t>
        </is>
      </c>
      <c r="E5294" t="inlineStr">
        <is>
          <t>YDRE</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796-2025</t>
        </is>
      </c>
      <c r="B5295" s="1" t="n">
        <v>45665.5291087963</v>
      </c>
      <c r="C5295" s="1" t="n">
        <v>46093</v>
      </c>
      <c r="D5295" t="inlineStr">
        <is>
          <t>ÖSTERGÖTLANDS LÄN</t>
        </is>
      </c>
      <c r="E5295" t="inlineStr">
        <is>
          <t>ÅTVIDABERG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15467-2023</t>
        </is>
      </c>
      <c r="B5296" s="1" t="n">
        <v>45020.43767361111</v>
      </c>
      <c r="C5296" s="1" t="n">
        <v>46093</v>
      </c>
      <c r="D5296" t="inlineStr">
        <is>
          <t>ÖSTERGÖTLANDS LÄN</t>
        </is>
      </c>
      <c r="E5296" t="inlineStr">
        <is>
          <t>MJÖLBY</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61742-2025</t>
        </is>
      </c>
      <c r="B5297" s="1" t="n">
        <v>46002.60186342592</v>
      </c>
      <c r="C5297" s="1" t="n">
        <v>46093</v>
      </c>
      <c r="D5297" t="inlineStr">
        <is>
          <t>ÖSTERGÖTLANDS LÄN</t>
        </is>
      </c>
      <c r="E5297" t="inlineStr">
        <is>
          <t>KINDA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61773-2025</t>
        </is>
      </c>
      <c r="B5298" s="1" t="n">
        <v>46002.65616898148</v>
      </c>
      <c r="C5298" s="1" t="n">
        <v>46093</v>
      </c>
      <c r="D5298" t="inlineStr">
        <is>
          <t>ÖSTERGÖTLANDS LÄN</t>
        </is>
      </c>
      <c r="E5298" t="inlineStr">
        <is>
          <t>BOXHOLM</t>
        </is>
      </c>
      <c r="F5298" t="inlineStr">
        <is>
          <t>Allmännings- och besparingsskogar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10412-2023</t>
        </is>
      </c>
      <c r="B5299" s="1" t="n">
        <v>44987</v>
      </c>
      <c r="C5299" s="1" t="n">
        <v>46093</v>
      </c>
      <c r="D5299" t="inlineStr">
        <is>
          <t>ÖSTERGÖTLANDS LÄN</t>
        </is>
      </c>
      <c r="E5299" t="inlineStr">
        <is>
          <t>FINSPÅNG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61776-2025</t>
        </is>
      </c>
      <c r="B5300" s="1" t="n">
        <v>46002.6596875</v>
      </c>
      <c r="C5300" s="1" t="n">
        <v>46093</v>
      </c>
      <c r="D5300" t="inlineStr">
        <is>
          <t>ÖSTERGÖTLANDS LÄN</t>
        </is>
      </c>
      <c r="E5300" t="inlineStr">
        <is>
          <t>KINDA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61796-2025</t>
        </is>
      </c>
      <c r="B5301" s="1" t="n">
        <v>46002.70064814815</v>
      </c>
      <c r="C5301" s="1" t="n">
        <v>46093</v>
      </c>
      <c r="D5301" t="inlineStr">
        <is>
          <t>ÖSTERGÖTLANDS LÄN</t>
        </is>
      </c>
      <c r="E5301" t="inlineStr">
        <is>
          <t>ÖDESHÖG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61798-2025</t>
        </is>
      </c>
      <c r="B5302" s="1" t="n">
        <v>46002.70159722222</v>
      </c>
      <c r="C5302" s="1" t="n">
        <v>46093</v>
      </c>
      <c r="D5302" t="inlineStr">
        <is>
          <t>ÖSTERGÖTLANDS LÄN</t>
        </is>
      </c>
      <c r="E5302" t="inlineStr">
        <is>
          <t>ÖDESHÖG</t>
        </is>
      </c>
      <c r="F5302" t="inlineStr">
        <is>
          <t>Allmännings- och besparingsskogar</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61800-2025</t>
        </is>
      </c>
      <c r="B5303" s="1" t="n">
        <v>46002.71087962963</v>
      </c>
      <c r="C5303" s="1" t="n">
        <v>46093</v>
      </c>
      <c r="D5303" t="inlineStr">
        <is>
          <t>ÖSTERGÖTLANDS LÄN</t>
        </is>
      </c>
      <c r="E5303" t="inlineStr">
        <is>
          <t>ÖDESHÖG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61629-2025</t>
        </is>
      </c>
      <c r="B5304" s="1" t="n">
        <v>46002.40453703704</v>
      </c>
      <c r="C5304" s="1" t="n">
        <v>46093</v>
      </c>
      <c r="D5304" t="inlineStr">
        <is>
          <t>ÖSTERGÖTLANDS LÄN</t>
        </is>
      </c>
      <c r="E5304" t="inlineStr">
        <is>
          <t>ÖDESHÖG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18724-2025</t>
        </is>
      </c>
      <c r="B5305" s="1" t="n">
        <v>45763.66409722222</v>
      </c>
      <c r="C5305" s="1" t="n">
        <v>46093</v>
      </c>
      <c r="D5305" t="inlineStr">
        <is>
          <t>ÖSTERGÖTLANDS LÄN</t>
        </is>
      </c>
      <c r="E5305" t="inlineStr">
        <is>
          <t>ÅTVIDABERG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41937-2022</t>
        </is>
      </c>
      <c r="B5306" s="1" t="n">
        <v>44830.37741898148</v>
      </c>
      <c r="C5306" s="1" t="n">
        <v>46093</v>
      </c>
      <c r="D5306" t="inlineStr">
        <is>
          <t>ÖSTERGÖTLANDS LÄN</t>
        </is>
      </c>
      <c r="E5306" t="inlineStr">
        <is>
          <t>MOTALA</t>
        </is>
      </c>
      <c r="F5306" t="inlineStr">
        <is>
          <t>Sveaskog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61774-2025</t>
        </is>
      </c>
      <c r="B5307" s="1" t="n">
        <v>46002.65667824074</v>
      </c>
      <c r="C5307" s="1" t="n">
        <v>46093</v>
      </c>
      <c r="D5307" t="inlineStr">
        <is>
          <t>ÖSTERGÖTLANDS LÄN</t>
        </is>
      </c>
      <c r="E5307" t="inlineStr">
        <is>
          <t>KINDA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27891-2021</t>
        </is>
      </c>
      <c r="B5308" s="1" t="n">
        <v>44354.65108796296</v>
      </c>
      <c r="C5308" s="1" t="n">
        <v>46093</v>
      </c>
      <c r="D5308" t="inlineStr">
        <is>
          <t>ÖSTERGÖTLANDS LÄN</t>
        </is>
      </c>
      <c r="E5308" t="inlineStr">
        <is>
          <t>LINKÖPING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61572-2025</t>
        </is>
      </c>
      <c r="B5309" s="1" t="n">
        <v>46002.30625</v>
      </c>
      <c r="C5309" s="1" t="n">
        <v>46093</v>
      </c>
      <c r="D5309" t="inlineStr">
        <is>
          <t>ÖSTERGÖTLANDS LÄN</t>
        </is>
      </c>
      <c r="E5309" t="inlineStr">
        <is>
          <t>KINDA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61595-2025</t>
        </is>
      </c>
      <c r="B5310" s="1" t="n">
        <v>46002.35668981481</v>
      </c>
      <c r="C5310" s="1" t="n">
        <v>46093</v>
      </c>
      <c r="D5310" t="inlineStr">
        <is>
          <t>ÖSTERGÖTLANDS LÄN</t>
        </is>
      </c>
      <c r="E5310" t="inlineStr">
        <is>
          <t>FINSPÅNG</t>
        </is>
      </c>
      <c r="F5310" t="inlineStr">
        <is>
          <t>Holmen skog AB</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61779-2025</t>
        </is>
      </c>
      <c r="B5311" s="1" t="n">
        <v>46002.66668981482</v>
      </c>
      <c r="C5311" s="1" t="n">
        <v>46093</v>
      </c>
      <c r="D5311" t="inlineStr">
        <is>
          <t>ÖSTERGÖTLANDS LÄN</t>
        </is>
      </c>
      <c r="E5311" t="inlineStr">
        <is>
          <t>KINDA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61777-2025</t>
        </is>
      </c>
      <c r="B5312" s="1" t="n">
        <v>46002.66152777777</v>
      </c>
      <c r="C5312" s="1" t="n">
        <v>46093</v>
      </c>
      <c r="D5312" t="inlineStr">
        <is>
          <t>ÖSTERGÖTLANDS LÄN</t>
        </is>
      </c>
      <c r="E5312" t="inlineStr">
        <is>
          <t>BOXHOLM</t>
        </is>
      </c>
      <c r="F5312" t="inlineStr">
        <is>
          <t>Allmännings- och besparingsskogar</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36258-2022</t>
        </is>
      </c>
      <c r="B5313" s="1" t="n">
        <v>44803.59099537037</v>
      </c>
      <c r="C5313" s="1" t="n">
        <v>46093</v>
      </c>
      <c r="D5313" t="inlineStr">
        <is>
          <t>ÖSTERGÖTLANDS LÄN</t>
        </is>
      </c>
      <c r="E5313" t="inlineStr">
        <is>
          <t>NORRKÖPING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61683-2025</t>
        </is>
      </c>
      <c r="B5314" s="1" t="n">
        <v>46002.49240740741</v>
      </c>
      <c r="C5314" s="1" t="n">
        <v>46093</v>
      </c>
      <c r="D5314" t="inlineStr">
        <is>
          <t>ÖSTERGÖTLANDS LÄN</t>
        </is>
      </c>
      <c r="E5314" t="inlineStr">
        <is>
          <t>FINSPÅNG</t>
        </is>
      </c>
      <c r="F5314" t="inlineStr">
        <is>
          <t>Holmen skog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40351-2023</t>
        </is>
      </c>
      <c r="B5315" s="1" t="n">
        <v>45169</v>
      </c>
      <c r="C5315" s="1" t="n">
        <v>46093</v>
      </c>
      <c r="D5315" t="inlineStr">
        <is>
          <t>ÖSTERGÖTLANDS LÄN</t>
        </is>
      </c>
      <c r="E5315" t="inlineStr">
        <is>
          <t>SÖDERKÖPING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40356-2023</t>
        </is>
      </c>
      <c r="B5316" s="1" t="n">
        <v>45169</v>
      </c>
      <c r="C5316" s="1" t="n">
        <v>46093</v>
      </c>
      <c r="D5316" t="inlineStr">
        <is>
          <t>ÖSTERGÖTLANDS LÄN</t>
        </is>
      </c>
      <c r="E5316" t="inlineStr">
        <is>
          <t>SÖDERKÖPING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57391-2023</t>
        </is>
      </c>
      <c r="B5317" s="1" t="n">
        <v>45245</v>
      </c>
      <c r="C5317" s="1" t="n">
        <v>46093</v>
      </c>
      <c r="D5317" t="inlineStr">
        <is>
          <t>ÖSTERGÖTLANDS LÄN</t>
        </is>
      </c>
      <c r="E5317" t="inlineStr">
        <is>
          <t>LINKÖPING</t>
        </is>
      </c>
      <c r="F5317" t="inlineStr">
        <is>
          <t>Övriga Aktiebolag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31441-2023</t>
        </is>
      </c>
      <c r="B5318" s="1" t="n">
        <v>45114.6471875</v>
      </c>
      <c r="C5318" s="1" t="n">
        <v>46093</v>
      </c>
      <c r="D5318" t="inlineStr">
        <is>
          <t>ÖSTERGÖTLANDS LÄN</t>
        </is>
      </c>
      <c r="E5318" t="inlineStr">
        <is>
          <t>MOTALA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7749-2024</t>
        </is>
      </c>
      <c r="B5319" s="1" t="n">
        <v>45349.48241898148</v>
      </c>
      <c r="C5319" s="1" t="n">
        <v>46093</v>
      </c>
      <c r="D5319" t="inlineStr">
        <is>
          <t>ÖSTERGÖTLANDS LÄN</t>
        </is>
      </c>
      <c r="E5319" t="inlineStr">
        <is>
          <t>KINDA</t>
        </is>
      </c>
      <c r="F5319" t="inlineStr">
        <is>
          <t>Övriga Aktiebolag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61794-2025</t>
        </is>
      </c>
      <c r="B5320" s="1" t="n">
        <v>46002</v>
      </c>
      <c r="C5320" s="1" t="n">
        <v>46093</v>
      </c>
      <c r="D5320" t="inlineStr">
        <is>
          <t>ÖSTERGÖTLANDS LÄN</t>
        </is>
      </c>
      <c r="E5320" t="inlineStr">
        <is>
          <t>FINSPÅNG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10424-2024</t>
        </is>
      </c>
      <c r="B5321" s="1" t="n">
        <v>45365.75003472222</v>
      </c>
      <c r="C5321" s="1" t="n">
        <v>46093</v>
      </c>
      <c r="D5321" t="inlineStr">
        <is>
          <t>ÖSTERGÖTLANDS LÄN</t>
        </is>
      </c>
      <c r="E5321" t="inlineStr">
        <is>
          <t>YDRE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61094-2025</t>
        </is>
      </c>
      <c r="B5322" s="1" t="n">
        <v>46000.43576388889</v>
      </c>
      <c r="C5322" s="1" t="n">
        <v>46093</v>
      </c>
      <c r="D5322" t="inlineStr">
        <is>
          <t>ÖSTERGÖTLANDS LÄN</t>
        </is>
      </c>
      <c r="E5322" t="inlineStr">
        <is>
          <t>ÅTVIDABERG</t>
        </is>
      </c>
      <c r="F5322" t="inlineStr">
        <is>
          <t>Övriga Aktiebolag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61447-2025</t>
        </is>
      </c>
      <c r="B5323" s="1" t="n">
        <v>46001.57554398148</v>
      </c>
      <c r="C5323" s="1" t="n">
        <v>46093</v>
      </c>
      <c r="D5323" t="inlineStr">
        <is>
          <t>ÖSTERGÖTLANDS LÄN</t>
        </is>
      </c>
      <c r="E5323" t="inlineStr">
        <is>
          <t>LINKÖPING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58011-2023</t>
        </is>
      </c>
      <c r="B5324" s="1" t="n">
        <v>45247.62015046296</v>
      </c>
      <c r="C5324" s="1" t="n">
        <v>46093</v>
      </c>
      <c r="D5324" t="inlineStr">
        <is>
          <t>ÖSTERGÖTLANDS LÄN</t>
        </is>
      </c>
      <c r="E5324" t="inlineStr">
        <is>
          <t>FINSPÅNG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18188-2025</t>
        </is>
      </c>
      <c r="B5325" s="1" t="n">
        <v>45761.67010416667</v>
      </c>
      <c r="C5325" s="1" t="n">
        <v>46093</v>
      </c>
      <c r="D5325" t="inlineStr">
        <is>
          <t>ÖSTERGÖTLANDS LÄN</t>
        </is>
      </c>
      <c r="E5325" t="inlineStr">
        <is>
          <t>ÅTVIDABERG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61494-2025</t>
        </is>
      </c>
      <c r="B5326" s="1" t="n">
        <v>46001.64545138889</v>
      </c>
      <c r="C5326" s="1" t="n">
        <v>46093</v>
      </c>
      <c r="D5326" t="inlineStr">
        <is>
          <t>ÖSTERGÖTLANDS LÄN</t>
        </is>
      </c>
      <c r="E5326" t="inlineStr">
        <is>
          <t>YDRE</t>
        </is>
      </c>
      <c r="F5326" t="inlineStr">
        <is>
          <t>Övriga Aktiebolag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61645-2025</t>
        </is>
      </c>
      <c r="B5327" s="1" t="n">
        <v>46002.43697916667</v>
      </c>
      <c r="C5327" s="1" t="n">
        <v>46093</v>
      </c>
      <c r="D5327" t="inlineStr">
        <is>
          <t>ÖSTERGÖTLANDS LÄN</t>
        </is>
      </c>
      <c r="E5327" t="inlineStr">
        <is>
          <t>LINKÖPING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61705-2025</t>
        </is>
      </c>
      <c r="B5328" s="1" t="n">
        <v>46002.55034722222</v>
      </c>
      <c r="C5328" s="1" t="n">
        <v>46093</v>
      </c>
      <c r="D5328" t="inlineStr">
        <is>
          <t>ÖSTERGÖTLANDS LÄN</t>
        </is>
      </c>
      <c r="E5328" t="inlineStr">
        <is>
          <t>KINDA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20294-2025</t>
        </is>
      </c>
      <c r="B5329" s="1" t="n">
        <v>45774.74667824074</v>
      </c>
      <c r="C5329" s="1" t="n">
        <v>46093</v>
      </c>
      <c r="D5329" t="inlineStr">
        <is>
          <t>ÖSTERGÖTLANDS LÄN</t>
        </is>
      </c>
      <c r="E5329" t="inlineStr">
        <is>
          <t>LINKÖPING</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18356-2024</t>
        </is>
      </c>
      <c r="B5330" s="1" t="n">
        <v>45422</v>
      </c>
      <c r="C5330" s="1" t="n">
        <v>46093</v>
      </c>
      <c r="D5330" t="inlineStr">
        <is>
          <t>ÖSTERGÖTLANDS LÄN</t>
        </is>
      </c>
      <c r="E5330" t="inlineStr">
        <is>
          <t>FINSPÅNG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2644-2025</t>
        </is>
      </c>
      <c r="B5331" s="1" t="n">
        <v>45676</v>
      </c>
      <c r="C5331" s="1" t="n">
        <v>46093</v>
      </c>
      <c r="D5331" t="inlineStr">
        <is>
          <t>ÖSTERGÖTLANDS LÄN</t>
        </is>
      </c>
      <c r="E5331" t="inlineStr">
        <is>
          <t>KINDA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2645-2025</t>
        </is>
      </c>
      <c r="B5332" s="1" t="n">
        <v>45676.49690972222</v>
      </c>
      <c r="C5332" s="1" t="n">
        <v>46093</v>
      </c>
      <c r="D5332" t="inlineStr">
        <is>
          <t>ÖSTERGÖTLANDS LÄN</t>
        </is>
      </c>
      <c r="E5332" t="inlineStr">
        <is>
          <t>KINDA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60013-2022</t>
        </is>
      </c>
      <c r="B5333" s="1" t="n">
        <v>44909.47482638889</v>
      </c>
      <c r="C5333" s="1" t="n">
        <v>46093</v>
      </c>
      <c r="D5333" t="inlineStr">
        <is>
          <t>ÖSTERGÖTLANDS LÄN</t>
        </is>
      </c>
      <c r="E5333" t="inlineStr">
        <is>
          <t>LINKÖPING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58223-2022</t>
        </is>
      </c>
      <c r="B5334" s="1" t="n">
        <v>44901.37307870371</v>
      </c>
      <c r="C5334" s="1" t="n">
        <v>46093</v>
      </c>
      <c r="D5334" t="inlineStr">
        <is>
          <t>ÖSTERGÖTLANDS LÄN</t>
        </is>
      </c>
      <c r="E5334" t="inlineStr">
        <is>
          <t>SÖDERKÖPING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49904-2023</t>
        </is>
      </c>
      <c r="B5335" s="1" t="n">
        <v>45214</v>
      </c>
      <c r="C5335" s="1" t="n">
        <v>46093</v>
      </c>
      <c r="D5335" t="inlineStr">
        <is>
          <t>ÖSTERGÖTLANDS LÄN</t>
        </is>
      </c>
      <c r="E5335" t="inlineStr">
        <is>
          <t>FINSPÅNG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61600-2025</t>
        </is>
      </c>
      <c r="B5336" s="1" t="n">
        <v>46002.36289351852</v>
      </c>
      <c r="C5336" s="1" t="n">
        <v>46093</v>
      </c>
      <c r="D5336" t="inlineStr">
        <is>
          <t>ÖSTERGÖTLANDS LÄN</t>
        </is>
      </c>
      <c r="E5336" t="inlineStr">
        <is>
          <t>BOXHOLM</t>
        </is>
      </c>
      <c r="F5336" t="inlineStr">
        <is>
          <t>Övriga Aktiebolag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61605-2025</t>
        </is>
      </c>
      <c r="B5337" s="1" t="n">
        <v>46002.37537037037</v>
      </c>
      <c r="C5337" s="1" t="n">
        <v>46093</v>
      </c>
      <c r="D5337" t="inlineStr">
        <is>
          <t>ÖSTERGÖTLANDS LÄN</t>
        </is>
      </c>
      <c r="E5337" t="inlineStr">
        <is>
          <t>FINSPÅNG</t>
        </is>
      </c>
      <c r="F5337" t="inlineStr">
        <is>
          <t>Holmen skog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61712-2025</t>
        </is>
      </c>
      <c r="B5338" s="1" t="n">
        <v>46002.56351851852</v>
      </c>
      <c r="C5338" s="1" t="n">
        <v>46093</v>
      </c>
      <c r="D5338" t="inlineStr">
        <is>
          <t>ÖSTERGÖTLANDS LÄN</t>
        </is>
      </c>
      <c r="E5338" t="inlineStr">
        <is>
          <t>FINSPÅNG</t>
        </is>
      </c>
      <c r="F5338" t="inlineStr">
        <is>
          <t>Holmen skog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61786-2025</t>
        </is>
      </c>
      <c r="B5339" s="1" t="n">
        <v>46002.68319444444</v>
      </c>
      <c r="C5339" s="1" t="n">
        <v>46093</v>
      </c>
      <c r="D5339" t="inlineStr">
        <is>
          <t>ÖSTERGÖTLANDS LÄN</t>
        </is>
      </c>
      <c r="E5339" t="inlineStr">
        <is>
          <t>ÖDESHÖG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24686-2021</t>
        </is>
      </c>
      <c r="B5340" s="1" t="n">
        <v>44340.47023148148</v>
      </c>
      <c r="C5340" s="1" t="n">
        <v>46093</v>
      </c>
      <c r="D5340" t="inlineStr">
        <is>
          <t>ÖSTERGÖTLANDS LÄN</t>
        </is>
      </c>
      <c r="E5340" t="inlineStr">
        <is>
          <t>YDRE</t>
        </is>
      </c>
      <c r="F5340" t="inlineStr">
        <is>
          <t>Sveaskog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17366-2023</t>
        </is>
      </c>
      <c r="B5341" s="1" t="n">
        <v>45035</v>
      </c>
      <c r="C5341" s="1" t="n">
        <v>46093</v>
      </c>
      <c r="D5341" t="inlineStr">
        <is>
          <t>ÖSTERGÖTLANDS LÄN</t>
        </is>
      </c>
      <c r="E5341" t="inlineStr">
        <is>
          <t>KINDA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18258-2024</t>
        </is>
      </c>
      <c r="B5342" s="1" t="n">
        <v>45421.52635416666</v>
      </c>
      <c r="C5342" s="1" t="n">
        <v>46093</v>
      </c>
      <c r="D5342" t="inlineStr">
        <is>
          <t>ÖSTERGÖTLANDS LÄN</t>
        </is>
      </c>
      <c r="E5342" t="inlineStr">
        <is>
          <t>FINSPÅNG</t>
        </is>
      </c>
      <c r="F5342" t="inlineStr">
        <is>
          <t>Holmen skog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62221-2025</t>
        </is>
      </c>
      <c r="B5343" s="1" t="n">
        <v>46006.5815625</v>
      </c>
      <c r="C5343" s="1" t="n">
        <v>46093</v>
      </c>
      <c r="D5343" t="inlineStr">
        <is>
          <t>ÖSTERGÖTLANDS LÄN</t>
        </is>
      </c>
      <c r="E5343" t="inlineStr">
        <is>
          <t>FINSPÅNG</t>
        </is>
      </c>
      <c r="F5343" t="inlineStr">
        <is>
          <t>Holmen skog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62228-2025</t>
        </is>
      </c>
      <c r="B5344" s="1" t="n">
        <v>46006.58912037037</v>
      </c>
      <c r="C5344" s="1" t="n">
        <v>46093</v>
      </c>
      <c r="D5344" t="inlineStr">
        <is>
          <t>ÖSTERGÖTLANDS LÄN</t>
        </is>
      </c>
      <c r="E5344" t="inlineStr">
        <is>
          <t>VALDEMARSVIK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18171-2024</t>
        </is>
      </c>
      <c r="B5345" s="1" t="n">
        <v>45420.63292824074</v>
      </c>
      <c r="C5345" s="1" t="n">
        <v>46093</v>
      </c>
      <c r="D5345" t="inlineStr">
        <is>
          <t>ÖSTERGÖTLANDS LÄN</t>
        </is>
      </c>
      <c r="E5345" t="inlineStr">
        <is>
          <t>FINSPÅNG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57767-2022</t>
        </is>
      </c>
      <c r="B5346" s="1" t="n">
        <v>44897.60309027778</v>
      </c>
      <c r="C5346" s="1" t="n">
        <v>46093</v>
      </c>
      <c r="D5346" t="inlineStr">
        <is>
          <t>ÖSTERGÖTLANDS LÄN</t>
        </is>
      </c>
      <c r="E5346" t="inlineStr">
        <is>
          <t>KINDA</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61809-2025</t>
        </is>
      </c>
      <c r="B5347" s="1" t="n">
        <v>46002.83247685185</v>
      </c>
      <c r="C5347" s="1" t="n">
        <v>46093</v>
      </c>
      <c r="D5347" t="inlineStr">
        <is>
          <t>ÖSTERGÖTLANDS LÄN</t>
        </is>
      </c>
      <c r="E5347" t="inlineStr">
        <is>
          <t>ÖDESHÖG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61814-2025</t>
        </is>
      </c>
      <c r="B5348" s="1" t="n">
        <v>46003.28984953704</v>
      </c>
      <c r="C5348" s="1" t="n">
        <v>46093</v>
      </c>
      <c r="D5348" t="inlineStr">
        <is>
          <t>ÖSTERGÖTLANDS LÄN</t>
        </is>
      </c>
      <c r="E5348" t="inlineStr">
        <is>
          <t>SÖDERKÖPING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61901-2025</t>
        </is>
      </c>
      <c r="B5349" s="1" t="n">
        <v>46003.46927083333</v>
      </c>
      <c r="C5349" s="1" t="n">
        <v>46093</v>
      </c>
      <c r="D5349" t="inlineStr">
        <is>
          <t>ÖSTERGÖTLANDS LÄN</t>
        </is>
      </c>
      <c r="E5349" t="inlineStr">
        <is>
          <t>KINDA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3023-2025</t>
        </is>
      </c>
      <c r="B5350" s="1" t="n">
        <v>45678.58166666667</v>
      </c>
      <c r="C5350" s="1" t="n">
        <v>46093</v>
      </c>
      <c r="D5350" t="inlineStr">
        <is>
          <t>ÖSTERGÖTLANDS LÄN</t>
        </is>
      </c>
      <c r="E5350" t="inlineStr">
        <is>
          <t>NORRKÖPING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3007-2025</t>
        </is>
      </c>
      <c r="B5351" s="1" t="n">
        <v>45678.56328703704</v>
      </c>
      <c r="C5351" s="1" t="n">
        <v>46093</v>
      </c>
      <c r="D5351" t="inlineStr">
        <is>
          <t>ÖSTERGÖTLANDS LÄN</t>
        </is>
      </c>
      <c r="E5351" t="inlineStr">
        <is>
          <t>LINKÖPING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62139-2025</t>
        </is>
      </c>
      <c r="B5352" s="1" t="n">
        <v>46006.46712962963</v>
      </c>
      <c r="C5352" s="1" t="n">
        <v>46093</v>
      </c>
      <c r="D5352" t="inlineStr">
        <is>
          <t>ÖSTERGÖTLANDS LÄN</t>
        </is>
      </c>
      <c r="E5352" t="inlineStr">
        <is>
          <t>FINSPÅNG</t>
        </is>
      </c>
      <c r="F5352" t="inlineStr">
        <is>
          <t>Holmen skog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19545-2023</t>
        </is>
      </c>
      <c r="B5353" s="1" t="n">
        <v>45049</v>
      </c>
      <c r="C5353" s="1" t="n">
        <v>46093</v>
      </c>
      <c r="D5353" t="inlineStr">
        <is>
          <t>ÖSTERGÖTLANDS LÄN</t>
        </is>
      </c>
      <c r="E5353" t="inlineStr">
        <is>
          <t>KINDA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61815-2025</t>
        </is>
      </c>
      <c r="B5354" s="1" t="n">
        <v>46003.29640046296</v>
      </c>
      <c r="C5354" s="1" t="n">
        <v>46093</v>
      </c>
      <c r="D5354" t="inlineStr">
        <is>
          <t>ÖSTERGÖTLANDS LÄN</t>
        </is>
      </c>
      <c r="E5354" t="inlineStr">
        <is>
          <t>ÅTVIDABERG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56537-2023</t>
        </is>
      </c>
      <c r="B5355" s="1" t="n">
        <v>45243</v>
      </c>
      <c r="C5355" s="1" t="n">
        <v>46093</v>
      </c>
      <c r="D5355" t="inlineStr">
        <is>
          <t>ÖSTERGÖTLANDS LÄN</t>
        </is>
      </c>
      <c r="E5355" t="inlineStr">
        <is>
          <t>ÅTVIDABERG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62294-2025</t>
        </is>
      </c>
      <c r="B5356" s="1" t="n">
        <v>46003</v>
      </c>
      <c r="C5356" s="1" t="n">
        <v>46093</v>
      </c>
      <c r="D5356" t="inlineStr">
        <is>
          <t>ÖSTERGÖTLANDS LÄN</t>
        </is>
      </c>
      <c r="E5356" t="inlineStr">
        <is>
          <t>NORRKÖPING</t>
        </is>
      </c>
      <c r="F5356" t="inlineStr">
        <is>
          <t>Allmännings- och besparingsskogar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10335-2022</t>
        </is>
      </c>
      <c r="B5357" s="1" t="n">
        <v>44623.30403935185</v>
      </c>
      <c r="C5357" s="1" t="n">
        <v>46093</v>
      </c>
      <c r="D5357" t="inlineStr">
        <is>
          <t>ÖSTERGÖTLANDS LÄN</t>
        </is>
      </c>
      <c r="E5357" t="inlineStr">
        <is>
          <t>ÖDESHÖG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34877-2023</t>
        </is>
      </c>
      <c r="B5358" s="1" t="n">
        <v>45140</v>
      </c>
      <c r="C5358" s="1" t="n">
        <v>46093</v>
      </c>
      <c r="D5358" t="inlineStr">
        <is>
          <t>ÖSTERGÖTLANDS LÄN</t>
        </is>
      </c>
      <c r="E5358" t="inlineStr">
        <is>
          <t>LINKÖPING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61810-2025</t>
        </is>
      </c>
      <c r="B5359" s="1" t="n">
        <v>46002.85204861111</v>
      </c>
      <c r="C5359" s="1" t="n">
        <v>46093</v>
      </c>
      <c r="D5359" t="inlineStr">
        <is>
          <t>ÖSTERGÖTLANDS LÄN</t>
        </is>
      </c>
      <c r="E5359" t="inlineStr">
        <is>
          <t>BOXHOLM</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19962-2025</t>
        </is>
      </c>
      <c r="B5360" s="1" t="n">
        <v>45771.66951388889</v>
      </c>
      <c r="C5360" s="1" t="n">
        <v>46093</v>
      </c>
      <c r="D5360" t="inlineStr">
        <is>
          <t>ÖSTERGÖTLANDS LÄN</t>
        </is>
      </c>
      <c r="E5360" t="inlineStr">
        <is>
          <t>NORRKÖPING</t>
        </is>
      </c>
      <c r="F5360" t="inlineStr">
        <is>
          <t>Holmen skog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57255-2024</t>
        </is>
      </c>
      <c r="B5361" s="1" t="n">
        <v>45629</v>
      </c>
      <c r="C5361" s="1" t="n">
        <v>46093</v>
      </c>
      <c r="D5361" t="inlineStr">
        <is>
          <t>ÖSTERGÖTLANDS LÄN</t>
        </is>
      </c>
      <c r="E5361" t="inlineStr">
        <is>
          <t>SÖDERKÖPING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19191-2025</t>
        </is>
      </c>
      <c r="B5362" s="1" t="n">
        <v>45769.41631944444</v>
      </c>
      <c r="C5362" s="1" t="n">
        <v>46093</v>
      </c>
      <c r="D5362" t="inlineStr">
        <is>
          <t>ÖSTERGÖTLANDS LÄN</t>
        </is>
      </c>
      <c r="E5362" t="inlineStr">
        <is>
          <t>NORRKÖPING</t>
        </is>
      </c>
      <c r="F5362" t="inlineStr">
        <is>
          <t>Holmen skog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32973-2023</t>
        </is>
      </c>
      <c r="B5363" s="1" t="n">
        <v>45125.57719907408</v>
      </c>
      <c r="C5363" s="1" t="n">
        <v>46093</v>
      </c>
      <c r="D5363" t="inlineStr">
        <is>
          <t>ÖSTERGÖTLANDS LÄN</t>
        </is>
      </c>
      <c r="E5363" t="inlineStr">
        <is>
          <t>FINSPÅNG</t>
        </is>
      </c>
      <c r="F5363" t="inlineStr">
        <is>
          <t>Övriga Aktiebolag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16975-2023</t>
        </is>
      </c>
      <c r="B5364" s="1" t="n">
        <v>45033</v>
      </c>
      <c r="C5364" s="1" t="n">
        <v>46093</v>
      </c>
      <c r="D5364" t="inlineStr">
        <is>
          <t>ÖSTERGÖTLANDS LÄN</t>
        </is>
      </c>
      <c r="E5364" t="inlineStr">
        <is>
          <t>FINSPÅNG</t>
        </is>
      </c>
      <c r="F5364" t="inlineStr">
        <is>
          <t>Naturvårdsverket</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62238-2025</t>
        </is>
      </c>
      <c r="B5365" s="1" t="n">
        <v>46006.59519675926</v>
      </c>
      <c r="C5365" s="1" t="n">
        <v>46093</v>
      </c>
      <c r="D5365" t="inlineStr">
        <is>
          <t>ÖSTERGÖTLANDS LÄN</t>
        </is>
      </c>
      <c r="E5365" t="inlineStr">
        <is>
          <t>VALDEMARSVIK</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62245-2025</t>
        </is>
      </c>
      <c r="B5366" s="1" t="n">
        <v>46006.60607638889</v>
      </c>
      <c r="C5366" s="1" t="n">
        <v>46093</v>
      </c>
      <c r="D5366" t="inlineStr">
        <is>
          <t>ÖSTERGÖTLANDS LÄN</t>
        </is>
      </c>
      <c r="E5366" t="inlineStr">
        <is>
          <t>YDRE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1924-2024</t>
        </is>
      </c>
      <c r="B5367" s="1" t="n">
        <v>45308</v>
      </c>
      <c r="C5367" s="1" t="n">
        <v>46093</v>
      </c>
      <c r="D5367" t="inlineStr">
        <is>
          <t>ÖSTERGÖTLANDS LÄN</t>
        </is>
      </c>
      <c r="E5367" t="inlineStr">
        <is>
          <t>LINKÖPING</t>
        </is>
      </c>
      <c r="F5367" t="inlineStr">
        <is>
          <t>Övriga Aktiebolag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52576-2025</t>
        </is>
      </c>
      <c r="B5368" s="1" t="n">
        <v>45954</v>
      </c>
      <c r="C5368" s="1" t="n">
        <v>46093</v>
      </c>
      <c r="D5368" t="inlineStr">
        <is>
          <t>ÖSTERGÖTLANDS LÄN</t>
        </is>
      </c>
      <c r="E5368" t="inlineStr">
        <is>
          <t>NORRKÖPING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62118-2025</t>
        </is>
      </c>
      <c r="B5369" s="1" t="n">
        <v>46006.44060185185</v>
      </c>
      <c r="C5369" s="1" t="n">
        <v>46093</v>
      </c>
      <c r="D5369" t="inlineStr">
        <is>
          <t>ÖSTERGÖTLANDS LÄN</t>
        </is>
      </c>
      <c r="E5369" t="inlineStr">
        <is>
          <t>NORRKÖPING</t>
        </is>
      </c>
      <c r="F5369" t="inlineStr">
        <is>
          <t>Holmen skog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62220-2025</t>
        </is>
      </c>
      <c r="B5370" s="1" t="n">
        <v>46006.5808912037</v>
      </c>
      <c r="C5370" s="1" t="n">
        <v>46093</v>
      </c>
      <c r="D5370" t="inlineStr">
        <is>
          <t>ÖSTERGÖTLANDS LÄN</t>
        </is>
      </c>
      <c r="E5370" t="inlineStr">
        <is>
          <t>VALDEMARSVIK</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61808-2025</t>
        </is>
      </c>
      <c r="B5371" s="1" t="n">
        <v>46002.82631944444</v>
      </c>
      <c r="C5371" s="1" t="n">
        <v>46093</v>
      </c>
      <c r="D5371" t="inlineStr">
        <is>
          <t>ÖSTERGÖTLANDS LÄN</t>
        </is>
      </c>
      <c r="E5371" t="inlineStr">
        <is>
          <t>ÖDESHÖG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618-2025</t>
        </is>
      </c>
      <c r="B5372" s="1" t="n">
        <v>45664</v>
      </c>
      <c r="C5372" s="1" t="n">
        <v>46093</v>
      </c>
      <c r="D5372" t="inlineStr">
        <is>
          <t>ÖSTERGÖTLANDS LÄN</t>
        </is>
      </c>
      <c r="E5372" t="inlineStr">
        <is>
          <t>SÖDERKÖPING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62235-2025</t>
        </is>
      </c>
      <c r="B5373" s="1" t="n">
        <v>46003</v>
      </c>
      <c r="C5373" s="1" t="n">
        <v>46093</v>
      </c>
      <c r="D5373" t="inlineStr">
        <is>
          <t>ÖSTERGÖTLANDS LÄN</t>
        </is>
      </c>
      <c r="E5373" t="inlineStr">
        <is>
          <t>FINSPÅNG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62248-2025</t>
        </is>
      </c>
      <c r="B5374" s="1" t="n">
        <v>46006.60688657407</v>
      </c>
      <c r="C5374" s="1" t="n">
        <v>46093</v>
      </c>
      <c r="D5374" t="inlineStr">
        <is>
          <t>ÖSTERGÖTLANDS LÄN</t>
        </is>
      </c>
      <c r="E5374" t="inlineStr">
        <is>
          <t>ÅTVIDABERG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56876-2024</t>
        </is>
      </c>
      <c r="B5375" s="1" t="n">
        <v>45628.56513888889</v>
      </c>
      <c r="C5375" s="1" t="n">
        <v>46093</v>
      </c>
      <c r="D5375" t="inlineStr">
        <is>
          <t>ÖSTERGÖTLANDS LÄN</t>
        </is>
      </c>
      <c r="E5375" t="inlineStr">
        <is>
          <t>NORRKÖPING</t>
        </is>
      </c>
      <c r="F5375" t="inlineStr">
        <is>
          <t>Holmen skog AB</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62129-2025</t>
        </is>
      </c>
      <c r="B5376" s="1" t="n">
        <v>46006.44893518519</v>
      </c>
      <c r="C5376" s="1" t="n">
        <v>46093</v>
      </c>
      <c r="D5376" t="inlineStr">
        <is>
          <t>ÖSTERGÖTLANDS LÄN</t>
        </is>
      </c>
      <c r="E5376" t="inlineStr">
        <is>
          <t>MJÖLBY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62008-2025</t>
        </is>
      </c>
      <c r="B5377" s="1" t="n">
        <v>46003.66984953704</v>
      </c>
      <c r="C5377" s="1" t="n">
        <v>46093</v>
      </c>
      <c r="D5377" t="inlineStr">
        <is>
          <t>ÖSTERGÖTLANDS LÄN</t>
        </is>
      </c>
      <c r="E5377" t="inlineStr">
        <is>
          <t>KINDA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62107-2025</t>
        </is>
      </c>
      <c r="B5378" s="1" t="n">
        <v>46006.42659722222</v>
      </c>
      <c r="C5378" s="1" t="n">
        <v>46093</v>
      </c>
      <c r="D5378" t="inlineStr">
        <is>
          <t>ÖSTERGÖTLANDS LÄN</t>
        </is>
      </c>
      <c r="E5378" t="inlineStr">
        <is>
          <t>NORRKÖPING</t>
        </is>
      </c>
      <c r="F5378" t="inlineStr">
        <is>
          <t>Holmen skog AB</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62112-2025</t>
        </is>
      </c>
      <c r="B5379" s="1" t="n">
        <v>46006.43421296297</v>
      </c>
      <c r="C5379" s="1" t="n">
        <v>46093</v>
      </c>
      <c r="D5379" t="inlineStr">
        <is>
          <t>ÖSTERGÖTLANDS LÄN</t>
        </is>
      </c>
      <c r="E5379" t="inlineStr">
        <is>
          <t>NORRKÖPING</t>
        </is>
      </c>
      <c r="F5379" t="inlineStr">
        <is>
          <t>Holmen skog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62123-2025</t>
        </is>
      </c>
      <c r="B5380" s="1" t="n">
        <v>46006.44307870371</v>
      </c>
      <c r="C5380" s="1" t="n">
        <v>46093</v>
      </c>
      <c r="D5380" t="inlineStr">
        <is>
          <t>ÖSTERGÖTLANDS LÄN</t>
        </is>
      </c>
      <c r="E5380" t="inlineStr">
        <is>
          <t>MJÖLBY</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40667-2023</t>
        </is>
      </c>
      <c r="B5381" s="1" t="n">
        <v>45170.58804398148</v>
      </c>
      <c r="C5381" s="1" t="n">
        <v>46093</v>
      </c>
      <c r="D5381" t="inlineStr">
        <is>
          <t>ÖSTERGÖTLANDS LÄN</t>
        </is>
      </c>
      <c r="E5381" t="inlineStr">
        <is>
          <t>MJÖLBY</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62202-2025</t>
        </is>
      </c>
      <c r="B5382" s="1" t="n">
        <v>46006.55504629629</v>
      </c>
      <c r="C5382" s="1" t="n">
        <v>46093</v>
      </c>
      <c r="D5382" t="inlineStr">
        <is>
          <t>ÖSTERGÖTLANDS LÄN</t>
        </is>
      </c>
      <c r="E5382" t="inlineStr">
        <is>
          <t>ÖDESHÖG</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61961-2025</t>
        </is>
      </c>
      <c r="B5383" s="1" t="n">
        <v>46003.58892361111</v>
      </c>
      <c r="C5383" s="1" t="n">
        <v>46093</v>
      </c>
      <c r="D5383" t="inlineStr">
        <is>
          <t>ÖSTERGÖTLANDS LÄN</t>
        </is>
      </c>
      <c r="E5383" t="inlineStr">
        <is>
          <t>BOXHOLM</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28559-2023</t>
        </is>
      </c>
      <c r="B5384" s="1" t="n">
        <v>45103.52680555556</v>
      </c>
      <c r="C5384" s="1" t="n">
        <v>46093</v>
      </c>
      <c r="D5384" t="inlineStr">
        <is>
          <t>ÖSTERGÖTLANDS LÄN</t>
        </is>
      </c>
      <c r="E5384" t="inlineStr">
        <is>
          <t>FINSPÅNG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4731-2025</t>
        </is>
      </c>
      <c r="B5385" s="1" t="n">
        <v>45688.43620370371</v>
      </c>
      <c r="C5385" s="1" t="n">
        <v>46093</v>
      </c>
      <c r="D5385" t="inlineStr">
        <is>
          <t>ÖSTERGÖTLANDS LÄN</t>
        </is>
      </c>
      <c r="E5385" t="inlineStr">
        <is>
          <t>KINDA</t>
        </is>
      </c>
      <c r="F5385" t="inlineStr">
        <is>
          <t>Övriga Aktiebolag</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4753-2025</t>
        </is>
      </c>
      <c r="B5386" s="1" t="n">
        <v>45688.46606481481</v>
      </c>
      <c r="C5386" s="1" t="n">
        <v>46093</v>
      </c>
      <c r="D5386" t="inlineStr">
        <is>
          <t>ÖSTERGÖTLANDS LÄN</t>
        </is>
      </c>
      <c r="E5386" t="inlineStr">
        <is>
          <t>FINSPÅNG</t>
        </is>
      </c>
      <c r="F5386" t="inlineStr">
        <is>
          <t>Holmen skog AB</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20583-2024</t>
        </is>
      </c>
      <c r="B5387" s="1" t="n">
        <v>45436.41305555555</v>
      </c>
      <c r="C5387" s="1" t="n">
        <v>46093</v>
      </c>
      <c r="D5387" t="inlineStr">
        <is>
          <t>ÖSTERGÖTLANDS LÄN</t>
        </is>
      </c>
      <c r="E5387" t="inlineStr">
        <is>
          <t>NORRKÖPING</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62305-2025</t>
        </is>
      </c>
      <c r="B5388" s="1" t="n">
        <v>46006.66827546297</v>
      </c>
      <c r="C5388" s="1" t="n">
        <v>46093</v>
      </c>
      <c r="D5388" t="inlineStr">
        <is>
          <t>ÖSTERGÖTLANDS LÄN</t>
        </is>
      </c>
      <c r="E5388" t="inlineStr">
        <is>
          <t>ÖDESHÖG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48742-2023</t>
        </is>
      </c>
      <c r="B5389" s="1" t="n">
        <v>45208</v>
      </c>
      <c r="C5389" s="1" t="n">
        <v>46093</v>
      </c>
      <c r="D5389" t="inlineStr">
        <is>
          <t>ÖSTERGÖTLANDS LÄN</t>
        </is>
      </c>
      <c r="E5389" t="inlineStr">
        <is>
          <t>YDRE</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62330-2025</t>
        </is>
      </c>
      <c r="B5390" s="1" t="n">
        <v>46006.73065972222</v>
      </c>
      <c r="C5390" s="1" t="n">
        <v>46093</v>
      </c>
      <c r="D5390" t="inlineStr">
        <is>
          <t>ÖSTERGÖTLANDS LÄN</t>
        </is>
      </c>
      <c r="E5390" t="inlineStr">
        <is>
          <t>YDRE</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17851-2025</t>
        </is>
      </c>
      <c r="B5391" s="1" t="n">
        <v>45758.60465277778</v>
      </c>
      <c r="C5391" s="1" t="n">
        <v>46093</v>
      </c>
      <c r="D5391" t="inlineStr">
        <is>
          <t>ÖSTERGÖTLANDS LÄN</t>
        </is>
      </c>
      <c r="E5391" t="inlineStr">
        <is>
          <t>NORRKÖPING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17852-2025</t>
        </is>
      </c>
      <c r="B5392" s="1" t="n">
        <v>45758.61055555556</v>
      </c>
      <c r="C5392" s="1" t="n">
        <v>46093</v>
      </c>
      <c r="D5392" t="inlineStr">
        <is>
          <t>ÖSTERGÖTLANDS LÄN</t>
        </is>
      </c>
      <c r="E5392" t="inlineStr">
        <is>
          <t>NORRKÖPING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15952-2023</t>
        </is>
      </c>
      <c r="B5393" s="1" t="n">
        <v>45022.59966435185</v>
      </c>
      <c r="C5393" s="1" t="n">
        <v>46093</v>
      </c>
      <c r="D5393" t="inlineStr">
        <is>
          <t>ÖSTERGÖTLANDS LÄN</t>
        </is>
      </c>
      <c r="E5393" t="inlineStr">
        <is>
          <t>FINSPÅNG</t>
        </is>
      </c>
      <c r="F5393" t="inlineStr">
        <is>
          <t>Holmen skog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62239-2025</t>
        </is>
      </c>
      <c r="B5394" s="1" t="n">
        <v>46006.59824074074</v>
      </c>
      <c r="C5394" s="1" t="n">
        <v>46093</v>
      </c>
      <c r="D5394" t="inlineStr">
        <is>
          <t>ÖSTERGÖTLANDS LÄN</t>
        </is>
      </c>
      <c r="E5394" t="inlineStr">
        <is>
          <t>VALDEMARSVIK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62303-2025</t>
        </is>
      </c>
      <c r="B5395" s="1" t="n">
        <v>46006.66340277778</v>
      </c>
      <c r="C5395" s="1" t="n">
        <v>46093</v>
      </c>
      <c r="D5395" t="inlineStr">
        <is>
          <t>ÖSTERGÖTLANDS LÄN</t>
        </is>
      </c>
      <c r="E5395" t="inlineStr">
        <is>
          <t>ÖDESHÖG</t>
        </is>
      </c>
      <c r="F5395" t="inlineStr">
        <is>
          <t>Allmännings- och besparingsskogar</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61813-2025</t>
        </is>
      </c>
      <c r="B5396" s="1" t="n">
        <v>46003.28515046297</v>
      </c>
      <c r="C5396" s="1" t="n">
        <v>46093</v>
      </c>
      <c r="D5396" t="inlineStr">
        <is>
          <t>ÖSTERGÖTLANDS LÄN</t>
        </is>
      </c>
      <c r="E5396" t="inlineStr">
        <is>
          <t>SÖDERKÖPING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61816-2025</t>
        </is>
      </c>
      <c r="B5397" s="1" t="n">
        <v>46003.29744212963</v>
      </c>
      <c r="C5397" s="1" t="n">
        <v>46093</v>
      </c>
      <c r="D5397" t="inlineStr">
        <is>
          <t>ÖSTERGÖTLANDS LÄN</t>
        </is>
      </c>
      <c r="E5397" t="inlineStr">
        <is>
          <t>SÖDERKÖPING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61817-2025</t>
        </is>
      </c>
      <c r="B5398" s="1" t="n">
        <v>46003.30361111111</v>
      </c>
      <c r="C5398" s="1" t="n">
        <v>46093</v>
      </c>
      <c r="D5398" t="inlineStr">
        <is>
          <t>ÖSTERGÖTLANDS LÄN</t>
        </is>
      </c>
      <c r="E5398" t="inlineStr">
        <is>
          <t>SÖDERKÖPING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6516-2025</t>
        </is>
      </c>
      <c r="B5399" s="1" t="n">
        <v>45699.65944444444</v>
      </c>
      <c r="C5399" s="1" t="n">
        <v>46093</v>
      </c>
      <c r="D5399" t="inlineStr">
        <is>
          <t>ÖSTERGÖTLANDS LÄN</t>
        </is>
      </c>
      <c r="E5399" t="inlineStr">
        <is>
          <t>NORRKÖPING</t>
        </is>
      </c>
      <c r="F5399" t="inlineStr">
        <is>
          <t>Allmännings- och besparingsskogar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6522-2025</t>
        </is>
      </c>
      <c r="B5400" s="1" t="n">
        <v>45699</v>
      </c>
      <c r="C5400" s="1" t="n">
        <v>46093</v>
      </c>
      <c r="D5400" t="inlineStr">
        <is>
          <t>ÖSTERGÖTLANDS LÄN</t>
        </is>
      </c>
      <c r="E5400" t="inlineStr">
        <is>
          <t>VALDEMARSVIK</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62244-2025</t>
        </is>
      </c>
      <c r="B5401" s="1" t="n">
        <v>46006.60467592593</v>
      </c>
      <c r="C5401" s="1" t="n">
        <v>46093</v>
      </c>
      <c r="D5401" t="inlineStr">
        <is>
          <t>ÖSTERGÖTLANDS LÄN</t>
        </is>
      </c>
      <c r="E5401" t="inlineStr">
        <is>
          <t>YDRE</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61966-2025</t>
        </is>
      </c>
      <c r="B5402" s="1" t="n">
        <v>46003.59415509259</v>
      </c>
      <c r="C5402" s="1" t="n">
        <v>46093</v>
      </c>
      <c r="D5402" t="inlineStr">
        <is>
          <t>ÖSTERGÖTLANDS LÄN</t>
        </is>
      </c>
      <c r="E5402" t="inlineStr">
        <is>
          <t>BOXHOLM</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62242-2025</t>
        </is>
      </c>
      <c r="B5403" s="1" t="n">
        <v>46006.59943287037</v>
      </c>
      <c r="C5403" s="1" t="n">
        <v>46093</v>
      </c>
      <c r="D5403" t="inlineStr">
        <is>
          <t>ÖSTERGÖTLANDS LÄN</t>
        </is>
      </c>
      <c r="E5403" t="inlineStr">
        <is>
          <t>FINSPÅNG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15129-2025</t>
        </is>
      </c>
      <c r="B5404" s="1" t="n">
        <v>45744.3828125</v>
      </c>
      <c r="C5404" s="1" t="n">
        <v>46093</v>
      </c>
      <c r="D5404" t="inlineStr">
        <is>
          <t>ÖSTERGÖTLANDS LÄN</t>
        </is>
      </c>
      <c r="E5404" t="inlineStr">
        <is>
          <t>FINSPÅNG</t>
        </is>
      </c>
      <c r="F5404" t="inlineStr">
        <is>
          <t>Naturvårdsverket</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61899-2025</t>
        </is>
      </c>
      <c r="B5405" s="1" t="n">
        <v>46003.46635416667</v>
      </c>
      <c r="C5405" s="1" t="n">
        <v>46093</v>
      </c>
      <c r="D5405" t="inlineStr">
        <is>
          <t>ÖSTERGÖTLANDS LÄN</t>
        </is>
      </c>
      <c r="E5405" t="inlineStr">
        <is>
          <t>LINKÖPING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61908-2025</t>
        </is>
      </c>
      <c r="B5406" s="1" t="n">
        <v>46003.47145833333</v>
      </c>
      <c r="C5406" s="1" t="n">
        <v>46093</v>
      </c>
      <c r="D5406" t="inlineStr">
        <is>
          <t>ÖSTERGÖTLANDS LÄN</t>
        </is>
      </c>
      <c r="E5406" t="inlineStr">
        <is>
          <t>KINDA</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62186-2023</t>
        </is>
      </c>
      <c r="B5407" s="1" t="n">
        <v>45267.45017361111</v>
      </c>
      <c r="C5407" s="1" t="n">
        <v>46093</v>
      </c>
      <c r="D5407" t="inlineStr">
        <is>
          <t>ÖSTERGÖTLANDS LÄN</t>
        </is>
      </c>
      <c r="E5407" t="inlineStr">
        <is>
          <t>FINSPÅNG</t>
        </is>
      </c>
      <c r="F5407" t="inlineStr">
        <is>
          <t>Holmen skog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61938-2025</t>
        </is>
      </c>
      <c r="B5408" s="1" t="n">
        <v>46003.55443287037</v>
      </c>
      <c r="C5408" s="1" t="n">
        <v>46093</v>
      </c>
      <c r="D5408" t="inlineStr">
        <is>
          <t>ÖSTERGÖTLANDS LÄN</t>
        </is>
      </c>
      <c r="E5408" t="inlineStr">
        <is>
          <t>MOTALA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61952-2025</t>
        </is>
      </c>
      <c r="B5409" s="1" t="n">
        <v>46003.57324074074</v>
      </c>
      <c r="C5409" s="1" t="n">
        <v>46093</v>
      </c>
      <c r="D5409" t="inlineStr">
        <is>
          <t>ÖSTERGÖTLANDS LÄN</t>
        </is>
      </c>
      <c r="E5409" t="inlineStr">
        <is>
          <t>MOTALA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61972-2025</t>
        </is>
      </c>
      <c r="B5410" s="1" t="n">
        <v>46003.59736111111</v>
      </c>
      <c r="C5410" s="1" t="n">
        <v>46093</v>
      </c>
      <c r="D5410" t="inlineStr">
        <is>
          <t>ÖSTERGÖTLANDS LÄN</t>
        </is>
      </c>
      <c r="E5410" t="inlineStr">
        <is>
          <t>ÖDESHÖG</t>
        </is>
      </c>
      <c r="F5410" t="inlineStr">
        <is>
          <t>Allmännings- och besparingsskogar</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62108-2025</t>
        </is>
      </c>
      <c r="B5411" s="1" t="n">
        <v>46006.42920138889</v>
      </c>
      <c r="C5411" s="1" t="n">
        <v>46093</v>
      </c>
      <c r="D5411" t="inlineStr">
        <is>
          <t>ÖSTERGÖTLANDS LÄN</t>
        </is>
      </c>
      <c r="E5411" t="inlineStr">
        <is>
          <t>NORRKÖPING</t>
        </is>
      </c>
      <c r="F5411" t="inlineStr">
        <is>
          <t>Holmen skog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49089-2023</t>
        </is>
      </c>
      <c r="B5412" s="1" t="n">
        <v>45210</v>
      </c>
      <c r="C5412" s="1" t="n">
        <v>46093</v>
      </c>
      <c r="D5412" t="inlineStr">
        <is>
          <t>ÖSTERGÖTLANDS LÄN</t>
        </is>
      </c>
      <c r="E5412" t="inlineStr">
        <is>
          <t>BOXHOLM</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62697-2025</t>
        </is>
      </c>
      <c r="B5413" s="1" t="n">
        <v>46008.48805555556</v>
      </c>
      <c r="C5413" s="1" t="n">
        <v>46093</v>
      </c>
      <c r="D5413" t="inlineStr">
        <is>
          <t>ÖSTERGÖTLANDS LÄN</t>
        </is>
      </c>
      <c r="E5413" t="inlineStr">
        <is>
          <t>KINDA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15071-2025</t>
        </is>
      </c>
      <c r="B5414" s="1" t="n">
        <v>45743.77516203704</v>
      </c>
      <c r="C5414" s="1" t="n">
        <v>46093</v>
      </c>
      <c r="D5414" t="inlineStr">
        <is>
          <t>ÖSTERGÖTLANDS LÄN</t>
        </is>
      </c>
      <c r="E5414" t="inlineStr">
        <is>
          <t>MOTALA</t>
        </is>
      </c>
      <c r="F5414" t="inlineStr">
        <is>
          <t>Sveaskog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47224-2023</t>
        </is>
      </c>
      <c r="B5415" s="1" t="n">
        <v>45202</v>
      </c>
      <c r="C5415" s="1" t="n">
        <v>46093</v>
      </c>
      <c r="D5415" t="inlineStr">
        <is>
          <t>ÖSTERGÖTLANDS LÄN</t>
        </is>
      </c>
      <c r="E5415" t="inlineStr">
        <is>
          <t>FINSPÅNG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34558-2022</t>
        </is>
      </c>
      <c r="B5416" s="1" t="n">
        <v>44794.57594907407</v>
      </c>
      <c r="C5416" s="1" t="n">
        <v>46093</v>
      </c>
      <c r="D5416" t="inlineStr">
        <is>
          <t>ÖSTERGÖTLANDS LÄN</t>
        </is>
      </c>
      <c r="E5416" t="inlineStr">
        <is>
          <t>LINKÖPING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62791-2025</t>
        </is>
      </c>
      <c r="B5417" s="1" t="n">
        <v>46008.63266203704</v>
      </c>
      <c r="C5417" s="1" t="n">
        <v>46093</v>
      </c>
      <c r="D5417" t="inlineStr">
        <is>
          <t>ÖSTERGÖTLANDS LÄN</t>
        </is>
      </c>
      <c r="E5417" t="inlineStr">
        <is>
          <t>LINKÖPING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62796-2025</t>
        </is>
      </c>
      <c r="B5418" s="1" t="n">
        <v>46008.63685185185</v>
      </c>
      <c r="C5418" s="1" t="n">
        <v>46093</v>
      </c>
      <c r="D5418" t="inlineStr">
        <is>
          <t>ÖSTERGÖTLANDS LÄN</t>
        </is>
      </c>
      <c r="E5418" t="inlineStr">
        <is>
          <t>BOXHOLM</t>
        </is>
      </c>
      <c r="F5418" t="inlineStr">
        <is>
          <t>Övriga Aktiebolag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31801-2023</t>
        </is>
      </c>
      <c r="B5419" s="1" t="n">
        <v>45118</v>
      </c>
      <c r="C5419" s="1" t="n">
        <v>46093</v>
      </c>
      <c r="D5419" t="inlineStr">
        <is>
          <t>ÖSTERGÖTLANDS LÄN</t>
        </is>
      </c>
      <c r="E5419" t="inlineStr">
        <is>
          <t>FINSPÅNG</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15544-2025</t>
        </is>
      </c>
      <c r="B5420" s="1" t="n">
        <v>45747.65967592593</v>
      </c>
      <c r="C5420" s="1" t="n">
        <v>46093</v>
      </c>
      <c r="D5420" t="inlineStr">
        <is>
          <t>ÖSTERGÖTLANDS LÄN</t>
        </is>
      </c>
      <c r="E5420" t="inlineStr">
        <is>
          <t>MOTALA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62453-2025</t>
        </is>
      </c>
      <c r="B5421" s="1" t="n">
        <v>46007.49010416667</v>
      </c>
      <c r="C5421" s="1" t="n">
        <v>46093</v>
      </c>
      <c r="D5421" t="inlineStr">
        <is>
          <t>ÖSTERGÖTLANDS LÄN</t>
        </is>
      </c>
      <c r="E5421" t="inlineStr">
        <is>
          <t>YDRE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168-2024</t>
        </is>
      </c>
      <c r="B5422" s="1" t="n">
        <v>45294</v>
      </c>
      <c r="C5422" s="1" t="n">
        <v>46093</v>
      </c>
      <c r="D5422" t="inlineStr">
        <is>
          <t>ÖSTERGÖTLANDS LÄN</t>
        </is>
      </c>
      <c r="E5422" t="inlineStr">
        <is>
          <t>LINKÖPING</t>
        </is>
      </c>
      <c r="F5422" t="inlineStr">
        <is>
          <t>Allmännings- och besparingsskogar</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185-2024</t>
        </is>
      </c>
      <c r="B5423" s="1" t="n">
        <v>45294.60003472222</v>
      </c>
      <c r="C5423" s="1" t="n">
        <v>46093</v>
      </c>
      <c r="D5423" t="inlineStr">
        <is>
          <t>ÖSTERGÖTLANDS LÄN</t>
        </is>
      </c>
      <c r="E5423" t="inlineStr">
        <is>
          <t>MOTALA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62647-2025</t>
        </is>
      </c>
      <c r="B5424" s="1" t="n">
        <v>46008.39512731481</v>
      </c>
      <c r="C5424" s="1" t="n">
        <v>46093</v>
      </c>
      <c r="D5424" t="inlineStr">
        <is>
          <t>ÖSTERGÖTLANDS LÄN</t>
        </is>
      </c>
      <c r="E5424" t="inlineStr">
        <is>
          <t>BOXHOLM</t>
        </is>
      </c>
      <c r="F5424" t="inlineStr">
        <is>
          <t>Övriga Aktiebolag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49441-2024</t>
        </is>
      </c>
      <c r="B5425" s="1" t="n">
        <v>45595.88284722222</v>
      </c>
      <c r="C5425" s="1" t="n">
        <v>46093</v>
      </c>
      <c r="D5425" t="inlineStr">
        <is>
          <t>ÖSTERGÖTLANDS LÄN</t>
        </is>
      </c>
      <c r="E5425" t="inlineStr">
        <is>
          <t>YDRE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45476-2023</t>
        </is>
      </c>
      <c r="B5426" s="1" t="n">
        <v>45194.44329861111</v>
      </c>
      <c r="C5426" s="1" t="n">
        <v>46093</v>
      </c>
      <c r="D5426" t="inlineStr">
        <is>
          <t>ÖSTERGÖTLANDS LÄN</t>
        </is>
      </c>
      <c r="E5426" t="inlineStr">
        <is>
          <t>SÖDERKÖPING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62444-2025</t>
        </is>
      </c>
      <c r="B5427" s="1" t="n">
        <v>46007.48309027778</v>
      </c>
      <c r="C5427" s="1" t="n">
        <v>46093</v>
      </c>
      <c r="D5427" t="inlineStr">
        <is>
          <t>ÖSTERGÖTLANDS LÄN</t>
        </is>
      </c>
      <c r="E5427" t="inlineStr">
        <is>
          <t>KINDA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62448-2025</t>
        </is>
      </c>
      <c r="B5428" s="1" t="n">
        <v>46007.48770833333</v>
      </c>
      <c r="C5428" s="1" t="n">
        <v>46093</v>
      </c>
      <c r="D5428" t="inlineStr">
        <is>
          <t>ÖSTERGÖTLANDS LÄN</t>
        </is>
      </c>
      <c r="E5428" t="inlineStr">
        <is>
          <t>YDRE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356-2024</t>
        </is>
      </c>
      <c r="B5429" s="1" t="n">
        <v>45295</v>
      </c>
      <c r="C5429" s="1" t="n">
        <v>46093</v>
      </c>
      <c r="D5429" t="inlineStr">
        <is>
          <t>ÖSTERGÖTLANDS LÄN</t>
        </is>
      </c>
      <c r="E5429" t="inlineStr">
        <is>
          <t>SÖDERKÖPING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57156-2024</t>
        </is>
      </c>
      <c r="B5430" s="1" t="n">
        <v>45629.40020833333</v>
      </c>
      <c r="C5430" s="1" t="n">
        <v>46093</v>
      </c>
      <c r="D5430" t="inlineStr">
        <is>
          <t>ÖSTERGÖTLANDS LÄN</t>
        </is>
      </c>
      <c r="E5430" t="inlineStr">
        <is>
          <t>FINSPÅNG</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62775-2025</t>
        </is>
      </c>
      <c r="B5431" s="1" t="n">
        <v>46008.60917824074</v>
      </c>
      <c r="C5431" s="1" t="n">
        <v>46093</v>
      </c>
      <c r="D5431" t="inlineStr">
        <is>
          <t>ÖSTERGÖTLANDS LÄN</t>
        </is>
      </c>
      <c r="E5431" t="inlineStr">
        <is>
          <t>ÖDESHÖG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16286-2023</t>
        </is>
      </c>
      <c r="B5432" s="1" t="n">
        <v>45028</v>
      </c>
      <c r="C5432" s="1" t="n">
        <v>46093</v>
      </c>
      <c r="D5432" t="inlineStr">
        <is>
          <t>ÖSTERGÖTLANDS LÄN</t>
        </is>
      </c>
      <c r="E5432" t="inlineStr">
        <is>
          <t>SÖDERKÖPING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62781-2025</t>
        </is>
      </c>
      <c r="B5433" s="1" t="n">
        <v>46008.61575231481</v>
      </c>
      <c r="C5433" s="1" t="n">
        <v>46093</v>
      </c>
      <c r="D5433" t="inlineStr">
        <is>
          <t>ÖSTERGÖTLANDS LÄN</t>
        </is>
      </c>
      <c r="E5433" t="inlineStr">
        <is>
          <t>ÅTVIDABERG</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21465-2023</t>
        </is>
      </c>
      <c r="B5434" s="1" t="n">
        <v>45058</v>
      </c>
      <c r="C5434" s="1" t="n">
        <v>46093</v>
      </c>
      <c r="D5434" t="inlineStr">
        <is>
          <t>ÖSTERGÖTLANDS LÄN</t>
        </is>
      </c>
      <c r="E5434" t="inlineStr">
        <is>
          <t>ÅTVIDABERG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50866-2023</t>
        </is>
      </c>
      <c r="B5435" s="1" t="n">
        <v>45218.36055555556</v>
      </c>
      <c r="C5435" s="1" t="n">
        <v>46093</v>
      </c>
      <c r="D5435" t="inlineStr">
        <is>
          <t>ÖSTERGÖTLANDS LÄN</t>
        </is>
      </c>
      <c r="E5435" t="inlineStr">
        <is>
          <t>SÖDERKÖPING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62724-2025</t>
        </is>
      </c>
      <c r="B5436" s="1" t="n">
        <v>46008.54895833333</v>
      </c>
      <c r="C5436" s="1" t="n">
        <v>46093</v>
      </c>
      <c r="D5436" t="inlineStr">
        <is>
          <t>ÖSTERGÖTLANDS LÄN</t>
        </is>
      </c>
      <c r="E5436" t="inlineStr">
        <is>
          <t>SÖDERKÖPING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62686-2025</t>
        </is>
      </c>
      <c r="B5437" s="1" t="n">
        <v>46008.46769675926</v>
      </c>
      <c r="C5437" s="1" t="n">
        <v>46093</v>
      </c>
      <c r="D5437" t="inlineStr">
        <is>
          <t>ÖSTERGÖTLANDS LÄN</t>
        </is>
      </c>
      <c r="E5437" t="inlineStr">
        <is>
          <t>LINKÖPING</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16342-2023</t>
        </is>
      </c>
      <c r="B5438" s="1" t="n">
        <v>45028</v>
      </c>
      <c r="C5438" s="1" t="n">
        <v>46093</v>
      </c>
      <c r="D5438" t="inlineStr">
        <is>
          <t>ÖSTERGÖTLANDS LÄN</t>
        </is>
      </c>
      <c r="E5438" t="inlineStr">
        <is>
          <t>VALDEMARSVIK</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1727-2025</t>
        </is>
      </c>
      <c r="B5439" s="1" t="n">
        <v>45671.35634259259</v>
      </c>
      <c r="C5439" s="1" t="n">
        <v>46093</v>
      </c>
      <c r="D5439" t="inlineStr">
        <is>
          <t>ÖSTERGÖTLANDS LÄN</t>
        </is>
      </c>
      <c r="E5439" t="inlineStr">
        <is>
          <t>ÅTVIDABERG</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15658-2023</t>
        </is>
      </c>
      <c r="B5440" s="1" t="n">
        <v>45021.41194444444</v>
      </c>
      <c r="C5440" s="1" t="n">
        <v>46093</v>
      </c>
      <c r="D5440" t="inlineStr">
        <is>
          <t>ÖSTERGÖTLANDS LÄN</t>
        </is>
      </c>
      <c r="E5440" t="inlineStr">
        <is>
          <t>LINKÖPING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1397-2025</t>
        </is>
      </c>
      <c r="B5441" s="1" t="n">
        <v>45667.69849537037</v>
      </c>
      <c r="C5441" s="1" t="n">
        <v>46093</v>
      </c>
      <c r="D5441" t="inlineStr">
        <is>
          <t>ÖSTERGÖTLANDS LÄN</t>
        </is>
      </c>
      <c r="E5441" t="inlineStr">
        <is>
          <t>VALDEMARSVIK</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62443-2025</t>
        </is>
      </c>
      <c r="B5442" s="1" t="n">
        <v>46007.48135416667</v>
      </c>
      <c r="C5442" s="1" t="n">
        <v>46093</v>
      </c>
      <c r="D5442" t="inlineStr">
        <is>
          <t>ÖSTERGÖTLANDS LÄN</t>
        </is>
      </c>
      <c r="E5442" t="inlineStr">
        <is>
          <t>KINDA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62446-2025</t>
        </is>
      </c>
      <c r="B5443" s="1" t="n">
        <v>46007.48497685185</v>
      </c>
      <c r="C5443" s="1" t="n">
        <v>46093</v>
      </c>
      <c r="D5443" t="inlineStr">
        <is>
          <t>ÖSTERGÖTLANDS LÄN</t>
        </is>
      </c>
      <c r="E5443" t="inlineStr">
        <is>
          <t>YDRE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62370-2025</t>
        </is>
      </c>
      <c r="B5444" s="1" t="n">
        <v>46007.33993055556</v>
      </c>
      <c r="C5444" s="1" t="n">
        <v>46093</v>
      </c>
      <c r="D5444" t="inlineStr">
        <is>
          <t>ÖSTERGÖTLANDS LÄN</t>
        </is>
      </c>
      <c r="E5444" t="inlineStr">
        <is>
          <t>NORRKÖPING</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62447-2025</t>
        </is>
      </c>
      <c r="B5445" s="1" t="n">
        <v>46007.48613425926</v>
      </c>
      <c r="C5445" s="1" t="n">
        <v>46093</v>
      </c>
      <c r="D5445" t="inlineStr">
        <is>
          <t>ÖSTERGÖTLANDS LÄN</t>
        </is>
      </c>
      <c r="E5445" t="inlineStr">
        <is>
          <t>MJÖLBY</t>
        </is>
      </c>
      <c r="F5445" t="inlineStr">
        <is>
          <t>Kommuner</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13629-2025</t>
        </is>
      </c>
      <c r="B5446" s="1" t="n">
        <v>45736.64368055556</v>
      </c>
      <c r="C5446" s="1" t="n">
        <v>46093</v>
      </c>
      <c r="D5446" t="inlineStr">
        <is>
          <t>ÖSTERGÖTLANDS LÄN</t>
        </is>
      </c>
      <c r="E5446" t="inlineStr">
        <is>
          <t>ÖDESHÖG</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61987-2023</t>
        </is>
      </c>
      <c r="B5447" s="1" t="n">
        <v>45266.61387731481</v>
      </c>
      <c r="C5447" s="1" t="n">
        <v>46093</v>
      </c>
      <c r="D5447" t="inlineStr">
        <is>
          <t>ÖSTERGÖTLANDS LÄN</t>
        </is>
      </c>
      <c r="E5447" t="inlineStr">
        <is>
          <t>KINDA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26407-2023</t>
        </is>
      </c>
      <c r="B5448" s="1" t="n">
        <v>45092.36790509259</v>
      </c>
      <c r="C5448" s="1" t="n">
        <v>46093</v>
      </c>
      <c r="D5448" t="inlineStr">
        <is>
          <t>ÖSTERGÖTLANDS LÄN</t>
        </is>
      </c>
      <c r="E5448" t="inlineStr">
        <is>
          <t>NORRKÖPING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62391-2025</t>
        </is>
      </c>
      <c r="B5449" s="1" t="n">
        <v>46007.3897337963</v>
      </c>
      <c r="C5449" s="1" t="n">
        <v>46093</v>
      </c>
      <c r="D5449" t="inlineStr">
        <is>
          <t>ÖSTERGÖTLANDS LÄN</t>
        </is>
      </c>
      <c r="E5449" t="inlineStr">
        <is>
          <t>MJÖLBY</t>
        </is>
      </c>
      <c r="F5449" t="inlineStr">
        <is>
          <t>Kyrkan</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62515-2025</t>
        </is>
      </c>
      <c r="B5450" s="1" t="n">
        <v>46007.60548611111</v>
      </c>
      <c r="C5450" s="1" t="n">
        <v>46093</v>
      </c>
      <c r="D5450" t="inlineStr">
        <is>
          <t>ÖSTERGÖTLANDS LÄN</t>
        </is>
      </c>
      <c r="E5450" t="inlineStr">
        <is>
          <t>LINKÖPING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30433-2024</t>
        </is>
      </c>
      <c r="B5451" s="1" t="n">
        <v>45491.69741898148</v>
      </c>
      <c r="C5451" s="1" t="n">
        <v>46093</v>
      </c>
      <c r="D5451" t="inlineStr">
        <is>
          <t>ÖSTERGÖTLANDS LÄN</t>
        </is>
      </c>
      <c r="E5451" t="inlineStr">
        <is>
          <t>LINKÖPING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22703-2023</t>
        </is>
      </c>
      <c r="B5452" s="1" t="n">
        <v>45071</v>
      </c>
      <c r="C5452" s="1" t="n">
        <v>46093</v>
      </c>
      <c r="D5452" t="inlineStr">
        <is>
          <t>ÖSTERGÖTLANDS LÄN</t>
        </is>
      </c>
      <c r="E5452" t="inlineStr">
        <is>
          <t>KINDA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62473-2025</t>
        </is>
      </c>
      <c r="B5453" s="1" t="n">
        <v>46007.54611111111</v>
      </c>
      <c r="C5453" s="1" t="n">
        <v>46093</v>
      </c>
      <c r="D5453" t="inlineStr">
        <is>
          <t>ÖSTERGÖTLANDS LÄN</t>
        </is>
      </c>
      <c r="E5453" t="inlineStr">
        <is>
          <t>NORRKÖPING</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62703-2025</t>
        </is>
      </c>
      <c r="B5454" s="1" t="n">
        <v>46008.49290509259</v>
      </c>
      <c r="C5454" s="1" t="n">
        <v>46093</v>
      </c>
      <c r="D5454" t="inlineStr">
        <is>
          <t>ÖSTERGÖTLANDS LÄN</t>
        </is>
      </c>
      <c r="E5454" t="inlineStr">
        <is>
          <t>KINDA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62707-2025</t>
        </is>
      </c>
      <c r="B5455" s="1" t="n">
        <v>46008.50423611111</v>
      </c>
      <c r="C5455" s="1" t="n">
        <v>46093</v>
      </c>
      <c r="D5455" t="inlineStr">
        <is>
          <t>ÖSTERGÖTLANDS LÄN</t>
        </is>
      </c>
      <c r="E5455" t="inlineStr">
        <is>
          <t>KINDA</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62441-2025</t>
        </is>
      </c>
      <c r="B5456" s="1" t="n">
        <v>46007.4759837963</v>
      </c>
      <c r="C5456" s="1" t="n">
        <v>46093</v>
      </c>
      <c r="D5456" t="inlineStr">
        <is>
          <t>ÖSTERGÖTLANDS LÄN</t>
        </is>
      </c>
      <c r="E5456" t="inlineStr">
        <is>
          <t>YDRE</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62852-2025</t>
        </is>
      </c>
      <c r="B5457" s="1" t="n">
        <v>46008.70960648148</v>
      </c>
      <c r="C5457" s="1" t="n">
        <v>46093</v>
      </c>
      <c r="D5457" t="inlineStr">
        <is>
          <t>ÖSTERGÖTLANDS LÄN</t>
        </is>
      </c>
      <c r="E5457" t="inlineStr">
        <is>
          <t>MJÖLBY</t>
        </is>
      </c>
      <c r="F5457" t="inlineStr">
        <is>
          <t>Kyrkan</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62776-2025</t>
        </is>
      </c>
      <c r="B5458" s="1" t="n">
        <v>46008.60930555555</v>
      </c>
      <c r="C5458" s="1" t="n">
        <v>46093</v>
      </c>
      <c r="D5458" t="inlineStr">
        <is>
          <t>ÖSTERGÖTLANDS LÄN</t>
        </is>
      </c>
      <c r="E5458" t="inlineStr">
        <is>
          <t>BOXHOLM</t>
        </is>
      </c>
      <c r="F5458" t="inlineStr">
        <is>
          <t>Övriga Aktiebolag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62415-2025</t>
        </is>
      </c>
      <c r="B5459" s="1" t="n">
        <v>46007.44498842592</v>
      </c>
      <c r="C5459" s="1" t="n">
        <v>46093</v>
      </c>
      <c r="D5459" t="inlineStr">
        <is>
          <t>ÖSTERGÖTLANDS LÄN</t>
        </is>
      </c>
      <c r="E5459" t="inlineStr">
        <is>
          <t>KINDA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62730-2025</t>
        </is>
      </c>
      <c r="B5460" s="1" t="n">
        <v>46008.5571875</v>
      </c>
      <c r="C5460" s="1" t="n">
        <v>46093</v>
      </c>
      <c r="D5460" t="inlineStr">
        <is>
          <t>ÖSTERGÖTLANDS LÄN</t>
        </is>
      </c>
      <c r="E5460" t="inlineStr">
        <is>
          <t>SÖDERKÖPING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20251-2023</t>
        </is>
      </c>
      <c r="B5461" s="1" t="n">
        <v>45055</v>
      </c>
      <c r="C5461" s="1" t="n">
        <v>46093</v>
      </c>
      <c r="D5461" t="inlineStr">
        <is>
          <t>ÖSTERGÖTLANDS LÄN</t>
        </is>
      </c>
      <c r="E5461" t="inlineStr">
        <is>
          <t>SÖDERKÖPING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20253-2023</t>
        </is>
      </c>
      <c r="B5462" s="1" t="n">
        <v>45055</v>
      </c>
      <c r="C5462" s="1" t="n">
        <v>46093</v>
      </c>
      <c r="D5462" t="inlineStr">
        <is>
          <t>ÖSTERGÖTLANDS LÄN</t>
        </is>
      </c>
      <c r="E5462" t="inlineStr">
        <is>
          <t>SÖDERKÖPING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62694-2025</t>
        </is>
      </c>
      <c r="B5463" s="1" t="n">
        <v>46008.4852662037</v>
      </c>
      <c r="C5463" s="1" t="n">
        <v>46093</v>
      </c>
      <c r="D5463" t="inlineStr">
        <is>
          <t>ÖSTERGÖTLANDS LÄN</t>
        </is>
      </c>
      <c r="E5463" t="inlineStr">
        <is>
          <t>KINDA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33375-2024</t>
        </is>
      </c>
      <c r="B5464" s="1" t="n">
        <v>45519</v>
      </c>
      <c r="C5464" s="1" t="n">
        <v>46093</v>
      </c>
      <c r="D5464" t="inlineStr">
        <is>
          <t>ÖSTERGÖTLANDS LÄN</t>
        </is>
      </c>
      <c r="E5464" t="inlineStr">
        <is>
          <t>ÖDESHÖG</t>
        </is>
      </c>
      <c r="F5464" t="inlineStr">
        <is>
          <t>Allmännings- och besparingsskogar</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62801-2025</t>
        </is>
      </c>
      <c r="B5465" s="1" t="n">
        <v>46008.63946759259</v>
      </c>
      <c r="C5465" s="1" t="n">
        <v>46093</v>
      </c>
      <c r="D5465" t="inlineStr">
        <is>
          <t>ÖSTERGÖTLANDS LÄN</t>
        </is>
      </c>
      <c r="E5465" t="inlineStr">
        <is>
          <t>ÖDESHÖG</t>
        </is>
      </c>
      <c r="G5465" t="n">
        <v>6.6</v>
      </c>
      <c r="H5465" t="n">
        <v>0</v>
      </c>
      <c r="I5465" t="n">
        <v>0</v>
      </c>
      <c r="J5465" t="n">
        <v>0</v>
      </c>
      <c r="K5465" t="n">
        <v>0</v>
      </c>
      <c r="L5465" t="n">
        <v>0</v>
      </c>
      <c r="M5465" t="n">
        <v>0</v>
      </c>
      <c r="N5465" t="n">
        <v>0</v>
      </c>
      <c r="O5465" t="n">
        <v>0</v>
      </c>
      <c r="P5465" t="n">
        <v>0</v>
      </c>
      <c r="Q5465" t="n">
        <v>0</v>
      </c>
      <c r="R5465" s="2" t="inlineStr"/>
    </row>
    <row r="5466" ht="15" customHeight="1">
      <c r="A5466" t="inlineStr">
        <is>
          <t>A 36412-2024</t>
        </is>
      </c>
      <c r="B5466" s="1" t="n">
        <v>45535.91413194445</v>
      </c>
      <c r="C5466" s="1" t="n">
        <v>46093</v>
      </c>
      <c r="D5466" t="inlineStr">
        <is>
          <t>ÖSTERGÖTLANDS LÄN</t>
        </is>
      </c>
      <c r="E5466" t="inlineStr">
        <is>
          <t>NORRKÖPING</t>
        </is>
      </c>
      <c r="G5466" t="n">
        <v>12.8</v>
      </c>
      <c r="H5466" t="n">
        <v>0</v>
      </c>
      <c r="I5466" t="n">
        <v>0</v>
      </c>
      <c r="J5466" t="n">
        <v>0</v>
      </c>
      <c r="K5466" t="n">
        <v>0</v>
      </c>
      <c r="L5466" t="n">
        <v>0</v>
      </c>
      <c r="M5466" t="n">
        <v>0</v>
      </c>
      <c r="N5466" t="n">
        <v>0</v>
      </c>
      <c r="O5466" t="n">
        <v>0</v>
      </c>
      <c r="P5466" t="n">
        <v>0</v>
      </c>
      <c r="Q5466" t="n">
        <v>0</v>
      </c>
      <c r="R5466" s="2" t="inlineStr"/>
    </row>
    <row r="5467" ht="15" customHeight="1">
      <c r="A5467" t="inlineStr">
        <is>
          <t>A 9117-2023</t>
        </is>
      </c>
      <c r="B5467" s="1" t="n">
        <v>44980.25599537037</v>
      </c>
      <c r="C5467" s="1" t="n">
        <v>46093</v>
      </c>
      <c r="D5467" t="inlineStr">
        <is>
          <t>ÖSTERGÖTLANDS LÄN</t>
        </is>
      </c>
      <c r="E5467" t="inlineStr">
        <is>
          <t>BOXHOLM</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22573-2021</t>
        </is>
      </c>
      <c r="B5468" s="1" t="n">
        <v>44327</v>
      </c>
      <c r="C5468" s="1" t="n">
        <v>46093</v>
      </c>
      <c r="D5468" t="inlineStr">
        <is>
          <t>ÖSTERGÖTLANDS LÄN</t>
        </is>
      </c>
      <c r="E5468" t="inlineStr">
        <is>
          <t>ÅTVIDABERG</t>
        </is>
      </c>
      <c r="F5468" t="inlineStr">
        <is>
          <t>Övriga Aktiebolag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52730-2023</t>
        </is>
      </c>
      <c r="B5469" s="1" t="n">
        <v>45225.92840277778</v>
      </c>
      <c r="C5469" s="1" t="n">
        <v>46093</v>
      </c>
      <c r="D5469" t="inlineStr">
        <is>
          <t>ÖSTERGÖTLANDS LÄN</t>
        </is>
      </c>
      <c r="E5469" t="inlineStr">
        <is>
          <t>FINSPÅNG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5513-2025</t>
        </is>
      </c>
      <c r="B5470" s="1" t="n">
        <v>45693.40201388889</v>
      </c>
      <c r="C5470" s="1" t="n">
        <v>46093</v>
      </c>
      <c r="D5470" t="inlineStr">
        <is>
          <t>ÖSTERGÖTLANDS LÄN</t>
        </is>
      </c>
      <c r="E5470" t="inlineStr">
        <is>
          <t>ÖDESHÖG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62482-2025</t>
        </is>
      </c>
      <c r="B5471" s="1" t="n">
        <v>46007.56096064814</v>
      </c>
      <c r="C5471" s="1" t="n">
        <v>46093</v>
      </c>
      <c r="D5471" t="inlineStr">
        <is>
          <t>ÖSTERGÖTLANDS LÄN</t>
        </is>
      </c>
      <c r="E5471" t="inlineStr">
        <is>
          <t>ÖDESHÖG</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63115-2025</t>
        </is>
      </c>
      <c r="B5472" s="1" t="n">
        <v>46009.76274305556</v>
      </c>
      <c r="C5472" s="1" t="n">
        <v>46093</v>
      </c>
      <c r="D5472" t="inlineStr">
        <is>
          <t>ÖSTERGÖTLANDS LÄN</t>
        </is>
      </c>
      <c r="E5472" t="inlineStr">
        <is>
          <t>ÖDESHÖG</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58141-2022</t>
        </is>
      </c>
      <c r="B5473" s="1" t="n">
        <v>44900.723125</v>
      </c>
      <c r="C5473" s="1" t="n">
        <v>46093</v>
      </c>
      <c r="D5473" t="inlineStr">
        <is>
          <t>ÖSTERGÖTLANDS LÄN</t>
        </is>
      </c>
      <c r="E5473" t="inlineStr">
        <is>
          <t>FINSPÅNG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63264-2025</t>
        </is>
      </c>
      <c r="B5474" s="1" t="n">
        <v>46010.56065972222</v>
      </c>
      <c r="C5474" s="1" t="n">
        <v>46093</v>
      </c>
      <c r="D5474" t="inlineStr">
        <is>
          <t>ÖSTERGÖTLANDS LÄN</t>
        </is>
      </c>
      <c r="E5474" t="inlineStr">
        <is>
          <t>YDRE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44819-2023</t>
        </is>
      </c>
      <c r="B5475" s="1" t="n">
        <v>45190</v>
      </c>
      <c r="C5475" s="1" t="n">
        <v>46093</v>
      </c>
      <c r="D5475" t="inlineStr">
        <is>
          <t>ÖSTERGÖTLANDS LÄN</t>
        </is>
      </c>
      <c r="E5475" t="inlineStr">
        <is>
          <t>SÖDERKÖPING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45483-2023</t>
        </is>
      </c>
      <c r="B5476" s="1" t="n">
        <v>45194.4577199074</v>
      </c>
      <c r="C5476" s="1" t="n">
        <v>46093</v>
      </c>
      <c r="D5476" t="inlineStr">
        <is>
          <t>ÖSTERGÖTLANDS LÄN</t>
        </is>
      </c>
      <c r="E5476" t="inlineStr">
        <is>
          <t>SÖDERKÖPING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63147-2025</t>
        </is>
      </c>
      <c r="B5477" s="1" t="n">
        <v>46010.35003472222</v>
      </c>
      <c r="C5477" s="1" t="n">
        <v>46093</v>
      </c>
      <c r="D5477" t="inlineStr">
        <is>
          <t>ÖSTERGÖTLANDS LÄN</t>
        </is>
      </c>
      <c r="E5477" t="inlineStr">
        <is>
          <t>LINKÖPING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11641-2024</t>
        </is>
      </c>
      <c r="B5478" s="1" t="n">
        <v>45373.48878472222</v>
      </c>
      <c r="C5478" s="1" t="n">
        <v>46093</v>
      </c>
      <c r="D5478" t="inlineStr">
        <is>
          <t>ÖSTERGÖTLANDS LÄN</t>
        </is>
      </c>
      <c r="E5478" t="inlineStr">
        <is>
          <t>NORRKÖPING</t>
        </is>
      </c>
      <c r="G5478" t="n">
        <v>8.6</v>
      </c>
      <c r="H5478" t="n">
        <v>0</v>
      </c>
      <c r="I5478" t="n">
        <v>0</v>
      </c>
      <c r="J5478" t="n">
        <v>0</v>
      </c>
      <c r="K5478" t="n">
        <v>0</v>
      </c>
      <c r="L5478" t="n">
        <v>0</v>
      </c>
      <c r="M5478" t="n">
        <v>0</v>
      </c>
      <c r="N5478" t="n">
        <v>0</v>
      </c>
      <c r="O5478" t="n">
        <v>0</v>
      </c>
      <c r="P5478" t="n">
        <v>0</v>
      </c>
      <c r="Q5478" t="n">
        <v>0</v>
      </c>
      <c r="R5478" s="2" t="inlineStr"/>
    </row>
    <row r="5479" ht="15" customHeight="1">
      <c r="A5479" t="inlineStr">
        <is>
          <t>A 63139-2025</t>
        </is>
      </c>
      <c r="B5479" s="1" t="n">
        <v>46010.34168981481</v>
      </c>
      <c r="C5479" s="1" t="n">
        <v>46093</v>
      </c>
      <c r="D5479" t="inlineStr">
        <is>
          <t>ÖSTERGÖTLANDS LÄN</t>
        </is>
      </c>
      <c r="E5479" t="inlineStr">
        <is>
          <t>KINDA</t>
        </is>
      </c>
      <c r="F5479" t="inlineStr">
        <is>
          <t>Kommuner</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6075-2026</t>
        </is>
      </c>
      <c r="B5480" s="1" t="n">
        <v>46052.66451388889</v>
      </c>
      <c r="C5480" s="1" t="n">
        <v>46093</v>
      </c>
      <c r="D5480" t="inlineStr">
        <is>
          <t>ÖSTERGÖTLANDS LÄN</t>
        </is>
      </c>
      <c r="E5480" t="inlineStr">
        <is>
          <t>NORRKÖPING</t>
        </is>
      </c>
      <c r="G5480" t="n">
        <v>10.1</v>
      </c>
      <c r="H5480" t="n">
        <v>0</v>
      </c>
      <c r="I5480" t="n">
        <v>0</v>
      </c>
      <c r="J5480" t="n">
        <v>0</v>
      </c>
      <c r="K5480" t="n">
        <v>0</v>
      </c>
      <c r="L5480" t="n">
        <v>0</v>
      </c>
      <c r="M5480" t="n">
        <v>0</v>
      </c>
      <c r="N5480" t="n">
        <v>0</v>
      </c>
      <c r="O5480" t="n">
        <v>0</v>
      </c>
      <c r="P5480" t="n">
        <v>0</v>
      </c>
      <c r="Q5480" t="n">
        <v>0</v>
      </c>
      <c r="R5480" s="2" t="inlineStr"/>
    </row>
    <row r="5481" ht="15" customHeight="1">
      <c r="A5481" t="inlineStr">
        <is>
          <t>A 15813-2022</t>
        </is>
      </c>
      <c r="B5481" s="1" t="n">
        <v>44664</v>
      </c>
      <c r="C5481" s="1" t="n">
        <v>46093</v>
      </c>
      <c r="D5481" t="inlineStr">
        <is>
          <t>ÖSTERGÖTLANDS LÄN</t>
        </is>
      </c>
      <c r="E5481" t="inlineStr">
        <is>
          <t>ÖDESHÖG</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21543-2024</t>
        </is>
      </c>
      <c r="B5482" s="1" t="n">
        <v>45441.61608796296</v>
      </c>
      <c r="C5482" s="1" t="n">
        <v>46093</v>
      </c>
      <c r="D5482" t="inlineStr">
        <is>
          <t>ÖSTERGÖTLANDS LÄN</t>
        </is>
      </c>
      <c r="E5482" t="inlineStr">
        <is>
          <t>YDRE</t>
        </is>
      </c>
      <c r="F5482" t="inlineStr">
        <is>
          <t>Sveaskog</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15303-2024</t>
        </is>
      </c>
      <c r="B5483" s="1" t="n">
        <v>45400</v>
      </c>
      <c r="C5483" s="1" t="n">
        <v>46093</v>
      </c>
      <c r="D5483" t="inlineStr">
        <is>
          <t>ÖSTERGÖTLANDS LÄN</t>
        </is>
      </c>
      <c r="E5483" t="inlineStr">
        <is>
          <t>KINDA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52220-2023</t>
        </is>
      </c>
      <c r="B5484" s="1" t="n">
        <v>45217</v>
      </c>
      <c r="C5484" s="1" t="n">
        <v>46093</v>
      </c>
      <c r="D5484" t="inlineStr">
        <is>
          <t>ÖSTERGÖTLANDS LÄN</t>
        </is>
      </c>
      <c r="E5484" t="inlineStr">
        <is>
          <t>LINKÖPING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52225-2023</t>
        </is>
      </c>
      <c r="B5485" s="1" t="n">
        <v>45217</v>
      </c>
      <c r="C5485" s="1" t="n">
        <v>46093</v>
      </c>
      <c r="D5485" t="inlineStr">
        <is>
          <t>ÖSTERGÖTLANDS LÄN</t>
        </is>
      </c>
      <c r="E5485" t="inlineStr">
        <is>
          <t>LINKÖPING</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7550-2024</t>
        </is>
      </c>
      <c r="B5486" s="1" t="n">
        <v>45348.42409722223</v>
      </c>
      <c r="C5486" s="1" t="n">
        <v>46093</v>
      </c>
      <c r="D5486" t="inlineStr">
        <is>
          <t>ÖSTERGÖTLANDS LÄN</t>
        </is>
      </c>
      <c r="E5486" t="inlineStr">
        <is>
          <t>ÅTVIDABERG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3345-2023</t>
        </is>
      </c>
      <c r="B5487" s="1" t="n">
        <v>44949</v>
      </c>
      <c r="C5487" s="1" t="n">
        <v>46093</v>
      </c>
      <c r="D5487" t="inlineStr">
        <is>
          <t>ÖSTERGÖTLANDS LÄN</t>
        </is>
      </c>
      <c r="E5487" t="inlineStr">
        <is>
          <t>MOTALA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2205-2023</t>
        </is>
      </c>
      <c r="B5488" s="1" t="n">
        <v>44942.38266203704</v>
      </c>
      <c r="C5488" s="1" t="n">
        <v>46093</v>
      </c>
      <c r="D5488" t="inlineStr">
        <is>
          <t>ÖSTERGÖTLANDS LÄN</t>
        </is>
      </c>
      <c r="E5488" t="inlineStr">
        <is>
          <t>MOTALA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63144-2025</t>
        </is>
      </c>
      <c r="B5489" s="1" t="n">
        <v>46010.34716435185</v>
      </c>
      <c r="C5489" s="1" t="n">
        <v>46093</v>
      </c>
      <c r="D5489" t="inlineStr">
        <is>
          <t>ÖSTERGÖTLANDS LÄN</t>
        </is>
      </c>
      <c r="E5489" t="inlineStr">
        <is>
          <t>LINKÖPING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19464-2024</t>
        </is>
      </c>
      <c r="B5490" s="1" t="n">
        <v>45429</v>
      </c>
      <c r="C5490" s="1" t="n">
        <v>46093</v>
      </c>
      <c r="D5490" t="inlineStr">
        <is>
          <t>ÖSTERGÖTLANDS LÄN</t>
        </is>
      </c>
      <c r="E5490" t="inlineStr">
        <is>
          <t>LINKÖPING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63232-2025</t>
        </is>
      </c>
      <c r="B5491" s="1" t="n">
        <v>46010.51064814815</v>
      </c>
      <c r="C5491" s="1" t="n">
        <v>46093</v>
      </c>
      <c r="D5491" t="inlineStr">
        <is>
          <t>ÖSTERGÖTLANDS LÄN</t>
        </is>
      </c>
      <c r="E5491" t="inlineStr">
        <is>
          <t>YDRE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63252-2025</t>
        </is>
      </c>
      <c r="B5492" s="1" t="n">
        <v>46010.54671296296</v>
      </c>
      <c r="C5492" s="1" t="n">
        <v>46093</v>
      </c>
      <c r="D5492" t="inlineStr">
        <is>
          <t>ÖSTERGÖTLANDS LÄN</t>
        </is>
      </c>
      <c r="E5492" t="inlineStr">
        <is>
          <t>YDRE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5935-2026</t>
        </is>
      </c>
      <c r="B5493" s="1" t="n">
        <v>46052.47105324074</v>
      </c>
      <c r="C5493" s="1" t="n">
        <v>46093</v>
      </c>
      <c r="D5493" t="inlineStr">
        <is>
          <t>ÖSTERGÖTLANDS LÄN</t>
        </is>
      </c>
      <c r="E5493" t="inlineStr">
        <is>
          <t>KINDA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6505-2025</t>
        </is>
      </c>
      <c r="B5494" s="1" t="n">
        <v>45699.64868055555</v>
      </c>
      <c r="C5494" s="1" t="n">
        <v>46093</v>
      </c>
      <c r="D5494" t="inlineStr">
        <is>
          <t>ÖSTERGÖTLANDS LÄN</t>
        </is>
      </c>
      <c r="E5494" t="inlineStr">
        <is>
          <t>YDRE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6512-2025</t>
        </is>
      </c>
      <c r="B5495" s="1" t="n">
        <v>45699.65527777778</v>
      </c>
      <c r="C5495" s="1" t="n">
        <v>46093</v>
      </c>
      <c r="D5495" t="inlineStr">
        <is>
          <t>ÖSTERGÖTLANDS LÄN</t>
        </is>
      </c>
      <c r="E5495" t="inlineStr">
        <is>
          <t>ÖDESHÖG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9568-2023</t>
        </is>
      </c>
      <c r="B5496" s="1" t="n">
        <v>44982.5037962963</v>
      </c>
      <c r="C5496" s="1" t="n">
        <v>46093</v>
      </c>
      <c r="D5496" t="inlineStr">
        <is>
          <t>ÖSTERGÖTLANDS LÄN</t>
        </is>
      </c>
      <c r="E5496" t="inlineStr">
        <is>
          <t>KINDA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6515-2025</t>
        </is>
      </c>
      <c r="B5497" s="1" t="n">
        <v>45699.6590625</v>
      </c>
      <c r="C5497" s="1" t="n">
        <v>46093</v>
      </c>
      <c r="D5497" t="inlineStr">
        <is>
          <t>ÖSTERGÖTLANDS LÄN</t>
        </is>
      </c>
      <c r="E5497" t="inlineStr">
        <is>
          <t>YDRE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42042-2023</t>
        </is>
      </c>
      <c r="B5498" s="1" t="n">
        <v>45177.52741898148</v>
      </c>
      <c r="C5498" s="1" t="n">
        <v>46093</v>
      </c>
      <c r="D5498" t="inlineStr">
        <is>
          <t>ÖSTERGÖTLANDS LÄN</t>
        </is>
      </c>
      <c r="E5498" t="inlineStr">
        <is>
          <t>MJÖLBY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42044-2023</t>
        </is>
      </c>
      <c r="B5499" s="1" t="n">
        <v>45177</v>
      </c>
      <c r="C5499" s="1" t="n">
        <v>46093</v>
      </c>
      <c r="D5499" t="inlineStr">
        <is>
          <t>ÖSTERGÖTLANDS LÄN</t>
        </is>
      </c>
      <c r="E5499" t="inlineStr">
        <is>
          <t>LINKÖPING</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6368-2025</t>
        </is>
      </c>
      <c r="B5500" s="1" t="n">
        <v>45699.38880787037</v>
      </c>
      <c r="C5500" s="1" t="n">
        <v>46093</v>
      </c>
      <c r="D5500" t="inlineStr">
        <is>
          <t>ÖSTERGÖTLANDS LÄN</t>
        </is>
      </c>
      <c r="E5500" t="inlineStr">
        <is>
          <t>ÖDESHÖG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9418-2023</t>
        </is>
      </c>
      <c r="B5501" s="1" t="n">
        <v>44981</v>
      </c>
      <c r="C5501" s="1" t="n">
        <v>46093</v>
      </c>
      <c r="D5501" t="inlineStr">
        <is>
          <t>ÖSTERGÖTLANDS LÄN</t>
        </is>
      </c>
      <c r="E5501" t="inlineStr">
        <is>
          <t>FINSPÅNG</t>
        </is>
      </c>
      <c r="F5501" t="inlineStr">
        <is>
          <t>Holmen skog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6207-2025</t>
        </is>
      </c>
      <c r="B5502" s="1" t="n">
        <v>45698.491875</v>
      </c>
      <c r="C5502" s="1" t="n">
        <v>46093</v>
      </c>
      <c r="D5502" t="inlineStr">
        <is>
          <t>ÖSTERGÖTLANDS LÄN</t>
        </is>
      </c>
      <c r="E5502" t="inlineStr">
        <is>
          <t>YDRE</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6403-2025</t>
        </is>
      </c>
      <c r="B5503" s="1" t="n">
        <v>45699.45127314814</v>
      </c>
      <c r="C5503" s="1" t="n">
        <v>46093</v>
      </c>
      <c r="D5503" t="inlineStr">
        <is>
          <t>ÖSTERGÖTLANDS LÄN</t>
        </is>
      </c>
      <c r="E5503" t="inlineStr">
        <is>
          <t>KINDA</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6410-2025</t>
        </is>
      </c>
      <c r="B5504" s="1" t="n">
        <v>45699.4584837963</v>
      </c>
      <c r="C5504" s="1" t="n">
        <v>46093</v>
      </c>
      <c r="D5504" t="inlineStr">
        <is>
          <t>ÖSTERGÖTLANDS LÄN</t>
        </is>
      </c>
      <c r="E5504" t="inlineStr">
        <is>
          <t>KINDA</t>
        </is>
      </c>
      <c r="F5504" t="inlineStr">
        <is>
          <t>Sveaskog</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63236-2025</t>
        </is>
      </c>
      <c r="B5505" s="1" t="n">
        <v>46010.51506944445</v>
      </c>
      <c r="C5505" s="1" t="n">
        <v>46093</v>
      </c>
      <c r="D5505" t="inlineStr">
        <is>
          <t>ÖSTERGÖTLANDS LÄN</t>
        </is>
      </c>
      <c r="E5505" t="inlineStr">
        <is>
          <t>SÖDERKÖPING</t>
        </is>
      </c>
      <c r="F5505" t="inlineStr">
        <is>
          <t>Allmännings- och besparingsskogar</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63237-2025</t>
        </is>
      </c>
      <c r="B5506" s="1" t="n">
        <v>46010.51618055555</v>
      </c>
      <c r="C5506" s="1" t="n">
        <v>46093</v>
      </c>
      <c r="D5506" t="inlineStr">
        <is>
          <t>ÖSTERGÖTLANDS LÄN</t>
        </is>
      </c>
      <c r="E5506" t="inlineStr">
        <is>
          <t>YDRE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5939-2026</t>
        </is>
      </c>
      <c r="B5507" s="1" t="n">
        <v>46052.47861111111</v>
      </c>
      <c r="C5507" s="1" t="n">
        <v>46093</v>
      </c>
      <c r="D5507" t="inlineStr">
        <is>
          <t>ÖSTERGÖTLANDS LÄN</t>
        </is>
      </c>
      <c r="E5507" t="inlineStr">
        <is>
          <t>FINSPÅNG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225-2023</t>
        </is>
      </c>
      <c r="B5508" s="1" t="n">
        <v>44928</v>
      </c>
      <c r="C5508" s="1" t="n">
        <v>46093</v>
      </c>
      <c r="D5508" t="inlineStr">
        <is>
          <t>ÖSTERGÖTLANDS LÄN</t>
        </is>
      </c>
      <c r="E5508" t="inlineStr">
        <is>
          <t>SÖDERKÖPING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62168-2022</t>
        </is>
      </c>
      <c r="B5509" s="1" t="n">
        <v>44922.47258101852</v>
      </c>
      <c r="C5509" s="1" t="n">
        <v>46093</v>
      </c>
      <c r="D5509" t="inlineStr">
        <is>
          <t>ÖSTERGÖTLANDS LÄN</t>
        </is>
      </c>
      <c r="E5509" t="inlineStr">
        <is>
          <t>FINSPÅNG</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45311-2023</t>
        </is>
      </c>
      <c r="B5510" s="1" t="n">
        <v>45191</v>
      </c>
      <c r="C5510" s="1" t="n">
        <v>46093</v>
      </c>
      <c r="D5510" t="inlineStr">
        <is>
          <t>ÖSTERGÖTLANDS LÄN</t>
        </is>
      </c>
      <c r="E5510" t="inlineStr">
        <is>
          <t>FINSPÅNG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43938-2023</t>
        </is>
      </c>
      <c r="B5511" s="1" t="n">
        <v>45187</v>
      </c>
      <c r="C5511" s="1" t="n">
        <v>46093</v>
      </c>
      <c r="D5511" t="inlineStr">
        <is>
          <t>ÖSTERGÖTLANDS LÄN</t>
        </is>
      </c>
      <c r="E5511" t="inlineStr">
        <is>
          <t>ÅTVIDABERG</t>
        </is>
      </c>
      <c r="F5511" t="inlineStr">
        <is>
          <t>Övriga Aktiebolag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25626-2022</t>
        </is>
      </c>
      <c r="B5512" s="1" t="n">
        <v>44732</v>
      </c>
      <c r="C5512" s="1" t="n">
        <v>46093</v>
      </c>
      <c r="D5512" t="inlineStr">
        <is>
          <t>ÖSTERGÖTLANDS LÄN</t>
        </is>
      </c>
      <c r="E5512" t="inlineStr">
        <is>
          <t>KINDA</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63229-2025</t>
        </is>
      </c>
      <c r="B5513" s="1" t="n">
        <v>46010.49901620371</v>
      </c>
      <c r="C5513" s="1" t="n">
        <v>46093</v>
      </c>
      <c r="D5513" t="inlineStr">
        <is>
          <t>ÖSTERGÖTLANDS LÄN</t>
        </is>
      </c>
      <c r="E5513" t="inlineStr">
        <is>
          <t>NORRKÖPING</t>
        </is>
      </c>
      <c r="G5513" t="n">
        <v>7.2</v>
      </c>
      <c r="H5513" t="n">
        <v>0</v>
      </c>
      <c r="I5513" t="n">
        <v>0</v>
      </c>
      <c r="J5513" t="n">
        <v>0</v>
      </c>
      <c r="K5513" t="n">
        <v>0</v>
      </c>
      <c r="L5513" t="n">
        <v>0</v>
      </c>
      <c r="M5513" t="n">
        <v>0</v>
      </c>
      <c r="N5513" t="n">
        <v>0</v>
      </c>
      <c r="O5513" t="n">
        <v>0</v>
      </c>
      <c r="P5513" t="n">
        <v>0</v>
      </c>
      <c r="Q5513" t="n">
        <v>0</v>
      </c>
      <c r="R5513" s="2" t="inlineStr"/>
    </row>
    <row r="5514" ht="15" customHeight="1">
      <c r="A5514" t="inlineStr">
        <is>
          <t>A 29008-2022</t>
        </is>
      </c>
      <c r="B5514" s="1" t="n">
        <v>44749.69370370371</v>
      </c>
      <c r="C5514" s="1" t="n">
        <v>46093</v>
      </c>
      <c r="D5514" t="inlineStr">
        <is>
          <t>ÖSTERGÖTLANDS LÄN</t>
        </is>
      </c>
      <c r="E5514" t="inlineStr">
        <is>
          <t>VALDEMARSVIK</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34917-2022</t>
        </is>
      </c>
      <c r="B5515" s="1" t="n">
        <v>44796</v>
      </c>
      <c r="C5515" s="1" t="n">
        <v>46093</v>
      </c>
      <c r="D5515" t="inlineStr">
        <is>
          <t>ÖSTERGÖTLANDS LÄN</t>
        </is>
      </c>
      <c r="E5515" t="inlineStr">
        <is>
          <t>SÖDERKÖPING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6013-2026</t>
        </is>
      </c>
      <c r="B5516" s="1" t="n">
        <v>46052.59930555556</v>
      </c>
      <c r="C5516" s="1" t="n">
        <v>46093</v>
      </c>
      <c r="D5516" t="inlineStr">
        <is>
          <t>ÖSTERGÖTLANDS LÄN</t>
        </is>
      </c>
      <c r="E5516" t="inlineStr">
        <is>
          <t>NORRKÖPING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6018-2026</t>
        </is>
      </c>
      <c r="B5517" s="1" t="n">
        <v>46052.60118055555</v>
      </c>
      <c r="C5517" s="1" t="n">
        <v>46093</v>
      </c>
      <c r="D5517" t="inlineStr">
        <is>
          <t>ÖSTERGÖTLANDS LÄN</t>
        </is>
      </c>
      <c r="E5517" t="inlineStr">
        <is>
          <t>NORRKÖPING</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56199-2022</t>
        </is>
      </c>
      <c r="B5518" s="1" t="n">
        <v>44890</v>
      </c>
      <c r="C5518" s="1" t="n">
        <v>46093</v>
      </c>
      <c r="D5518" t="inlineStr">
        <is>
          <t>ÖSTERGÖTLANDS LÄN</t>
        </is>
      </c>
      <c r="E5518" t="inlineStr">
        <is>
          <t>FINSPÅNG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42176-2023</t>
        </is>
      </c>
      <c r="B5519" s="1" t="n">
        <v>45178</v>
      </c>
      <c r="C5519" s="1" t="n">
        <v>46093</v>
      </c>
      <c r="D5519" t="inlineStr">
        <is>
          <t>ÖSTERGÖTLANDS LÄN</t>
        </is>
      </c>
      <c r="E5519" t="inlineStr">
        <is>
          <t>FINSPÅNG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630-2024</t>
        </is>
      </c>
      <c r="B5520" s="1" t="n">
        <v>45299.67736111111</v>
      </c>
      <c r="C5520" s="1" t="n">
        <v>46093</v>
      </c>
      <c r="D5520" t="inlineStr">
        <is>
          <t>ÖSTERGÖTLANDS LÄN</t>
        </is>
      </c>
      <c r="E5520" t="inlineStr">
        <is>
          <t>LINKÖPING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2966-2024</t>
        </is>
      </c>
      <c r="B5521" s="1" t="n">
        <v>45315.66575231482</v>
      </c>
      <c r="C5521" s="1" t="n">
        <v>46093</v>
      </c>
      <c r="D5521" t="inlineStr">
        <is>
          <t>ÖSTERGÖTLANDS LÄN</t>
        </is>
      </c>
      <c r="E5521" t="inlineStr">
        <is>
          <t>KINDA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61511-2023</t>
        </is>
      </c>
      <c r="B5522" s="1" t="n">
        <v>45265</v>
      </c>
      <c r="C5522" s="1" t="n">
        <v>46093</v>
      </c>
      <c r="D5522" t="inlineStr">
        <is>
          <t>ÖSTERGÖTLANDS LÄN</t>
        </is>
      </c>
      <c r="E5522" t="inlineStr">
        <is>
          <t>SÖDERKÖPING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63358-2025</t>
        </is>
      </c>
      <c r="B5523" s="1" t="n">
        <v>46010.67361111111</v>
      </c>
      <c r="C5523" s="1" t="n">
        <v>46093</v>
      </c>
      <c r="D5523" t="inlineStr">
        <is>
          <t>ÖSTERGÖTLANDS LÄN</t>
        </is>
      </c>
      <c r="E5523" t="inlineStr">
        <is>
          <t>ÅTVIDABERG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51124-2023</t>
        </is>
      </c>
      <c r="B5524" s="1" t="n">
        <v>45219.32268518519</v>
      </c>
      <c r="C5524" s="1" t="n">
        <v>46093</v>
      </c>
      <c r="D5524" t="inlineStr">
        <is>
          <t>ÖSTERGÖTLANDS LÄN</t>
        </is>
      </c>
      <c r="E5524" t="inlineStr">
        <is>
          <t>NORRKÖPING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52964-2023</t>
        </is>
      </c>
      <c r="B5525" s="1" t="n">
        <v>45226.59262731481</v>
      </c>
      <c r="C5525" s="1" t="n">
        <v>46093</v>
      </c>
      <c r="D5525" t="inlineStr">
        <is>
          <t>ÖSTERGÖTLANDS LÄN</t>
        </is>
      </c>
      <c r="E5525" t="inlineStr">
        <is>
          <t>BOXHOLM</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52991-2023</t>
        </is>
      </c>
      <c r="B5526" s="1" t="n">
        <v>45226.62546296296</v>
      </c>
      <c r="C5526" s="1" t="n">
        <v>46093</v>
      </c>
      <c r="D5526" t="inlineStr">
        <is>
          <t>ÖSTERGÖTLANDS LÄN</t>
        </is>
      </c>
      <c r="E5526" t="inlineStr">
        <is>
          <t>KINDA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15271-2021</t>
        </is>
      </c>
      <c r="B5527" s="1" t="n">
        <v>44284.57011574074</v>
      </c>
      <c r="C5527" s="1" t="n">
        <v>46093</v>
      </c>
      <c r="D5527" t="inlineStr">
        <is>
          <t>ÖSTERGÖTLANDS LÄN</t>
        </is>
      </c>
      <c r="E5527" t="inlineStr">
        <is>
          <t>KINDA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5116-2024</t>
        </is>
      </c>
      <c r="B5528" s="1" t="n">
        <v>45330</v>
      </c>
      <c r="C5528" s="1" t="n">
        <v>46093</v>
      </c>
      <c r="D5528" t="inlineStr">
        <is>
          <t>ÖSTERGÖTLANDS LÄN</t>
        </is>
      </c>
      <c r="E5528" t="inlineStr">
        <is>
          <t>NORRKÖPING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20403-2021</t>
        </is>
      </c>
      <c r="B5529" s="1" t="n">
        <v>44315</v>
      </c>
      <c r="C5529" s="1" t="n">
        <v>46093</v>
      </c>
      <c r="D5529" t="inlineStr">
        <is>
          <t>ÖSTERGÖTLANDS LÄN</t>
        </is>
      </c>
      <c r="E5529" t="inlineStr">
        <is>
          <t>FINSPÅNG</t>
        </is>
      </c>
      <c r="F5529" t="inlineStr">
        <is>
          <t>Holmen skog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63074-2025</t>
        </is>
      </c>
      <c r="B5530" s="1" t="n">
        <v>46009.66163194444</v>
      </c>
      <c r="C5530" s="1" t="n">
        <v>46093</v>
      </c>
      <c r="D5530" t="inlineStr">
        <is>
          <t>ÖSTERGÖTLANDS LÄN</t>
        </is>
      </c>
      <c r="E5530" t="inlineStr">
        <is>
          <t>ÖDESHÖG</t>
        </is>
      </c>
      <c r="F5530" t="inlineStr">
        <is>
          <t>Allmännings- och besparingsskogar</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50886-2024</t>
        </is>
      </c>
      <c r="B5531" s="1" t="n">
        <v>45602.66590277778</v>
      </c>
      <c r="C5531" s="1" t="n">
        <v>46093</v>
      </c>
      <c r="D5531" t="inlineStr">
        <is>
          <t>ÖSTERGÖTLANDS LÄN</t>
        </is>
      </c>
      <c r="E5531" t="inlineStr">
        <is>
          <t>MJÖLBY</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50901-2024</t>
        </is>
      </c>
      <c r="B5532" s="1" t="n">
        <v>45602.68665509259</v>
      </c>
      <c r="C5532" s="1" t="n">
        <v>46093</v>
      </c>
      <c r="D5532" t="inlineStr">
        <is>
          <t>ÖSTERGÖTLANDS LÄN</t>
        </is>
      </c>
      <c r="E5532" t="inlineStr">
        <is>
          <t>MJÖLBY</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5899-2026</t>
        </is>
      </c>
      <c r="B5533" s="1" t="n">
        <v>46052.42929398148</v>
      </c>
      <c r="C5533" s="1" t="n">
        <v>46093</v>
      </c>
      <c r="D5533" t="inlineStr">
        <is>
          <t>ÖSTERGÖTLANDS LÄN</t>
        </is>
      </c>
      <c r="E5533" t="inlineStr">
        <is>
          <t>KINDA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18295-2025</t>
        </is>
      </c>
      <c r="B5534" s="1" t="n">
        <v>45762.41467592592</v>
      </c>
      <c r="C5534" s="1" t="n">
        <v>46093</v>
      </c>
      <c r="D5534" t="inlineStr">
        <is>
          <t>ÖSTERGÖTLANDS LÄN</t>
        </is>
      </c>
      <c r="E5534" t="inlineStr">
        <is>
          <t>FINSPÅNG</t>
        </is>
      </c>
      <c r="F5534" t="inlineStr">
        <is>
          <t>Sveaskog</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15072-2025</t>
        </is>
      </c>
      <c r="B5535" s="1" t="n">
        <v>45743.77622685185</v>
      </c>
      <c r="C5535" s="1" t="n">
        <v>46093</v>
      </c>
      <c r="D5535" t="inlineStr">
        <is>
          <t>ÖSTERGÖTLANDS LÄN</t>
        </is>
      </c>
      <c r="E5535" t="inlineStr">
        <is>
          <t>MOTALA</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42111-2023</t>
        </is>
      </c>
      <c r="B5536" s="1" t="n">
        <v>45177</v>
      </c>
      <c r="C5536" s="1" t="n">
        <v>46093</v>
      </c>
      <c r="D5536" t="inlineStr">
        <is>
          <t>ÖSTERGÖTLANDS LÄN</t>
        </is>
      </c>
      <c r="E5536" t="inlineStr">
        <is>
          <t>FINSPÅNG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10331-2024</t>
        </is>
      </c>
      <c r="B5537" s="1" t="n">
        <v>45365.56921296296</v>
      </c>
      <c r="C5537" s="1" t="n">
        <v>46093</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55956-2024</t>
        </is>
      </c>
      <c r="B5538" s="1" t="n">
        <v>45623.6296875</v>
      </c>
      <c r="C5538" s="1" t="n">
        <v>46093</v>
      </c>
      <c r="D5538" t="inlineStr">
        <is>
          <t>ÖSTERGÖTLANDS LÄN</t>
        </is>
      </c>
      <c r="E5538" t="inlineStr">
        <is>
          <t>FINSPÅNG</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8616-2024</t>
        </is>
      </c>
      <c r="B5539" s="1" t="n">
        <v>45355.70752314815</v>
      </c>
      <c r="C5539" s="1" t="n">
        <v>46093</v>
      </c>
      <c r="D5539" t="inlineStr">
        <is>
          <t>ÖSTERGÖTLANDS LÄN</t>
        </is>
      </c>
      <c r="E5539" t="inlineStr">
        <is>
          <t>YDRE</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59699-2024</t>
        </is>
      </c>
      <c r="B5540" s="1" t="n">
        <v>45639.42065972222</v>
      </c>
      <c r="C5540" s="1" t="n">
        <v>46093</v>
      </c>
      <c r="D5540" t="inlineStr">
        <is>
          <t>ÖSTERGÖTLANDS LÄN</t>
        </is>
      </c>
      <c r="E5540" t="inlineStr">
        <is>
          <t>FINSPÅNG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56606-2021</t>
        </is>
      </c>
      <c r="B5541" s="1" t="n">
        <v>44480.76550925926</v>
      </c>
      <c r="C5541" s="1" t="n">
        <v>46093</v>
      </c>
      <c r="D5541" t="inlineStr">
        <is>
          <t>ÖSTERGÖTLANDS LÄN</t>
        </is>
      </c>
      <c r="E5541" t="inlineStr">
        <is>
          <t>YDRE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46317-2023</t>
        </is>
      </c>
      <c r="B5542" s="1" t="n">
        <v>45197.3700462963</v>
      </c>
      <c r="C5542" s="1" t="n">
        <v>46093</v>
      </c>
      <c r="D5542" t="inlineStr">
        <is>
          <t>ÖSTERGÖTLANDS LÄN</t>
        </is>
      </c>
      <c r="E5542" t="inlineStr">
        <is>
          <t>FINSPÅNG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13606-2024</t>
        </is>
      </c>
      <c r="B5543" s="1" t="n">
        <v>45390.3405324074</v>
      </c>
      <c r="C5543" s="1" t="n">
        <v>46093</v>
      </c>
      <c r="D5543" t="inlineStr">
        <is>
          <t>ÖSTERGÖTLANDS LÄN</t>
        </is>
      </c>
      <c r="E5543" t="inlineStr">
        <is>
          <t>BOXHOLM</t>
        </is>
      </c>
      <c r="F5543" t="inlineStr">
        <is>
          <t>Övriga Aktiebolag</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13133-2024</t>
        </is>
      </c>
      <c r="B5544" s="1" t="n">
        <v>45386.32806712963</v>
      </c>
      <c r="C5544" s="1" t="n">
        <v>46093</v>
      </c>
      <c r="D5544" t="inlineStr">
        <is>
          <t>ÖSTERGÖTLANDS LÄN</t>
        </is>
      </c>
      <c r="E5544" t="inlineStr">
        <is>
          <t>NORRKÖPING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561-2025</t>
        </is>
      </c>
      <c r="B5545" s="1" t="n">
        <v>45664.54805555556</v>
      </c>
      <c r="C5545" s="1" t="n">
        <v>46093</v>
      </c>
      <c r="D5545" t="inlineStr">
        <is>
          <t>ÖSTERGÖTLANDS LÄN</t>
        </is>
      </c>
      <c r="E5545" t="inlineStr">
        <is>
          <t>YDRE</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15911-2023</t>
        </is>
      </c>
      <c r="B5546" s="1" t="n">
        <v>45022</v>
      </c>
      <c r="C5546" s="1" t="n">
        <v>46093</v>
      </c>
      <c r="D5546" t="inlineStr">
        <is>
          <t>ÖSTERGÖTLANDS LÄN</t>
        </is>
      </c>
      <c r="E5546" t="inlineStr">
        <is>
          <t>ÅTVIDABERG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2032-2024</t>
        </is>
      </c>
      <c r="B5547" s="1" t="n">
        <v>45308</v>
      </c>
      <c r="C5547" s="1" t="n">
        <v>46093</v>
      </c>
      <c r="D5547" t="inlineStr">
        <is>
          <t>ÖSTERGÖTLANDS LÄN</t>
        </is>
      </c>
      <c r="E5547" t="inlineStr">
        <is>
          <t>ÅTVIDABERG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61359-2023</t>
        </is>
      </c>
      <c r="B5548" s="1" t="n">
        <v>45264.60973379629</v>
      </c>
      <c r="C5548" s="1" t="n">
        <v>46093</v>
      </c>
      <c r="D5548" t="inlineStr">
        <is>
          <t>ÖSTERGÖTLANDS LÄN</t>
        </is>
      </c>
      <c r="E5548" t="inlineStr">
        <is>
          <t>FINSPÅNG</t>
        </is>
      </c>
      <c r="F5548" t="inlineStr">
        <is>
          <t>Holmen skog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63165-2025</t>
        </is>
      </c>
      <c r="B5549" s="1" t="n">
        <v>46010.38619212963</v>
      </c>
      <c r="C5549" s="1" t="n">
        <v>46093</v>
      </c>
      <c r="D5549" t="inlineStr">
        <is>
          <t>ÖSTERGÖTLANDS LÄN</t>
        </is>
      </c>
      <c r="E5549" t="inlineStr">
        <is>
          <t>NORRKÖPING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63168-2025</t>
        </is>
      </c>
      <c r="B5550" s="1" t="n">
        <v>46010.39259259259</v>
      </c>
      <c r="C5550" s="1" t="n">
        <v>46093</v>
      </c>
      <c r="D5550" t="inlineStr">
        <is>
          <t>ÖSTERGÖTLANDS LÄN</t>
        </is>
      </c>
      <c r="E5550" t="inlineStr">
        <is>
          <t>NORRKÖPING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4163-2022</t>
        </is>
      </c>
      <c r="B5551" s="1" t="n">
        <v>44588.52334490741</v>
      </c>
      <c r="C5551" s="1" t="n">
        <v>46093</v>
      </c>
      <c r="D5551" t="inlineStr">
        <is>
          <t>ÖSTERGÖTLANDS LÄN</t>
        </is>
      </c>
      <c r="E5551" t="inlineStr">
        <is>
          <t>SÖDERKÖPING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6011-2026</t>
        </is>
      </c>
      <c r="B5552" s="1" t="n">
        <v>46052.59646990741</v>
      </c>
      <c r="C5552" s="1" t="n">
        <v>46093</v>
      </c>
      <c r="D5552" t="inlineStr">
        <is>
          <t>ÖSTERGÖTLANDS LÄN</t>
        </is>
      </c>
      <c r="E5552" t="inlineStr">
        <is>
          <t>NORRKÖPING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21782-2024</t>
        </is>
      </c>
      <c r="B5553" s="1" t="n">
        <v>45442.63368055555</v>
      </c>
      <c r="C5553" s="1" t="n">
        <v>46093</v>
      </c>
      <c r="D5553" t="inlineStr">
        <is>
          <t>ÖSTERGÖTLANDS LÄN</t>
        </is>
      </c>
      <c r="E5553" t="inlineStr">
        <is>
          <t>LINKÖPING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21810-2024</t>
        </is>
      </c>
      <c r="B5554" s="1" t="n">
        <v>45442.67793981481</v>
      </c>
      <c r="C5554" s="1" t="n">
        <v>46093</v>
      </c>
      <c r="D5554" t="inlineStr">
        <is>
          <t>ÖSTERGÖTLANDS LÄN</t>
        </is>
      </c>
      <c r="E5554" t="inlineStr">
        <is>
          <t>NORRKÖPING</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5943-2026</t>
        </is>
      </c>
      <c r="B5555" s="1" t="n">
        <v>46052.48008101852</v>
      </c>
      <c r="C5555" s="1" t="n">
        <v>46093</v>
      </c>
      <c r="D5555" t="inlineStr">
        <is>
          <t>ÖSTERGÖTLANDS LÄN</t>
        </is>
      </c>
      <c r="E5555" t="inlineStr">
        <is>
          <t>KINDA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63241-2025</t>
        </is>
      </c>
      <c r="B5556" s="1" t="n">
        <v>46010.52946759259</v>
      </c>
      <c r="C5556" s="1" t="n">
        <v>46093</v>
      </c>
      <c r="D5556" t="inlineStr">
        <is>
          <t>ÖSTERGÖTLANDS LÄN</t>
        </is>
      </c>
      <c r="E5556" t="inlineStr">
        <is>
          <t>NORRKÖPING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51449-2023</t>
        </is>
      </c>
      <c r="B5557" s="1" t="n">
        <v>45220.66263888889</v>
      </c>
      <c r="C5557" s="1" t="n">
        <v>46093</v>
      </c>
      <c r="D5557" t="inlineStr">
        <is>
          <t>ÖSTERGÖTLANDS LÄN</t>
        </is>
      </c>
      <c r="E5557" t="inlineStr">
        <is>
          <t>BOXHOLM</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432-2025</t>
        </is>
      </c>
      <c r="B5558" s="1" t="n">
        <v>45664.36682870371</v>
      </c>
      <c r="C5558" s="1" t="n">
        <v>46093</v>
      </c>
      <c r="D5558" t="inlineStr">
        <is>
          <t>ÖSTERGÖTLANDS LÄN</t>
        </is>
      </c>
      <c r="E5558" t="inlineStr">
        <is>
          <t>ÅTVIDABERG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437-2025</t>
        </is>
      </c>
      <c r="B5559" s="1" t="n">
        <v>45664.38144675926</v>
      </c>
      <c r="C5559" s="1" t="n">
        <v>46093</v>
      </c>
      <c r="D5559" t="inlineStr">
        <is>
          <t>ÖSTERGÖTLANDS LÄN</t>
        </is>
      </c>
      <c r="E5559" t="inlineStr">
        <is>
          <t>ÅTVIDABERG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3820-2024</t>
        </is>
      </c>
      <c r="B5560" s="1" t="n">
        <v>45321.70762731481</v>
      </c>
      <c r="C5560" s="1" t="n">
        <v>46093</v>
      </c>
      <c r="D5560" t="inlineStr">
        <is>
          <t>ÖSTERGÖTLANDS LÄN</t>
        </is>
      </c>
      <c r="E5560" t="inlineStr">
        <is>
          <t>KINDA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32431-2023</t>
        </is>
      </c>
      <c r="B5561" s="1" t="n">
        <v>45110</v>
      </c>
      <c r="C5561" s="1" t="n">
        <v>46093</v>
      </c>
      <c r="D5561" t="inlineStr">
        <is>
          <t>ÖSTERGÖTLANDS LÄN</t>
        </is>
      </c>
      <c r="E5561" t="inlineStr">
        <is>
          <t>FINSPÅNG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21527-2023</t>
        </is>
      </c>
      <c r="B5562" s="1" t="n">
        <v>45061</v>
      </c>
      <c r="C5562" s="1" t="n">
        <v>46093</v>
      </c>
      <c r="D5562" t="inlineStr">
        <is>
          <t>ÖSTERGÖTLANDS LÄN</t>
        </is>
      </c>
      <c r="E5562" t="inlineStr">
        <is>
          <t>MOTALA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14022-2023</t>
        </is>
      </c>
      <c r="B5563" s="1" t="n">
        <v>45008.59934027777</v>
      </c>
      <c r="C5563" s="1" t="n">
        <v>46093</v>
      </c>
      <c r="D5563" t="inlineStr">
        <is>
          <t>ÖSTERGÖTLANDS LÄN</t>
        </is>
      </c>
      <c r="E5563" t="inlineStr">
        <is>
          <t>FINSPÅNG</t>
        </is>
      </c>
      <c r="F5563" t="inlineStr">
        <is>
          <t>Holmen skog AB</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11144-2025</t>
        </is>
      </c>
      <c r="B5564" s="1" t="n">
        <v>45723.67724537037</v>
      </c>
      <c r="C5564" s="1" t="n">
        <v>46093</v>
      </c>
      <c r="D5564" t="inlineStr">
        <is>
          <t>ÖSTERGÖTLANDS LÄN</t>
        </is>
      </c>
      <c r="E5564" t="inlineStr">
        <is>
          <t>NORRKÖPING</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6490-2026</t>
        </is>
      </c>
      <c r="B5565" s="1" t="n">
        <v>46056.34627314815</v>
      </c>
      <c r="C5565" s="1" t="n">
        <v>46093</v>
      </c>
      <c r="D5565" t="inlineStr">
        <is>
          <t>ÖSTERGÖTLANDS LÄN</t>
        </is>
      </c>
      <c r="E5565" t="inlineStr">
        <is>
          <t>ÅTVIDABERG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6502-2026</t>
        </is>
      </c>
      <c r="B5566" s="1" t="n">
        <v>46056.37072916667</v>
      </c>
      <c r="C5566" s="1" t="n">
        <v>46093</v>
      </c>
      <c r="D5566" t="inlineStr">
        <is>
          <t>ÖSTERGÖTLANDS LÄN</t>
        </is>
      </c>
      <c r="E5566" t="inlineStr">
        <is>
          <t>ÅTVIDABERG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6161-2026</t>
        </is>
      </c>
      <c r="B5567" s="1" t="n">
        <v>46055</v>
      </c>
      <c r="C5567" s="1" t="n">
        <v>46093</v>
      </c>
      <c r="D5567" t="inlineStr">
        <is>
          <t>ÖSTERGÖTLANDS LÄN</t>
        </is>
      </c>
      <c r="E5567" t="inlineStr">
        <is>
          <t>VALDEMARSVIK</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18485-2023</t>
        </is>
      </c>
      <c r="B5568" s="1" t="n">
        <v>45042</v>
      </c>
      <c r="C5568" s="1" t="n">
        <v>46093</v>
      </c>
      <c r="D5568" t="inlineStr">
        <is>
          <t>ÖSTERGÖTLANDS LÄN</t>
        </is>
      </c>
      <c r="E5568" t="inlineStr">
        <is>
          <t>ÅTVIDABERG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6343-2026</t>
        </is>
      </c>
      <c r="B5569" s="1" t="n">
        <v>46055.60255787037</v>
      </c>
      <c r="C5569" s="1" t="n">
        <v>46093</v>
      </c>
      <c r="D5569" t="inlineStr">
        <is>
          <t>ÖSTERGÖTLANDS LÄN</t>
        </is>
      </c>
      <c r="E5569" t="inlineStr">
        <is>
          <t>ÅTVIDABERG</t>
        </is>
      </c>
      <c r="F5569" t="inlineStr">
        <is>
          <t>Övriga Aktiebolag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6347-2026</t>
        </is>
      </c>
      <c r="B5570" s="1" t="n">
        <v>46055.60996527778</v>
      </c>
      <c r="C5570" s="1" t="n">
        <v>46093</v>
      </c>
      <c r="D5570" t="inlineStr">
        <is>
          <t>ÖSTERGÖTLANDS LÄN</t>
        </is>
      </c>
      <c r="E5570" t="inlineStr">
        <is>
          <t>NORRKÖPING</t>
        </is>
      </c>
      <c r="F5570" t="inlineStr">
        <is>
          <t>Kommuner</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6250-2026</t>
        </is>
      </c>
      <c r="B5571" s="1" t="n">
        <v>46055.47086805556</v>
      </c>
      <c r="C5571" s="1" t="n">
        <v>46093</v>
      </c>
      <c r="D5571" t="inlineStr">
        <is>
          <t>ÖSTERGÖTLANDS LÄN</t>
        </is>
      </c>
      <c r="E5571" t="inlineStr">
        <is>
          <t>FINSPÅNG</t>
        </is>
      </c>
      <c r="F5571" t="inlineStr">
        <is>
          <t>Holmen skog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8328-2024</t>
        </is>
      </c>
      <c r="B5572" s="1" t="n">
        <v>45352.4880787037</v>
      </c>
      <c r="C5572" s="1" t="n">
        <v>46093</v>
      </c>
      <c r="D5572" t="inlineStr">
        <is>
          <t>ÖSTERGÖTLANDS LÄN</t>
        </is>
      </c>
      <c r="E5572" t="inlineStr">
        <is>
          <t>VALDEMARSVIK</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11247-2024</t>
        </is>
      </c>
      <c r="B5573" s="1" t="n">
        <v>45371.62846064815</v>
      </c>
      <c r="C5573" s="1" t="n">
        <v>46093</v>
      </c>
      <c r="D5573" t="inlineStr">
        <is>
          <t>ÖSTERGÖTLANDS LÄN</t>
        </is>
      </c>
      <c r="E5573" t="inlineStr">
        <is>
          <t>YDRE</t>
        </is>
      </c>
      <c r="F5573" t="inlineStr">
        <is>
          <t>Sveaskog</t>
        </is>
      </c>
      <c r="G5573" t="n">
        <v>13.3</v>
      </c>
      <c r="H5573" t="n">
        <v>0</v>
      </c>
      <c r="I5573" t="n">
        <v>0</v>
      </c>
      <c r="J5573" t="n">
        <v>0</v>
      </c>
      <c r="K5573" t="n">
        <v>0</v>
      </c>
      <c r="L5573" t="n">
        <v>0</v>
      </c>
      <c r="M5573" t="n">
        <v>0</v>
      </c>
      <c r="N5573" t="n">
        <v>0</v>
      </c>
      <c r="O5573" t="n">
        <v>0</v>
      </c>
      <c r="P5573" t="n">
        <v>0</v>
      </c>
      <c r="Q5573" t="n">
        <v>0</v>
      </c>
      <c r="R5573" s="2" t="inlineStr"/>
    </row>
    <row r="5574" ht="15" customHeight="1">
      <c r="A5574" t="inlineStr">
        <is>
          <t>A 15420-2025</t>
        </is>
      </c>
      <c r="B5574" s="1" t="n">
        <v>45747.46194444445</v>
      </c>
      <c r="C5574" s="1" t="n">
        <v>46093</v>
      </c>
      <c r="D5574" t="inlineStr">
        <is>
          <t>ÖSTERGÖTLANDS LÄN</t>
        </is>
      </c>
      <c r="E5574" t="inlineStr">
        <is>
          <t>BOXHOLM</t>
        </is>
      </c>
      <c r="F5574" t="inlineStr">
        <is>
          <t>Övriga Aktiebolag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15450-2025</t>
        </is>
      </c>
      <c r="B5575" s="1" t="n">
        <v>45747.48892361111</v>
      </c>
      <c r="C5575" s="1" t="n">
        <v>46093</v>
      </c>
      <c r="D5575" t="inlineStr">
        <is>
          <t>ÖSTERGÖTLANDS LÄN</t>
        </is>
      </c>
      <c r="E5575" t="inlineStr">
        <is>
          <t>ÅTVIDABERG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15505-2025</t>
        </is>
      </c>
      <c r="B5576" s="1" t="n">
        <v>45747.59501157407</v>
      </c>
      <c r="C5576" s="1" t="n">
        <v>46093</v>
      </c>
      <c r="D5576" t="inlineStr">
        <is>
          <t>ÖSTERGÖTLANDS LÄN</t>
        </is>
      </c>
      <c r="E5576" t="inlineStr">
        <is>
          <t>NORRKÖPING</t>
        </is>
      </c>
      <c r="F5576" t="inlineStr">
        <is>
          <t>Holmen skog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6384-2026</t>
        </is>
      </c>
      <c r="B5577" s="1" t="n">
        <v>46055.63732638889</v>
      </c>
      <c r="C5577" s="1" t="n">
        <v>46093</v>
      </c>
      <c r="D5577" t="inlineStr">
        <is>
          <t>ÖSTERGÖTLANDS LÄN</t>
        </is>
      </c>
      <c r="E5577" t="inlineStr">
        <is>
          <t>LINKÖPING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33532-2024</t>
        </is>
      </c>
      <c r="B5578" s="1" t="n">
        <v>45519.6759837963</v>
      </c>
      <c r="C5578" s="1" t="n">
        <v>46093</v>
      </c>
      <c r="D5578" t="inlineStr">
        <is>
          <t>ÖSTERGÖTLANDS LÄN</t>
        </is>
      </c>
      <c r="E5578" t="inlineStr">
        <is>
          <t>MJÖLBY</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6472-2026</t>
        </is>
      </c>
      <c r="B5579" s="1" t="n">
        <v>46056.32792824074</v>
      </c>
      <c r="C5579" s="1" t="n">
        <v>46093</v>
      </c>
      <c r="D5579" t="inlineStr">
        <is>
          <t>ÖSTERGÖTLANDS LÄN</t>
        </is>
      </c>
      <c r="E5579" t="inlineStr">
        <is>
          <t>ÅTVIDABERG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16594-2023</t>
        </is>
      </c>
      <c r="B5580" s="1" t="n">
        <v>45027</v>
      </c>
      <c r="C5580" s="1" t="n">
        <v>46093</v>
      </c>
      <c r="D5580" t="inlineStr">
        <is>
          <t>ÖSTERGÖTLANDS LÄN</t>
        </is>
      </c>
      <c r="E5580" t="inlineStr">
        <is>
          <t>NORRKÖPING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51092-2024</t>
        </is>
      </c>
      <c r="B5581" s="1" t="n">
        <v>45603.47010416666</v>
      </c>
      <c r="C5581" s="1" t="n">
        <v>46093</v>
      </c>
      <c r="D5581" t="inlineStr">
        <is>
          <t>ÖSTERGÖTLANDS LÄN</t>
        </is>
      </c>
      <c r="E5581" t="inlineStr">
        <is>
          <t>MOTALA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12769-2024</t>
        </is>
      </c>
      <c r="B5582" s="1" t="n">
        <v>45384.58284722222</v>
      </c>
      <c r="C5582" s="1" t="n">
        <v>46093</v>
      </c>
      <c r="D5582" t="inlineStr">
        <is>
          <t>ÖSTERGÖTLANDS LÄN</t>
        </is>
      </c>
      <c r="E5582" t="inlineStr">
        <is>
          <t>MJÖLBY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11737-2024</t>
        </is>
      </c>
      <c r="B5583" s="1" t="n">
        <v>45373.72511574074</v>
      </c>
      <c r="C5583" s="1" t="n">
        <v>46093</v>
      </c>
      <c r="D5583" t="inlineStr">
        <is>
          <t>ÖSTERGÖTLANDS LÄN</t>
        </is>
      </c>
      <c r="E5583" t="inlineStr">
        <is>
          <t>NORRKÖPING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6162-2026</t>
        </is>
      </c>
      <c r="B5584" s="1" t="n">
        <v>46055</v>
      </c>
      <c r="C5584" s="1" t="n">
        <v>46093</v>
      </c>
      <c r="D5584" t="inlineStr">
        <is>
          <t>ÖSTERGÖTLANDS LÄN</t>
        </is>
      </c>
      <c r="E5584" t="inlineStr">
        <is>
          <t>VALDEMARSVIK</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63715-2025</t>
        </is>
      </c>
      <c r="B5585" s="1" t="n">
        <v>46014</v>
      </c>
      <c r="C5585" s="1" t="n">
        <v>46093</v>
      </c>
      <c r="D5585" t="inlineStr">
        <is>
          <t>ÖSTERGÖTLANDS LÄN</t>
        </is>
      </c>
      <c r="E5585" t="inlineStr">
        <is>
          <t>NORRKÖPING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1077-2023</t>
        </is>
      </c>
      <c r="B5586" s="1" t="n">
        <v>44935</v>
      </c>
      <c r="C5586" s="1" t="n">
        <v>46093</v>
      </c>
      <c r="D5586" t="inlineStr">
        <is>
          <t>ÖSTERGÖTLANDS LÄN</t>
        </is>
      </c>
      <c r="E5586" t="inlineStr">
        <is>
          <t>NORRKÖPING</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1092-2023</t>
        </is>
      </c>
      <c r="B5587" s="1" t="n">
        <v>44935</v>
      </c>
      <c r="C5587" s="1" t="n">
        <v>46093</v>
      </c>
      <c r="D5587" t="inlineStr">
        <is>
          <t>ÖSTERGÖTLANDS LÄN</t>
        </is>
      </c>
      <c r="E5587" t="inlineStr">
        <is>
          <t>MOTALA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63720-2025</t>
        </is>
      </c>
      <c r="B5588" s="1" t="n">
        <v>46014</v>
      </c>
      <c r="C5588" s="1" t="n">
        <v>46093</v>
      </c>
      <c r="D5588" t="inlineStr">
        <is>
          <t>ÖSTERGÖTLANDS LÄN</t>
        </is>
      </c>
      <c r="E5588" t="inlineStr">
        <is>
          <t>NORRKÖPING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40816-2024</t>
        </is>
      </c>
      <c r="B5589" s="1" t="n">
        <v>45558</v>
      </c>
      <c r="C5589" s="1" t="n">
        <v>46093</v>
      </c>
      <c r="D5589" t="inlineStr">
        <is>
          <t>ÖSTERGÖTLANDS LÄN</t>
        </is>
      </c>
      <c r="E5589" t="inlineStr">
        <is>
          <t>NORRKÖPING</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1115-2023</t>
        </is>
      </c>
      <c r="B5590" s="1" t="n">
        <v>44935.60138888889</v>
      </c>
      <c r="C5590" s="1" t="n">
        <v>46093</v>
      </c>
      <c r="D5590" t="inlineStr">
        <is>
          <t>ÖSTERGÖTLANDS LÄN</t>
        </is>
      </c>
      <c r="E5590" t="inlineStr">
        <is>
          <t>NORRKÖPING</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22878-2023</t>
        </is>
      </c>
      <c r="B5591" s="1" t="n">
        <v>45072</v>
      </c>
      <c r="C5591" s="1" t="n">
        <v>46093</v>
      </c>
      <c r="D5591" t="inlineStr">
        <is>
          <t>ÖSTERGÖTLANDS LÄN</t>
        </is>
      </c>
      <c r="E5591" t="inlineStr">
        <is>
          <t>ÅTVIDABERG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8443-2025</t>
        </is>
      </c>
      <c r="B5592" s="1" t="n">
        <v>45709</v>
      </c>
      <c r="C5592" s="1" t="n">
        <v>46093</v>
      </c>
      <c r="D5592" t="inlineStr">
        <is>
          <t>ÖSTERGÖTLANDS LÄN</t>
        </is>
      </c>
      <c r="E5592" t="inlineStr">
        <is>
          <t>YDRE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26811-2023</t>
        </is>
      </c>
      <c r="B5593" s="1" t="n">
        <v>45093</v>
      </c>
      <c r="C5593" s="1" t="n">
        <v>46093</v>
      </c>
      <c r="D5593" t="inlineStr">
        <is>
          <t>ÖSTERGÖTLANDS LÄN</t>
        </is>
      </c>
      <c r="E5593" t="inlineStr">
        <is>
          <t>VALDEMARSVIK</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57766-2023</t>
        </is>
      </c>
      <c r="B5594" s="1" t="n">
        <v>45246</v>
      </c>
      <c r="C5594" s="1" t="n">
        <v>46093</v>
      </c>
      <c r="D5594" t="inlineStr">
        <is>
          <t>ÖSTERGÖTLANDS LÄN</t>
        </is>
      </c>
      <c r="E5594" t="inlineStr">
        <is>
          <t>LINKÖPING</t>
        </is>
      </c>
      <c r="F5594" t="inlineStr">
        <is>
          <t>Allmännings- och besparingsskogar</t>
        </is>
      </c>
      <c r="G5594" t="n">
        <v>12.8</v>
      </c>
      <c r="H5594" t="n">
        <v>0</v>
      </c>
      <c r="I5594" t="n">
        <v>0</v>
      </c>
      <c r="J5594" t="n">
        <v>0</v>
      </c>
      <c r="K5594" t="n">
        <v>0</v>
      </c>
      <c r="L5594" t="n">
        <v>0</v>
      </c>
      <c r="M5594" t="n">
        <v>0</v>
      </c>
      <c r="N5594" t="n">
        <v>0</v>
      </c>
      <c r="O5594" t="n">
        <v>0</v>
      </c>
      <c r="P5594" t="n">
        <v>0</v>
      </c>
      <c r="Q5594" t="n">
        <v>0</v>
      </c>
      <c r="R5594" s="2" t="inlineStr"/>
    </row>
    <row r="5595" ht="15" customHeight="1">
      <c r="A5595" t="inlineStr">
        <is>
          <t>A 6160-2026</t>
        </is>
      </c>
      <c r="B5595" s="1" t="n">
        <v>46055</v>
      </c>
      <c r="C5595" s="1" t="n">
        <v>46093</v>
      </c>
      <c r="D5595" t="inlineStr">
        <is>
          <t>ÖSTERGÖTLANDS LÄN</t>
        </is>
      </c>
      <c r="E5595" t="inlineStr">
        <is>
          <t>VALDEMARSVIK</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42084-2024</t>
        </is>
      </c>
      <c r="B5596" s="1" t="n">
        <v>45562.3316087963</v>
      </c>
      <c r="C5596" s="1" t="n">
        <v>46093</v>
      </c>
      <c r="D5596" t="inlineStr">
        <is>
          <t>ÖSTERGÖTLANDS LÄN</t>
        </is>
      </c>
      <c r="E5596" t="inlineStr">
        <is>
          <t>KINDA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49698-2024</t>
        </is>
      </c>
      <c r="B5597" s="1" t="n">
        <v>45596</v>
      </c>
      <c r="C5597" s="1" t="n">
        <v>46093</v>
      </c>
      <c r="D5597" t="inlineStr">
        <is>
          <t>ÖSTERGÖTLANDS LÄN</t>
        </is>
      </c>
      <c r="E5597" t="inlineStr">
        <is>
          <t>YDRE</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48873-2024</t>
        </is>
      </c>
      <c r="B5598" s="1" t="n">
        <v>45594.30484953704</v>
      </c>
      <c r="C5598" s="1" t="n">
        <v>46093</v>
      </c>
      <c r="D5598" t="inlineStr">
        <is>
          <t>ÖSTERGÖTLANDS LÄN</t>
        </is>
      </c>
      <c r="E5598" t="inlineStr">
        <is>
          <t>FINSPÅNG</t>
        </is>
      </c>
      <c r="F5598" t="inlineStr">
        <is>
          <t>Holmen skog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6293-2026</t>
        </is>
      </c>
      <c r="B5599" s="1" t="n">
        <v>46055.55762731482</v>
      </c>
      <c r="C5599" s="1" t="n">
        <v>46093</v>
      </c>
      <c r="D5599" t="inlineStr">
        <is>
          <t>ÖSTERGÖTLANDS LÄN</t>
        </is>
      </c>
      <c r="E5599" t="inlineStr">
        <is>
          <t>YDRE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6224-2026</t>
        </is>
      </c>
      <c r="B5600" s="1" t="n">
        <v>46055</v>
      </c>
      <c r="C5600" s="1" t="n">
        <v>46093</v>
      </c>
      <c r="D5600" t="inlineStr">
        <is>
          <t>ÖSTERGÖTLANDS LÄN</t>
        </is>
      </c>
      <c r="E5600" t="inlineStr">
        <is>
          <t>SÖDERKÖPING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6240-2026</t>
        </is>
      </c>
      <c r="B5601" s="1" t="n">
        <v>46055</v>
      </c>
      <c r="C5601" s="1" t="n">
        <v>46093</v>
      </c>
      <c r="D5601" t="inlineStr">
        <is>
          <t>ÖSTERGÖTLANDS LÄN</t>
        </is>
      </c>
      <c r="E5601" t="inlineStr">
        <is>
          <t>SÖDERKÖPING</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6469-2026</t>
        </is>
      </c>
      <c r="B5602" s="1" t="n">
        <v>46056.32425925926</v>
      </c>
      <c r="C5602" s="1" t="n">
        <v>46093</v>
      </c>
      <c r="D5602" t="inlineStr">
        <is>
          <t>ÖSTERGÖTLANDS LÄN</t>
        </is>
      </c>
      <c r="E5602" t="inlineStr">
        <is>
          <t>ÅTVIDABERG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6494-2026</t>
        </is>
      </c>
      <c r="B5603" s="1" t="n">
        <v>46056.35708333334</v>
      </c>
      <c r="C5603" s="1" t="n">
        <v>46093</v>
      </c>
      <c r="D5603" t="inlineStr">
        <is>
          <t>ÖSTERGÖTLANDS LÄN</t>
        </is>
      </c>
      <c r="E5603" t="inlineStr">
        <is>
          <t>ÅTVIDABERG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49251-2024</t>
        </is>
      </c>
      <c r="B5604" s="1" t="n">
        <v>45595.46804398148</v>
      </c>
      <c r="C5604" s="1" t="n">
        <v>46093</v>
      </c>
      <c r="D5604" t="inlineStr">
        <is>
          <t>ÖSTERGÖTLANDS LÄN</t>
        </is>
      </c>
      <c r="E5604" t="inlineStr">
        <is>
          <t>SÖDERKÖPING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6164-2026</t>
        </is>
      </c>
      <c r="B5605" s="1" t="n">
        <v>46055.32596064815</v>
      </c>
      <c r="C5605" s="1" t="n">
        <v>46093</v>
      </c>
      <c r="D5605" t="inlineStr">
        <is>
          <t>ÖSTERGÖTLANDS LÄN</t>
        </is>
      </c>
      <c r="E5605" t="inlineStr">
        <is>
          <t>LINKÖPING</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48767-2024</t>
        </is>
      </c>
      <c r="B5606" s="1" t="n">
        <v>45593.60833333333</v>
      </c>
      <c r="C5606" s="1" t="n">
        <v>46093</v>
      </c>
      <c r="D5606" t="inlineStr">
        <is>
          <t>ÖSTERGÖTLANDS LÄN</t>
        </is>
      </c>
      <c r="E5606" t="inlineStr">
        <is>
          <t>FINSPÅNG</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48158-2023</t>
        </is>
      </c>
      <c r="B5607" s="1" t="n">
        <v>45205.41054398148</v>
      </c>
      <c r="C5607" s="1" t="n">
        <v>46093</v>
      </c>
      <c r="D5607" t="inlineStr">
        <is>
          <t>ÖSTERGÖTLANDS LÄN</t>
        </is>
      </c>
      <c r="E5607" t="inlineStr">
        <is>
          <t>VALDEMARSVIK</t>
        </is>
      </c>
      <c r="F5607" t="inlineStr">
        <is>
          <t>Kommuner</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28663-2024</t>
        </is>
      </c>
      <c r="B5608" s="1" t="n">
        <v>45478.47236111111</v>
      </c>
      <c r="C5608" s="1" t="n">
        <v>46093</v>
      </c>
      <c r="D5608" t="inlineStr">
        <is>
          <t>ÖSTERGÖTLANDS LÄN</t>
        </is>
      </c>
      <c r="E5608" t="inlineStr">
        <is>
          <t>NORRKÖPING</t>
        </is>
      </c>
      <c r="F5608" t="inlineStr">
        <is>
          <t>Holmen skog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29726-2022</t>
        </is>
      </c>
      <c r="B5609" s="1" t="n">
        <v>44755.45060185185</v>
      </c>
      <c r="C5609" s="1" t="n">
        <v>46093</v>
      </c>
      <c r="D5609" t="inlineStr">
        <is>
          <t>ÖSTERGÖTLANDS LÄN</t>
        </is>
      </c>
      <c r="E5609" t="inlineStr">
        <is>
          <t>KINDA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63713-2025</t>
        </is>
      </c>
      <c r="B5610" s="1" t="n">
        <v>46014.64821759259</v>
      </c>
      <c r="C5610" s="1" t="n">
        <v>46093</v>
      </c>
      <c r="D5610" t="inlineStr">
        <is>
          <t>ÖSTERGÖTLANDS LÄN</t>
        </is>
      </c>
      <c r="E5610" t="inlineStr">
        <is>
          <t>VALDEMARSVIK</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24983-2023</t>
        </is>
      </c>
      <c r="B5611" s="1" t="n">
        <v>45085</v>
      </c>
      <c r="C5611" s="1" t="n">
        <v>46093</v>
      </c>
      <c r="D5611" t="inlineStr">
        <is>
          <t>ÖSTERGÖTLANDS LÄN</t>
        </is>
      </c>
      <c r="E5611" t="inlineStr">
        <is>
          <t>YDRE</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37196-2024</t>
        </is>
      </c>
      <c r="B5612" s="1" t="n">
        <v>45539.66679398148</v>
      </c>
      <c r="C5612" s="1" t="n">
        <v>46093</v>
      </c>
      <c r="D5612" t="inlineStr">
        <is>
          <t>ÖSTERGÖTLANDS LÄN</t>
        </is>
      </c>
      <c r="E5612" t="inlineStr">
        <is>
          <t>KINDA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24090-2023</t>
        </is>
      </c>
      <c r="B5613" s="1" t="n">
        <v>45079</v>
      </c>
      <c r="C5613" s="1" t="n">
        <v>46093</v>
      </c>
      <c r="D5613" t="inlineStr">
        <is>
          <t>ÖSTERGÖTLANDS LÄN</t>
        </is>
      </c>
      <c r="E5613" t="inlineStr">
        <is>
          <t>MOTALA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6391-2026</t>
        </is>
      </c>
      <c r="B5614" s="1" t="n">
        <v>46055.64608796296</v>
      </c>
      <c r="C5614" s="1" t="n">
        <v>46093</v>
      </c>
      <c r="D5614" t="inlineStr">
        <is>
          <t>ÖSTERGÖTLANDS LÄN</t>
        </is>
      </c>
      <c r="E5614" t="inlineStr">
        <is>
          <t>ÅTVIDABERG</t>
        </is>
      </c>
      <c r="F5614" t="inlineStr">
        <is>
          <t>Övriga Aktiebolag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10302-2025</t>
        </is>
      </c>
      <c r="B5615" s="1" t="n">
        <v>45720.44211805556</v>
      </c>
      <c r="C5615" s="1" t="n">
        <v>46093</v>
      </c>
      <c r="D5615" t="inlineStr">
        <is>
          <t>ÖSTERGÖTLANDS LÄN</t>
        </is>
      </c>
      <c r="E5615" t="inlineStr">
        <is>
          <t>ÅTVIDABERG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18726-2025</t>
        </is>
      </c>
      <c r="B5616" s="1" t="n">
        <v>45763.67142361111</v>
      </c>
      <c r="C5616" s="1" t="n">
        <v>46093</v>
      </c>
      <c r="D5616" t="inlineStr">
        <is>
          <t>ÖSTERGÖTLANDS LÄN</t>
        </is>
      </c>
      <c r="E5616" t="inlineStr">
        <is>
          <t>MOTALA</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6242-2026</t>
        </is>
      </c>
      <c r="B5617" s="1" t="n">
        <v>46055.46429398148</v>
      </c>
      <c r="C5617" s="1" t="n">
        <v>46093</v>
      </c>
      <c r="D5617" t="inlineStr">
        <is>
          <t>ÖSTERGÖTLANDS LÄN</t>
        </is>
      </c>
      <c r="E5617" t="inlineStr">
        <is>
          <t>ÅTVIDABERG</t>
        </is>
      </c>
      <c r="F5617" t="inlineStr">
        <is>
          <t>Övriga Aktiebolag</t>
        </is>
      </c>
      <c r="G5617" t="n">
        <v>16.5</v>
      </c>
      <c r="H5617" t="n">
        <v>0</v>
      </c>
      <c r="I5617" t="n">
        <v>0</v>
      </c>
      <c r="J5617" t="n">
        <v>0</v>
      </c>
      <c r="K5617" t="n">
        <v>0</v>
      </c>
      <c r="L5617" t="n">
        <v>0</v>
      </c>
      <c r="M5617" t="n">
        <v>0</v>
      </c>
      <c r="N5617" t="n">
        <v>0</v>
      </c>
      <c r="O5617" t="n">
        <v>0</v>
      </c>
      <c r="P5617" t="n">
        <v>0</v>
      </c>
      <c r="Q5617" t="n">
        <v>0</v>
      </c>
      <c r="R5617" s="2" t="inlineStr"/>
    </row>
    <row r="5618" ht="15" customHeight="1">
      <c r="A5618" t="inlineStr">
        <is>
          <t>A 6256-2026</t>
        </is>
      </c>
      <c r="B5618" s="1" t="n">
        <v>46055</v>
      </c>
      <c r="C5618" s="1" t="n">
        <v>46093</v>
      </c>
      <c r="D5618" t="inlineStr">
        <is>
          <t>ÖSTERGÖTLANDS LÄN</t>
        </is>
      </c>
      <c r="E5618" t="inlineStr">
        <is>
          <t>SÖDERKÖPING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63445-2025</t>
        </is>
      </c>
      <c r="B5619" s="1" t="n">
        <v>46013.39946759259</v>
      </c>
      <c r="C5619" s="1" t="n">
        <v>46093</v>
      </c>
      <c r="D5619" t="inlineStr">
        <is>
          <t>ÖSTERGÖTLANDS LÄN</t>
        </is>
      </c>
      <c r="E5619" t="inlineStr">
        <is>
          <t>MJÖLBY</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11025-2023</t>
        </is>
      </c>
      <c r="B5620" s="1" t="n">
        <v>44991</v>
      </c>
      <c r="C5620" s="1" t="n">
        <v>46093</v>
      </c>
      <c r="D5620" t="inlineStr">
        <is>
          <t>ÖSTERGÖTLANDS LÄN</t>
        </is>
      </c>
      <c r="E5620" t="inlineStr">
        <is>
          <t>ÅTVIDABERG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50906-2024</t>
        </is>
      </c>
      <c r="B5621" s="1" t="n">
        <v>45602.69741898148</v>
      </c>
      <c r="C5621" s="1" t="n">
        <v>46093</v>
      </c>
      <c r="D5621" t="inlineStr">
        <is>
          <t>ÖSTERGÖTLANDS LÄN</t>
        </is>
      </c>
      <c r="E5621" t="inlineStr">
        <is>
          <t>MJÖLBY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22048-2021</t>
        </is>
      </c>
      <c r="B5622" s="1" t="n">
        <v>44323</v>
      </c>
      <c r="C5622" s="1" t="n">
        <v>46093</v>
      </c>
      <c r="D5622" t="inlineStr">
        <is>
          <t>ÖSTERGÖTLANDS LÄN</t>
        </is>
      </c>
      <c r="E5622" t="inlineStr">
        <is>
          <t>KINDA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6205-2026</t>
        </is>
      </c>
      <c r="B5623" s="1" t="n">
        <v>46055.41913194444</v>
      </c>
      <c r="C5623" s="1" t="n">
        <v>46093</v>
      </c>
      <c r="D5623" t="inlineStr">
        <is>
          <t>ÖSTERGÖTLANDS LÄN</t>
        </is>
      </c>
      <c r="E5623" t="inlineStr">
        <is>
          <t>SÖDERKÖPING</t>
        </is>
      </c>
      <c r="F5623" t="inlineStr">
        <is>
          <t>Kyrkan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63536-2025</t>
        </is>
      </c>
      <c r="B5624" s="1" t="n">
        <v>46013.58092592593</v>
      </c>
      <c r="C5624" s="1" t="n">
        <v>46093</v>
      </c>
      <c r="D5624" t="inlineStr">
        <is>
          <t>ÖSTERGÖTLANDS LÄN</t>
        </is>
      </c>
      <c r="E5624" t="inlineStr">
        <is>
          <t>YDRE</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27186-2021</t>
        </is>
      </c>
      <c r="B5625" s="1" t="n">
        <v>44350.67715277777</v>
      </c>
      <c r="C5625" s="1" t="n">
        <v>46093</v>
      </c>
      <c r="D5625" t="inlineStr">
        <is>
          <t>ÖSTERGÖTLANDS LÄN</t>
        </is>
      </c>
      <c r="E5625" t="inlineStr">
        <is>
          <t>LINKÖPING</t>
        </is>
      </c>
      <c r="F5625" t="inlineStr">
        <is>
          <t>Allmännings- och besparingsskogar</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51445-2024</t>
        </is>
      </c>
      <c r="B5626" s="1" t="n">
        <v>45604.48474537037</v>
      </c>
      <c r="C5626" s="1" t="n">
        <v>46093</v>
      </c>
      <c r="D5626" t="inlineStr">
        <is>
          <t>ÖSTERGÖTLANDS LÄN</t>
        </is>
      </c>
      <c r="E5626" t="inlineStr">
        <is>
          <t>FINSPÅNG</t>
        </is>
      </c>
      <c r="F5626" t="inlineStr">
        <is>
          <t>Holmen skog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2381-2023</t>
        </is>
      </c>
      <c r="B5627" s="1" t="n">
        <v>44942.70369212963</v>
      </c>
      <c r="C5627" s="1" t="n">
        <v>46093</v>
      </c>
      <c r="D5627" t="inlineStr">
        <is>
          <t>ÖSTERGÖTLANDS LÄN</t>
        </is>
      </c>
      <c r="E5627" t="inlineStr">
        <is>
          <t>FINSPÅNG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6534-2026</t>
        </is>
      </c>
      <c r="B5628" s="1" t="n">
        <v>46056.41675925926</v>
      </c>
      <c r="C5628" s="1" t="n">
        <v>46093</v>
      </c>
      <c r="D5628" t="inlineStr">
        <is>
          <t>ÖSTERGÖTLANDS LÄN</t>
        </is>
      </c>
      <c r="E5628" t="inlineStr">
        <is>
          <t>KINDA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63538-2025</t>
        </is>
      </c>
      <c r="B5629" s="1" t="n">
        <v>46013.58743055556</v>
      </c>
      <c r="C5629" s="1" t="n">
        <v>46093</v>
      </c>
      <c r="D5629" t="inlineStr">
        <is>
          <t>ÖSTERGÖTLANDS LÄN</t>
        </is>
      </c>
      <c r="E5629" t="inlineStr">
        <is>
          <t>YDRE</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63544-2025</t>
        </is>
      </c>
      <c r="B5630" s="1" t="n">
        <v>46013.59239583334</v>
      </c>
      <c r="C5630" s="1" t="n">
        <v>46093</v>
      </c>
      <c r="D5630" t="inlineStr">
        <is>
          <t>ÖSTERGÖTLANDS LÄN</t>
        </is>
      </c>
      <c r="E5630" t="inlineStr">
        <is>
          <t>YDRE</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10194-2023</t>
        </is>
      </c>
      <c r="B5631" s="1" t="n">
        <v>44986.52277777778</v>
      </c>
      <c r="C5631" s="1" t="n">
        <v>46093</v>
      </c>
      <c r="D5631" t="inlineStr">
        <is>
          <t>ÖSTERGÖTLANDS LÄN</t>
        </is>
      </c>
      <c r="E5631" t="inlineStr">
        <is>
          <t>LINKÖPING</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21487-2023</t>
        </is>
      </c>
      <c r="B5632" s="1" t="n">
        <v>45063</v>
      </c>
      <c r="C5632" s="1" t="n">
        <v>46093</v>
      </c>
      <c r="D5632" t="inlineStr">
        <is>
          <t>ÖSTERGÖTLANDS LÄN</t>
        </is>
      </c>
      <c r="E5632" t="inlineStr">
        <is>
          <t>VALDEMARSVIK</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55944-2024</t>
        </is>
      </c>
      <c r="B5633" s="1" t="n">
        <v>45623.61640046296</v>
      </c>
      <c r="C5633" s="1" t="n">
        <v>46093</v>
      </c>
      <c r="D5633" t="inlineStr">
        <is>
          <t>ÖSTERGÖTLANDS LÄN</t>
        </is>
      </c>
      <c r="E5633" t="inlineStr">
        <is>
          <t>LINKÖPING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55947-2024</t>
        </is>
      </c>
      <c r="B5634" s="1" t="n">
        <v>45623</v>
      </c>
      <c r="C5634" s="1" t="n">
        <v>46093</v>
      </c>
      <c r="D5634" t="inlineStr">
        <is>
          <t>ÖSTERGÖTLANDS LÄN</t>
        </is>
      </c>
      <c r="E5634" t="inlineStr">
        <is>
          <t>LINKÖPING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31883-2023</t>
        </is>
      </c>
      <c r="B5635" s="1" t="n">
        <v>45118</v>
      </c>
      <c r="C5635" s="1" t="n">
        <v>46093</v>
      </c>
      <c r="D5635" t="inlineStr">
        <is>
          <t>ÖSTERGÖTLANDS LÄN</t>
        </is>
      </c>
      <c r="E5635" t="inlineStr">
        <is>
          <t>NORRKÖPING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47703-2023</t>
        </is>
      </c>
      <c r="B5636" s="1" t="n">
        <v>45203</v>
      </c>
      <c r="C5636" s="1" t="n">
        <v>46093</v>
      </c>
      <c r="D5636" t="inlineStr">
        <is>
          <t>ÖSTERGÖTLANDS LÄN</t>
        </is>
      </c>
      <c r="E5636" t="inlineStr">
        <is>
          <t>LINKÖPING</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9125-2023</t>
        </is>
      </c>
      <c r="B5637" s="1" t="n">
        <v>44980.33065972223</v>
      </c>
      <c r="C5637" s="1" t="n">
        <v>46093</v>
      </c>
      <c r="D5637" t="inlineStr">
        <is>
          <t>ÖSTERGÖTLANDS LÄN</t>
        </is>
      </c>
      <c r="E5637" t="inlineStr">
        <is>
          <t>MJÖLBY</t>
        </is>
      </c>
      <c r="F5637" t="inlineStr">
        <is>
          <t>Kyrkan</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9201-2023</t>
        </is>
      </c>
      <c r="B5638" s="1" t="n">
        <v>44980</v>
      </c>
      <c r="C5638" s="1" t="n">
        <v>46093</v>
      </c>
      <c r="D5638" t="inlineStr">
        <is>
          <t>ÖSTERGÖTLANDS LÄN</t>
        </is>
      </c>
      <c r="E5638" t="inlineStr">
        <is>
          <t>NORRKÖPING</t>
        </is>
      </c>
      <c r="F5638" t="inlineStr">
        <is>
          <t>Holmen skog AB</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9203-2023</t>
        </is>
      </c>
      <c r="B5639" s="1" t="n">
        <v>44977</v>
      </c>
      <c r="C5639" s="1" t="n">
        <v>46093</v>
      </c>
      <c r="D5639" t="inlineStr">
        <is>
          <t>ÖSTERGÖTLANDS LÄN</t>
        </is>
      </c>
      <c r="E5639" t="inlineStr">
        <is>
          <t>KINDA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51559-2024</t>
        </is>
      </c>
      <c r="B5640" s="1" t="n">
        <v>45604.61431712963</v>
      </c>
      <c r="C5640" s="1" t="n">
        <v>46093</v>
      </c>
      <c r="D5640" t="inlineStr">
        <is>
          <t>ÖSTERGÖTLANDS LÄN</t>
        </is>
      </c>
      <c r="E5640" t="inlineStr">
        <is>
          <t>LINKÖPING</t>
        </is>
      </c>
      <c r="F5640" t="inlineStr">
        <is>
          <t>Övriga Aktiebolag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40328-2024</t>
        </is>
      </c>
      <c r="B5641" s="1" t="n">
        <v>45555.29670138889</v>
      </c>
      <c r="C5641" s="1" t="n">
        <v>46093</v>
      </c>
      <c r="D5641" t="inlineStr">
        <is>
          <t>ÖSTERGÖTLANDS LÄN</t>
        </is>
      </c>
      <c r="E5641" t="inlineStr">
        <is>
          <t>MJÖLBY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9554-2022</t>
        </is>
      </c>
      <c r="B5642" s="1" t="n">
        <v>44617.43332175926</v>
      </c>
      <c r="C5642" s="1" t="n">
        <v>46093</v>
      </c>
      <c r="D5642" t="inlineStr">
        <is>
          <t>ÖSTERGÖTLANDS LÄN</t>
        </is>
      </c>
      <c r="E5642" t="inlineStr">
        <is>
          <t>FINSPÅNG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43058-2022</t>
        </is>
      </c>
      <c r="B5643" s="1" t="n">
        <v>44833.62730324074</v>
      </c>
      <c r="C5643" s="1" t="n">
        <v>46093</v>
      </c>
      <c r="D5643" t="inlineStr">
        <is>
          <t>ÖSTERGÖTLANDS LÄN</t>
        </is>
      </c>
      <c r="E5643" t="inlineStr">
        <is>
          <t>ÅTVIDABERG</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39242-2024</t>
        </is>
      </c>
      <c r="B5644" s="1" t="n">
        <v>45551.28467592593</v>
      </c>
      <c r="C5644" s="1" t="n">
        <v>46093</v>
      </c>
      <c r="D5644" t="inlineStr">
        <is>
          <t>ÖSTERGÖTLANDS LÄN</t>
        </is>
      </c>
      <c r="E5644" t="inlineStr">
        <is>
          <t>KINDA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7274-2026</t>
        </is>
      </c>
      <c r="B5645" s="1" t="n">
        <v>46058.61957175926</v>
      </c>
      <c r="C5645" s="1" t="n">
        <v>46093</v>
      </c>
      <c r="D5645" t="inlineStr">
        <is>
          <t>ÖSTERGÖTLANDS LÄN</t>
        </is>
      </c>
      <c r="E5645" t="inlineStr">
        <is>
          <t>FINSPÅNG</t>
        </is>
      </c>
      <c r="F5645" t="inlineStr">
        <is>
          <t>Holmen skog AB</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3907-2023</t>
        </is>
      </c>
      <c r="B5646" s="1" t="n">
        <v>44952.00760416667</v>
      </c>
      <c r="C5646" s="1" t="n">
        <v>46093</v>
      </c>
      <c r="D5646" t="inlineStr">
        <is>
          <t>ÖSTERGÖTLANDS LÄN</t>
        </is>
      </c>
      <c r="E5646" t="inlineStr">
        <is>
          <t>KINDA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44069-2023</t>
        </is>
      </c>
      <c r="B5647" s="1" t="n">
        <v>45188.40855324074</v>
      </c>
      <c r="C5647" s="1" t="n">
        <v>46093</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6938-2026</t>
        </is>
      </c>
      <c r="B5648" s="1" t="n">
        <v>46056</v>
      </c>
      <c r="C5648" s="1" t="n">
        <v>46093</v>
      </c>
      <c r="D5648" t="inlineStr">
        <is>
          <t>ÖSTERGÖTLANDS LÄN</t>
        </is>
      </c>
      <c r="E5648" t="inlineStr">
        <is>
          <t>BOXHOLM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64164-2023</t>
        </is>
      </c>
      <c r="B5649" s="1" t="n">
        <v>45279</v>
      </c>
      <c r="C5649" s="1" t="n">
        <v>46093</v>
      </c>
      <c r="D5649" t="inlineStr">
        <is>
          <t>ÖSTERGÖTLANDS LÄN</t>
        </is>
      </c>
      <c r="E5649" t="inlineStr">
        <is>
          <t>MOTALA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63392-2021</t>
        </is>
      </c>
      <c r="B5650" s="1" t="n">
        <v>44508.5356712963</v>
      </c>
      <c r="C5650" s="1" t="n">
        <v>46093</v>
      </c>
      <c r="D5650" t="inlineStr">
        <is>
          <t>ÖSTERGÖTLANDS LÄN</t>
        </is>
      </c>
      <c r="E5650" t="inlineStr">
        <is>
          <t>SÖDERKÖPING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3995-2026</t>
        </is>
      </c>
      <c r="B5651" s="1" t="n">
        <v>46043</v>
      </c>
      <c r="C5651" s="1" t="n">
        <v>46093</v>
      </c>
      <c r="D5651" t="inlineStr">
        <is>
          <t>ÖSTERGÖTLANDS LÄN</t>
        </is>
      </c>
      <c r="E5651" t="inlineStr">
        <is>
          <t>MOTALA</t>
        </is>
      </c>
      <c r="F5651" t="inlineStr">
        <is>
          <t>Kyrkan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7193-2026</t>
        </is>
      </c>
      <c r="B5652" s="1" t="n">
        <v>46058.49981481482</v>
      </c>
      <c r="C5652" s="1" t="n">
        <v>46093</v>
      </c>
      <c r="D5652" t="inlineStr">
        <is>
          <t>ÖSTERGÖTLANDS LÄN</t>
        </is>
      </c>
      <c r="E5652" t="inlineStr">
        <is>
          <t>FINSPÅNG</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6548-2022</t>
        </is>
      </c>
      <c r="B5653" s="1" t="n">
        <v>44601.54333333333</v>
      </c>
      <c r="C5653" s="1" t="n">
        <v>46093</v>
      </c>
      <c r="D5653" t="inlineStr">
        <is>
          <t>ÖSTERGÖTLANDS LÄN</t>
        </is>
      </c>
      <c r="E5653" t="inlineStr">
        <is>
          <t>VALDEMARSVIK</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7133-2026</t>
        </is>
      </c>
      <c r="B5654" s="1" t="n">
        <v>46057</v>
      </c>
      <c r="C5654" s="1" t="n">
        <v>46093</v>
      </c>
      <c r="D5654" t="inlineStr">
        <is>
          <t>ÖSTERGÖTLANDS LÄN</t>
        </is>
      </c>
      <c r="E5654" t="inlineStr">
        <is>
          <t>LINKÖPING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46925-2023</t>
        </is>
      </c>
      <c r="B5655" s="1" t="n">
        <v>45201.40716435185</v>
      </c>
      <c r="C5655" s="1" t="n">
        <v>46093</v>
      </c>
      <c r="D5655" t="inlineStr">
        <is>
          <t>ÖSTERGÖTLANDS LÄN</t>
        </is>
      </c>
      <c r="E5655" t="inlineStr">
        <is>
          <t>KINDA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8176-2025</t>
        </is>
      </c>
      <c r="B5656" s="1" t="n">
        <v>45708.38859953704</v>
      </c>
      <c r="C5656" s="1" t="n">
        <v>46093</v>
      </c>
      <c r="D5656" t="inlineStr">
        <is>
          <t>ÖSTERGÖTLANDS LÄN</t>
        </is>
      </c>
      <c r="E5656" t="inlineStr">
        <is>
          <t>VALDEMARSVIK</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8228-2025</t>
        </is>
      </c>
      <c r="B5657" s="1" t="n">
        <v>45708.46913194445</v>
      </c>
      <c r="C5657" s="1" t="n">
        <v>46093</v>
      </c>
      <c r="D5657" t="inlineStr">
        <is>
          <t>ÖSTERGÖTLANDS LÄN</t>
        </is>
      </c>
      <c r="E5657" t="inlineStr">
        <is>
          <t>KINDA</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8229-2025</t>
        </is>
      </c>
      <c r="B5658" s="1" t="n">
        <v>45708.46960648148</v>
      </c>
      <c r="C5658" s="1" t="n">
        <v>46093</v>
      </c>
      <c r="D5658" t="inlineStr">
        <is>
          <t>ÖSTERGÖTLANDS LÄN</t>
        </is>
      </c>
      <c r="E5658" t="inlineStr">
        <is>
          <t>KINDA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32978-2024</t>
        </is>
      </c>
      <c r="B5659" s="1" t="n">
        <v>45517.44506944445</v>
      </c>
      <c r="C5659" s="1" t="n">
        <v>46093</v>
      </c>
      <c r="D5659" t="inlineStr">
        <is>
          <t>ÖSTERGÖTLANDS LÄN</t>
        </is>
      </c>
      <c r="E5659" t="inlineStr">
        <is>
          <t>KINDA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4555-2023</t>
        </is>
      </c>
      <c r="B5660" s="1" t="n">
        <v>44956</v>
      </c>
      <c r="C5660" s="1" t="n">
        <v>46093</v>
      </c>
      <c r="D5660" t="inlineStr">
        <is>
          <t>ÖSTERGÖTLANDS LÄN</t>
        </is>
      </c>
      <c r="E5660" t="inlineStr">
        <is>
          <t>KINDA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24693-2024</t>
        </is>
      </c>
      <c r="B5661" s="1" t="n">
        <v>45460.60703703704</v>
      </c>
      <c r="C5661" s="1" t="n">
        <v>46093</v>
      </c>
      <c r="D5661" t="inlineStr">
        <is>
          <t>ÖSTERGÖTLANDS LÄN</t>
        </is>
      </c>
      <c r="E5661" t="inlineStr">
        <is>
          <t>YDRE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6669-2026</t>
        </is>
      </c>
      <c r="B5662" s="1" t="n">
        <v>46056</v>
      </c>
      <c r="C5662" s="1" t="n">
        <v>46093</v>
      </c>
      <c r="D5662" t="inlineStr">
        <is>
          <t>ÖSTERGÖTLANDS LÄN</t>
        </is>
      </c>
      <c r="E5662" t="inlineStr">
        <is>
          <t>SÖDERKÖPING</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11951-2024</t>
        </is>
      </c>
      <c r="B5663" s="1" t="n">
        <v>45376.69920138889</v>
      </c>
      <c r="C5663" s="1" t="n">
        <v>46093</v>
      </c>
      <c r="D5663" t="inlineStr">
        <is>
          <t>ÖSTERGÖTLANDS LÄN</t>
        </is>
      </c>
      <c r="E5663" t="inlineStr">
        <is>
          <t>SÖDERKÖPING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8569-2023</t>
        </is>
      </c>
      <c r="B5664" s="1" t="n">
        <v>44977.63902777778</v>
      </c>
      <c r="C5664" s="1" t="n">
        <v>46093</v>
      </c>
      <c r="D5664" t="inlineStr">
        <is>
          <t>ÖSTERGÖTLANDS LÄN</t>
        </is>
      </c>
      <c r="E5664" t="inlineStr">
        <is>
          <t>NORRKÖPING</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62353-2022</t>
        </is>
      </c>
      <c r="B5665" s="1" t="n">
        <v>44923</v>
      </c>
      <c r="C5665" s="1" t="n">
        <v>46093</v>
      </c>
      <c r="D5665" t="inlineStr">
        <is>
          <t>ÖSTERGÖTLANDS LÄN</t>
        </is>
      </c>
      <c r="E5665" t="inlineStr">
        <is>
          <t>LINKÖPING</t>
        </is>
      </c>
      <c r="F5665" t="inlineStr">
        <is>
          <t>Allmännings- och besparingsskogar</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15754-2025</t>
        </is>
      </c>
      <c r="B5666" s="1" t="n">
        <v>45748.56105324074</v>
      </c>
      <c r="C5666" s="1" t="n">
        <v>46093</v>
      </c>
      <c r="D5666" t="inlineStr">
        <is>
          <t>ÖSTERGÖTLANDS LÄN</t>
        </is>
      </c>
      <c r="E5666" t="inlineStr">
        <is>
          <t>LINKÖPING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17296-2024</t>
        </is>
      </c>
      <c r="B5667" s="1" t="n">
        <v>45414.48158564815</v>
      </c>
      <c r="C5667" s="1" t="n">
        <v>46093</v>
      </c>
      <c r="D5667" t="inlineStr">
        <is>
          <t>ÖSTERGÖTLANDS LÄN</t>
        </is>
      </c>
      <c r="E5667" t="inlineStr">
        <is>
          <t>YDRE</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31309-2021</t>
        </is>
      </c>
      <c r="B5668" s="1" t="n">
        <v>44368</v>
      </c>
      <c r="C5668" s="1" t="n">
        <v>46093</v>
      </c>
      <c r="D5668" t="inlineStr">
        <is>
          <t>ÖSTERGÖTLANDS LÄN</t>
        </is>
      </c>
      <c r="E5668" t="inlineStr">
        <is>
          <t>FINSPÅNG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32089-2024</t>
        </is>
      </c>
      <c r="B5669" s="1" t="n">
        <v>45511</v>
      </c>
      <c r="C5669" s="1" t="n">
        <v>46093</v>
      </c>
      <c r="D5669" t="inlineStr">
        <is>
          <t>ÖSTERGÖTLANDS LÄN</t>
        </is>
      </c>
      <c r="E5669" t="inlineStr">
        <is>
          <t>BOXHOLM</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307-2025</t>
        </is>
      </c>
      <c r="B5670" s="1" t="n">
        <v>45660.58243055556</v>
      </c>
      <c r="C5670" s="1" t="n">
        <v>46093</v>
      </c>
      <c r="D5670" t="inlineStr">
        <is>
          <t>ÖSTERGÖTLANDS LÄN</t>
        </is>
      </c>
      <c r="E5670" t="inlineStr">
        <is>
          <t>FINSPÅNG</t>
        </is>
      </c>
      <c r="F5670" t="inlineStr">
        <is>
          <t>Övriga Aktiebolag</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1033-2025</t>
        </is>
      </c>
      <c r="B5671" s="1" t="n">
        <v>45666.525</v>
      </c>
      <c r="C5671" s="1" t="n">
        <v>46093</v>
      </c>
      <c r="D5671" t="inlineStr">
        <is>
          <t>ÖSTERGÖTLANDS LÄN</t>
        </is>
      </c>
      <c r="E5671" t="inlineStr">
        <is>
          <t>YDRE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4298-2023</t>
        </is>
      </c>
      <c r="B5672" s="1" t="n">
        <v>44953</v>
      </c>
      <c r="C5672" s="1" t="n">
        <v>46093</v>
      </c>
      <c r="D5672" t="inlineStr">
        <is>
          <t>ÖSTERGÖTLANDS LÄN</t>
        </is>
      </c>
      <c r="E5672" t="inlineStr">
        <is>
          <t>LINKÖPING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3070-2025</t>
        </is>
      </c>
      <c r="B5673" s="1" t="n">
        <v>45678.6377199074</v>
      </c>
      <c r="C5673" s="1" t="n">
        <v>46093</v>
      </c>
      <c r="D5673" t="inlineStr">
        <is>
          <t>ÖSTERGÖTLANDS LÄN</t>
        </is>
      </c>
      <c r="E5673" t="inlineStr">
        <is>
          <t>NORRKÖPING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42786-2024</t>
        </is>
      </c>
      <c r="B5674" s="1" t="n">
        <v>45566.53746527778</v>
      </c>
      <c r="C5674" s="1" t="n">
        <v>46093</v>
      </c>
      <c r="D5674" t="inlineStr">
        <is>
          <t>ÖSTERGÖTLANDS LÄN</t>
        </is>
      </c>
      <c r="E5674" t="inlineStr">
        <is>
          <t>ÅTVIDABERG</t>
        </is>
      </c>
      <c r="F5674" t="inlineStr">
        <is>
          <t>Sveaskog</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11790-2023</t>
        </is>
      </c>
      <c r="B5675" s="1" t="n">
        <v>44994.66158564815</v>
      </c>
      <c r="C5675" s="1" t="n">
        <v>46093</v>
      </c>
      <c r="D5675" t="inlineStr">
        <is>
          <t>ÖSTERGÖTLANDS LÄN</t>
        </is>
      </c>
      <c r="E5675" t="inlineStr">
        <is>
          <t>YDRE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11902-2022</t>
        </is>
      </c>
      <c r="B5676" s="1" t="n">
        <v>44635</v>
      </c>
      <c r="C5676" s="1" t="n">
        <v>46093</v>
      </c>
      <c r="D5676" t="inlineStr">
        <is>
          <t>ÖSTERGÖTLANDS LÄN</t>
        </is>
      </c>
      <c r="E5676" t="inlineStr">
        <is>
          <t>YDRE</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18961-2022</t>
        </is>
      </c>
      <c r="B5677" s="1" t="n">
        <v>44690</v>
      </c>
      <c r="C5677" s="1" t="n">
        <v>46093</v>
      </c>
      <c r="D5677" t="inlineStr">
        <is>
          <t>ÖSTERGÖTLANDS LÄN</t>
        </is>
      </c>
      <c r="E5677" t="inlineStr">
        <is>
          <t>VALDEMARSVIK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16304-2024</t>
        </is>
      </c>
      <c r="B5678" s="1" t="n">
        <v>45407.42699074074</v>
      </c>
      <c r="C5678" s="1" t="n">
        <v>46093</v>
      </c>
      <c r="D5678" t="inlineStr">
        <is>
          <t>ÖSTERGÖTLANDS LÄN</t>
        </is>
      </c>
      <c r="E5678" t="inlineStr">
        <is>
          <t>MJÖLBY</t>
        </is>
      </c>
      <c r="G5678" t="n">
        <v>0</v>
      </c>
      <c r="H5678" t="n">
        <v>0</v>
      </c>
      <c r="I5678" t="n">
        <v>0</v>
      </c>
      <c r="J5678" t="n">
        <v>0</v>
      </c>
      <c r="K5678" t="n">
        <v>0</v>
      </c>
      <c r="L5678" t="n">
        <v>0</v>
      </c>
      <c r="M5678" t="n">
        <v>0</v>
      </c>
      <c r="N5678" t="n">
        <v>0</v>
      </c>
      <c r="O5678" t="n">
        <v>0</v>
      </c>
      <c r="P5678" t="n">
        <v>0</v>
      </c>
      <c r="Q5678" t="n">
        <v>0</v>
      </c>
      <c r="R5678" s="2" t="inlineStr"/>
    </row>
    <row r="5679" ht="15" customHeight="1">
      <c r="A5679" t="inlineStr">
        <is>
          <t>A 7249-2026</t>
        </is>
      </c>
      <c r="B5679" s="1" t="n">
        <v>46058.59472222222</v>
      </c>
      <c r="C5679" s="1" t="n">
        <v>46093</v>
      </c>
      <c r="D5679" t="inlineStr">
        <is>
          <t>ÖSTERGÖTLANDS LÄN</t>
        </is>
      </c>
      <c r="E5679" t="inlineStr">
        <is>
          <t>FINSPÅNG</t>
        </is>
      </c>
      <c r="F5679" t="inlineStr">
        <is>
          <t>Övriga Aktiebolag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18145-2021</t>
        </is>
      </c>
      <c r="B5680" s="1" t="n">
        <v>44302</v>
      </c>
      <c r="C5680" s="1" t="n">
        <v>46093</v>
      </c>
      <c r="D5680" t="inlineStr">
        <is>
          <t>ÖSTERGÖTLANDS LÄN</t>
        </is>
      </c>
      <c r="E5680" t="inlineStr">
        <is>
          <t>LINKÖPING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42316-2022</t>
        </is>
      </c>
      <c r="B5681" s="1" t="n">
        <v>44831.31862268518</v>
      </c>
      <c r="C5681" s="1" t="n">
        <v>46093</v>
      </c>
      <c r="D5681" t="inlineStr">
        <is>
          <t>ÖSTERGÖTLANDS LÄN</t>
        </is>
      </c>
      <c r="E5681" t="inlineStr">
        <is>
          <t>ÅTVIDABERG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40850-2025</t>
        </is>
      </c>
      <c r="B5682" s="1" t="n">
        <v>45897.55149305556</v>
      </c>
      <c r="C5682" s="1" t="n">
        <v>46093</v>
      </c>
      <c r="D5682" t="inlineStr">
        <is>
          <t>ÖSTERGÖTLANDS LÄN</t>
        </is>
      </c>
      <c r="E5682" t="inlineStr">
        <is>
          <t>KINDA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36571-2023</t>
        </is>
      </c>
      <c r="B5683" s="1" t="n">
        <v>45153</v>
      </c>
      <c r="C5683" s="1" t="n">
        <v>46093</v>
      </c>
      <c r="D5683" t="inlineStr">
        <is>
          <t>ÖSTERGÖTLANDS LÄN</t>
        </is>
      </c>
      <c r="E5683" t="inlineStr">
        <is>
          <t>NORRKÖPING</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51112-2024</t>
        </is>
      </c>
      <c r="B5684" s="1" t="n">
        <v>45603.49528935185</v>
      </c>
      <c r="C5684" s="1" t="n">
        <v>46093</v>
      </c>
      <c r="D5684" t="inlineStr">
        <is>
          <t>ÖSTERGÖTLANDS LÄN</t>
        </is>
      </c>
      <c r="E5684" t="inlineStr">
        <is>
          <t>NORRKÖPING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39028-2023</t>
        </is>
      </c>
      <c r="B5685" s="1" t="n">
        <v>45163</v>
      </c>
      <c r="C5685" s="1" t="n">
        <v>46093</v>
      </c>
      <c r="D5685" t="inlineStr">
        <is>
          <t>ÖSTERGÖTLANDS LÄN</t>
        </is>
      </c>
      <c r="E5685" t="inlineStr">
        <is>
          <t>BOXHOLM</t>
        </is>
      </c>
      <c r="F5685" t="inlineStr">
        <is>
          <t>Allmännings- och besparingsskogar</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51642-2021</t>
        </is>
      </c>
      <c r="B5686" s="1" t="n">
        <v>44462</v>
      </c>
      <c r="C5686" s="1" t="n">
        <v>46093</v>
      </c>
      <c r="D5686" t="inlineStr">
        <is>
          <t>ÖSTERGÖTLANDS LÄN</t>
        </is>
      </c>
      <c r="E5686" t="inlineStr">
        <is>
          <t>MJÖLBY</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1710-2023</t>
        </is>
      </c>
      <c r="B5687" s="1" t="n">
        <v>44938</v>
      </c>
      <c r="C5687" s="1" t="n">
        <v>46093</v>
      </c>
      <c r="D5687" t="inlineStr">
        <is>
          <t>ÖSTERGÖTLANDS LÄN</t>
        </is>
      </c>
      <c r="E5687" t="inlineStr">
        <is>
          <t>ÅTVIDABERG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7054-2025</t>
        </is>
      </c>
      <c r="B5688" s="1" t="n">
        <v>45701.64927083333</v>
      </c>
      <c r="C5688" s="1" t="n">
        <v>46093</v>
      </c>
      <c r="D5688" t="inlineStr">
        <is>
          <t>ÖSTERGÖTLANDS LÄN</t>
        </is>
      </c>
      <c r="E5688" t="inlineStr">
        <is>
          <t>YDRE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7055-2025</t>
        </is>
      </c>
      <c r="B5689" s="1" t="n">
        <v>45701.65225694444</v>
      </c>
      <c r="C5689" s="1" t="n">
        <v>46093</v>
      </c>
      <c r="D5689" t="inlineStr">
        <is>
          <t>ÖSTERGÖTLANDS LÄN</t>
        </is>
      </c>
      <c r="E5689" t="inlineStr">
        <is>
          <t>SÖDERKÖPING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25568-2024</t>
        </is>
      </c>
      <c r="B5690" s="1" t="n">
        <v>45463.58699074074</v>
      </c>
      <c r="C5690" s="1" t="n">
        <v>46093</v>
      </c>
      <c r="D5690" t="inlineStr">
        <is>
          <t>ÖSTERGÖTLANDS LÄN</t>
        </is>
      </c>
      <c r="E5690" t="inlineStr">
        <is>
          <t>LINKÖPING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7269-2026</t>
        </is>
      </c>
      <c r="B5691" s="1" t="n">
        <v>46058.61012731482</v>
      </c>
      <c r="C5691" s="1" t="n">
        <v>46093</v>
      </c>
      <c r="D5691" t="inlineStr">
        <is>
          <t>ÖSTERGÖTLANDS LÄN</t>
        </is>
      </c>
      <c r="E5691" t="inlineStr">
        <is>
          <t>FINSPÅNG</t>
        </is>
      </c>
      <c r="F5691" t="inlineStr">
        <is>
          <t>Övriga Aktiebolag</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7271-2026</t>
        </is>
      </c>
      <c r="B5692" s="1" t="n">
        <v>46058.61364583333</v>
      </c>
      <c r="C5692" s="1" t="n">
        <v>46093</v>
      </c>
      <c r="D5692" t="inlineStr">
        <is>
          <t>ÖSTERGÖTLANDS LÄN</t>
        </is>
      </c>
      <c r="E5692" t="inlineStr">
        <is>
          <t>FINSPÅNG</t>
        </is>
      </c>
      <c r="F5692" t="inlineStr">
        <is>
          <t>Övriga Aktiebolag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38136-2023</t>
        </is>
      </c>
      <c r="B5693" s="1" t="n">
        <v>45161.37310185185</v>
      </c>
      <c r="C5693" s="1" t="n">
        <v>46093</v>
      </c>
      <c r="D5693" t="inlineStr">
        <is>
          <t>ÖSTERGÖTLANDS LÄN</t>
        </is>
      </c>
      <c r="E5693" t="inlineStr">
        <is>
          <t>LINKÖPING</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12317-2025</t>
        </is>
      </c>
      <c r="B5694" s="1" t="n">
        <v>45729.8487037037</v>
      </c>
      <c r="C5694" s="1" t="n">
        <v>46093</v>
      </c>
      <c r="D5694" t="inlineStr">
        <is>
          <t>ÖSTERGÖTLANDS LÄN</t>
        </is>
      </c>
      <c r="E5694" t="inlineStr">
        <is>
          <t>LINKÖPING</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7276-2026</t>
        </is>
      </c>
      <c r="B5695" s="1" t="n">
        <v>46058.62762731482</v>
      </c>
      <c r="C5695" s="1" t="n">
        <v>46093</v>
      </c>
      <c r="D5695" t="inlineStr">
        <is>
          <t>ÖSTERGÖTLANDS LÄN</t>
        </is>
      </c>
      <c r="E5695" t="inlineStr">
        <is>
          <t>YDRE</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58247-2024</t>
        </is>
      </c>
      <c r="B5696" s="1" t="n">
        <v>45632.55439814815</v>
      </c>
      <c r="C5696" s="1" t="n">
        <v>46093</v>
      </c>
      <c r="D5696" t="inlineStr">
        <is>
          <t>ÖSTERGÖTLANDS LÄN</t>
        </is>
      </c>
      <c r="E5696" t="inlineStr">
        <is>
          <t>VALDEMARSVIK</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1474-2023</t>
        </is>
      </c>
      <c r="B5697" s="1" t="n">
        <v>44937.45157407408</v>
      </c>
      <c r="C5697" s="1" t="n">
        <v>46093</v>
      </c>
      <c r="D5697" t="inlineStr">
        <is>
          <t>ÖSTERGÖTLANDS LÄN</t>
        </is>
      </c>
      <c r="E5697" t="inlineStr">
        <is>
          <t>MOTALA</t>
        </is>
      </c>
      <c r="F5697" t="inlineStr">
        <is>
          <t>Kommuner</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7452-2026</t>
        </is>
      </c>
      <c r="B5698" s="1" t="n">
        <v>46059</v>
      </c>
      <c r="C5698" s="1" t="n">
        <v>46093</v>
      </c>
      <c r="D5698" t="inlineStr">
        <is>
          <t>ÖSTERGÖTLANDS LÄN</t>
        </is>
      </c>
      <c r="E5698" t="inlineStr">
        <is>
          <t>SÖDERKÖPING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42694-2024</t>
        </is>
      </c>
      <c r="B5699" s="1" t="n">
        <v>45566</v>
      </c>
      <c r="C5699" s="1" t="n">
        <v>46093</v>
      </c>
      <c r="D5699" t="inlineStr">
        <is>
          <t>ÖSTERGÖTLANDS LÄN</t>
        </is>
      </c>
      <c r="E5699" t="inlineStr">
        <is>
          <t>FINSPÅNG</t>
        </is>
      </c>
      <c r="F5699" t="inlineStr">
        <is>
          <t>Holmen skog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29782-2021</t>
        </is>
      </c>
      <c r="B5700" s="1" t="n">
        <v>44362.55450231482</v>
      </c>
      <c r="C5700" s="1" t="n">
        <v>46093</v>
      </c>
      <c r="D5700" t="inlineStr">
        <is>
          <t>ÖSTERGÖTLANDS LÄN</t>
        </is>
      </c>
      <c r="E5700" t="inlineStr">
        <is>
          <t>YDRE</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7586-2026</t>
        </is>
      </c>
      <c r="B5701" s="1" t="n">
        <v>46061.82630787037</v>
      </c>
      <c r="C5701" s="1" t="n">
        <v>46093</v>
      </c>
      <c r="D5701" t="inlineStr">
        <is>
          <t>ÖSTERGÖTLANDS LÄN</t>
        </is>
      </c>
      <c r="E5701" t="inlineStr">
        <is>
          <t>MOTALA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7619-2026</t>
        </is>
      </c>
      <c r="B5702" s="1" t="n">
        <v>46062.34153935185</v>
      </c>
      <c r="C5702" s="1" t="n">
        <v>46093</v>
      </c>
      <c r="D5702" t="inlineStr">
        <is>
          <t>ÖSTERGÖTLANDS LÄN</t>
        </is>
      </c>
      <c r="E5702" t="inlineStr">
        <is>
          <t>YDRE</t>
        </is>
      </c>
      <c r="F5702" t="inlineStr">
        <is>
          <t>Övriga Aktiebolag</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14528-2025</t>
        </is>
      </c>
      <c r="B5703" s="1" t="n">
        <v>45741</v>
      </c>
      <c r="C5703" s="1" t="n">
        <v>46093</v>
      </c>
      <c r="D5703" t="inlineStr">
        <is>
          <t>ÖSTERGÖTLANDS LÄN</t>
        </is>
      </c>
      <c r="E5703" t="inlineStr">
        <is>
          <t>LINKÖPING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1811-2023</t>
        </is>
      </c>
      <c r="B5704" s="1" t="n">
        <v>44936</v>
      </c>
      <c r="C5704" s="1" t="n">
        <v>46093</v>
      </c>
      <c r="D5704" t="inlineStr">
        <is>
          <t>ÖSTERGÖTLANDS LÄN</t>
        </is>
      </c>
      <c r="E5704" t="inlineStr">
        <is>
          <t>NORRKÖPING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14585-2025</t>
        </is>
      </c>
      <c r="B5705" s="1" t="n">
        <v>45742.31784722222</v>
      </c>
      <c r="C5705" s="1" t="n">
        <v>46093</v>
      </c>
      <c r="D5705" t="inlineStr">
        <is>
          <t>ÖSTERGÖTLANDS LÄN</t>
        </is>
      </c>
      <c r="E5705" t="inlineStr">
        <is>
          <t>NORRKÖPING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43382-2023</t>
        </is>
      </c>
      <c r="B5706" s="1" t="n">
        <v>45183.84976851852</v>
      </c>
      <c r="C5706" s="1" t="n">
        <v>46093</v>
      </c>
      <c r="D5706" t="inlineStr">
        <is>
          <t>ÖSTERGÖTLANDS LÄN</t>
        </is>
      </c>
      <c r="E5706" t="inlineStr">
        <is>
          <t>ÅTVIDABERG</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1913-2023</t>
        </is>
      </c>
      <c r="B5707" s="1" t="n">
        <v>44939</v>
      </c>
      <c r="C5707" s="1" t="n">
        <v>46093</v>
      </c>
      <c r="D5707" t="inlineStr">
        <is>
          <t>ÖSTERGÖTLANDS LÄN</t>
        </is>
      </c>
      <c r="E5707" t="inlineStr">
        <is>
          <t>FINSPÅNG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6905-2026</t>
        </is>
      </c>
      <c r="B5708" s="1" t="n">
        <v>46057</v>
      </c>
      <c r="C5708" s="1" t="n">
        <v>46093</v>
      </c>
      <c r="D5708" t="inlineStr">
        <is>
          <t>ÖSTERGÖTLANDS LÄN</t>
        </is>
      </c>
      <c r="E5708" t="inlineStr">
        <is>
          <t>YDRE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41889-2023</t>
        </is>
      </c>
      <c r="B5709" s="1" t="n">
        <v>45176</v>
      </c>
      <c r="C5709" s="1" t="n">
        <v>46093</v>
      </c>
      <c r="D5709" t="inlineStr">
        <is>
          <t>ÖSTERGÖTLANDS LÄN</t>
        </is>
      </c>
      <c r="E5709" t="inlineStr">
        <is>
          <t>VALDEMARSVIK</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60797-2023</t>
        </is>
      </c>
      <c r="B5710" s="1" t="n">
        <v>45259</v>
      </c>
      <c r="C5710" s="1" t="n">
        <v>46093</v>
      </c>
      <c r="D5710" t="inlineStr">
        <is>
          <t>ÖSTERGÖTLANDS LÄN</t>
        </is>
      </c>
      <c r="E5710" t="inlineStr">
        <is>
          <t>BOXHOLM</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7641-2026</t>
        </is>
      </c>
      <c r="B5711" s="1" t="n">
        <v>46062.37520833333</v>
      </c>
      <c r="C5711" s="1" t="n">
        <v>46093</v>
      </c>
      <c r="D5711" t="inlineStr">
        <is>
          <t>ÖSTERGÖTLANDS LÄN</t>
        </is>
      </c>
      <c r="E5711" t="inlineStr">
        <is>
          <t>YDRE</t>
        </is>
      </c>
      <c r="F5711" t="inlineStr">
        <is>
          <t>Övriga Aktiebolag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7440-2026</t>
        </is>
      </c>
      <c r="B5712" s="1" t="n">
        <v>46059</v>
      </c>
      <c r="C5712" s="1" t="n">
        <v>46093</v>
      </c>
      <c r="D5712" t="inlineStr">
        <is>
          <t>ÖSTERGÖTLANDS LÄN</t>
        </is>
      </c>
      <c r="E5712" t="inlineStr">
        <is>
          <t>SÖDERKÖPING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36575-2023</t>
        </is>
      </c>
      <c r="B5713" s="1" t="n">
        <v>45153</v>
      </c>
      <c r="C5713" s="1" t="n">
        <v>46093</v>
      </c>
      <c r="D5713" t="inlineStr">
        <is>
          <t>ÖSTERGÖTLANDS LÄN</t>
        </is>
      </c>
      <c r="E5713" t="inlineStr">
        <is>
          <t>NORRKÖPING</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47205-2023</t>
        </is>
      </c>
      <c r="B5714" s="1" t="n">
        <v>45202</v>
      </c>
      <c r="C5714" s="1" t="n">
        <v>46093</v>
      </c>
      <c r="D5714" t="inlineStr">
        <is>
          <t>ÖSTERGÖTLANDS LÄN</t>
        </is>
      </c>
      <c r="E5714" t="inlineStr">
        <is>
          <t>VALDEMARSVIK</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47317-2023</t>
        </is>
      </c>
      <c r="B5715" s="1" t="n">
        <v>45202.50096064815</v>
      </c>
      <c r="C5715" s="1" t="n">
        <v>46093</v>
      </c>
      <c r="D5715" t="inlineStr">
        <is>
          <t>ÖSTERGÖTLANDS LÄN</t>
        </is>
      </c>
      <c r="E5715" t="inlineStr">
        <is>
          <t>FINSPÅNG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5554-2025</t>
        </is>
      </c>
      <c r="B5716" s="1" t="n">
        <v>45693.47490740741</v>
      </c>
      <c r="C5716" s="1" t="n">
        <v>46093</v>
      </c>
      <c r="D5716" t="inlineStr">
        <is>
          <t>ÖSTERGÖTLANDS LÄN</t>
        </is>
      </c>
      <c r="E5716" t="inlineStr">
        <is>
          <t>FINSPÅNG</t>
        </is>
      </c>
      <c r="F5716" t="inlineStr">
        <is>
          <t>Holmen skog AB</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63780-2025</t>
        </is>
      </c>
      <c r="B5717" s="1" t="n">
        <v>46019.55893518519</v>
      </c>
      <c r="C5717" s="1" t="n">
        <v>46093</v>
      </c>
      <c r="D5717" t="inlineStr">
        <is>
          <t>ÖSTERGÖTLANDS LÄN</t>
        </is>
      </c>
      <c r="E5717" t="inlineStr">
        <is>
          <t>VALDEMARSVIK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61649-2023</t>
        </is>
      </c>
      <c r="B5718" s="1" t="n">
        <v>45265</v>
      </c>
      <c r="C5718" s="1" t="n">
        <v>46093</v>
      </c>
      <c r="D5718" t="inlineStr">
        <is>
          <t>ÖSTERGÖTLANDS LÄN</t>
        </is>
      </c>
      <c r="E5718" t="inlineStr">
        <is>
          <t>LINKÖPING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27642-2023</t>
        </is>
      </c>
      <c r="B5719" s="1" t="n">
        <v>45097</v>
      </c>
      <c r="C5719" s="1" t="n">
        <v>46093</v>
      </c>
      <c r="D5719" t="inlineStr">
        <is>
          <t>ÖSTERGÖTLANDS LÄN</t>
        </is>
      </c>
      <c r="E5719" t="inlineStr">
        <is>
          <t>ÅTVIDABERG</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27647-2023</t>
        </is>
      </c>
      <c r="B5720" s="1" t="n">
        <v>45097.68216435185</v>
      </c>
      <c r="C5720" s="1" t="n">
        <v>46093</v>
      </c>
      <c r="D5720" t="inlineStr">
        <is>
          <t>ÖSTERGÖTLANDS LÄN</t>
        </is>
      </c>
      <c r="E5720" t="inlineStr">
        <is>
          <t>BOXHOLM</t>
        </is>
      </c>
      <c r="F5720" t="inlineStr">
        <is>
          <t>Allmännings- och besparingsskogar</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63824-2025</t>
        </is>
      </c>
      <c r="B5721" s="1" t="n">
        <v>46020.3581712963</v>
      </c>
      <c r="C5721" s="1" t="n">
        <v>46093</v>
      </c>
      <c r="D5721" t="inlineStr">
        <is>
          <t>ÖSTERGÖTLANDS LÄN</t>
        </is>
      </c>
      <c r="E5721" t="inlineStr">
        <is>
          <t>VALDEMARSVIK</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3198-2024</t>
        </is>
      </c>
      <c r="B5722" s="1" t="n">
        <v>45316.6993287037</v>
      </c>
      <c r="C5722" s="1" t="n">
        <v>46093</v>
      </c>
      <c r="D5722" t="inlineStr">
        <is>
          <t>ÖSTERGÖTLANDS LÄN</t>
        </is>
      </c>
      <c r="E5722" t="inlineStr">
        <is>
          <t>ÖDESHÖG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60985-2023</t>
        </is>
      </c>
      <c r="B5723" s="1" t="n">
        <v>45261.48429398148</v>
      </c>
      <c r="C5723" s="1" t="n">
        <v>46093</v>
      </c>
      <c r="D5723" t="inlineStr">
        <is>
          <t>ÖSTERGÖTLANDS LÄN</t>
        </is>
      </c>
      <c r="E5723" t="inlineStr">
        <is>
          <t>LINKÖPING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6350-2023</t>
        </is>
      </c>
      <c r="B5724" s="1" t="n">
        <v>44965</v>
      </c>
      <c r="C5724" s="1" t="n">
        <v>46093</v>
      </c>
      <c r="D5724" t="inlineStr">
        <is>
          <t>ÖSTERGÖTLANDS LÄN</t>
        </is>
      </c>
      <c r="E5724" t="inlineStr">
        <is>
          <t>SÖDERKÖPING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6357-2023</t>
        </is>
      </c>
      <c r="B5725" s="1" t="n">
        <v>44965.57659722222</v>
      </c>
      <c r="C5725" s="1" t="n">
        <v>46093</v>
      </c>
      <c r="D5725" t="inlineStr">
        <is>
          <t>ÖSTERGÖTLANDS LÄN</t>
        </is>
      </c>
      <c r="E5725" t="inlineStr">
        <is>
          <t>VALDEMARSVIK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7976-2023</t>
        </is>
      </c>
      <c r="B5726" s="1" t="n">
        <v>44973</v>
      </c>
      <c r="C5726" s="1" t="n">
        <v>46093</v>
      </c>
      <c r="D5726" t="inlineStr">
        <is>
          <t>ÖSTERGÖTLANDS LÄN</t>
        </is>
      </c>
      <c r="E5726" t="inlineStr">
        <is>
          <t>ÅTVIDABERG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3107-2023</t>
        </is>
      </c>
      <c r="B5727" s="1" t="n">
        <v>44946</v>
      </c>
      <c r="C5727" s="1" t="n">
        <v>46093</v>
      </c>
      <c r="D5727" t="inlineStr">
        <is>
          <t>ÖSTERGÖTLANDS LÄN</t>
        </is>
      </c>
      <c r="E5727" t="inlineStr">
        <is>
          <t>FINSPÅNG</t>
        </is>
      </c>
      <c r="F5727" t="inlineStr">
        <is>
          <t>Holmen skog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421-2024</t>
        </is>
      </c>
      <c r="B5728" s="1" t="n">
        <v>45296.51877314815</v>
      </c>
      <c r="C5728" s="1" t="n">
        <v>46093</v>
      </c>
      <c r="D5728" t="inlineStr">
        <is>
          <t>ÖSTERGÖTLANDS LÄN</t>
        </is>
      </c>
      <c r="E5728" t="inlineStr">
        <is>
          <t>LINKÖPING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63761-2025</t>
        </is>
      </c>
      <c r="B5729" s="1" t="n">
        <v>46018.66457175926</v>
      </c>
      <c r="C5729" s="1" t="n">
        <v>46093</v>
      </c>
      <c r="D5729" t="inlineStr">
        <is>
          <t>ÖSTERGÖTLANDS LÄN</t>
        </is>
      </c>
      <c r="E5729" t="inlineStr">
        <is>
          <t>VALDEMARSVIK</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72283-2021</t>
        </is>
      </c>
      <c r="B5730" s="1" t="n">
        <v>44545.36866898148</v>
      </c>
      <c r="C5730" s="1" t="n">
        <v>46093</v>
      </c>
      <c r="D5730" t="inlineStr">
        <is>
          <t>ÖSTERGÖTLANDS LÄN</t>
        </is>
      </c>
      <c r="E5730" t="inlineStr">
        <is>
          <t>BOXHOLM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6908-2026</t>
        </is>
      </c>
      <c r="B5731" s="1" t="n">
        <v>46057</v>
      </c>
      <c r="C5731" s="1" t="n">
        <v>46093</v>
      </c>
      <c r="D5731" t="inlineStr">
        <is>
          <t>ÖSTERGÖTLANDS LÄN</t>
        </is>
      </c>
      <c r="E5731" t="inlineStr">
        <is>
          <t>YDRE</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794-2025</t>
        </is>
      </c>
      <c r="B5732" s="1" t="n">
        <v>45665.52453703704</v>
      </c>
      <c r="C5732" s="1" t="n">
        <v>46093</v>
      </c>
      <c r="D5732" t="inlineStr">
        <is>
          <t>ÖSTERGÖTLANDS LÄN</t>
        </is>
      </c>
      <c r="E5732" t="inlineStr">
        <is>
          <t>YDRE</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17358-2025</t>
        </is>
      </c>
      <c r="B5733" s="1" t="n">
        <v>45756</v>
      </c>
      <c r="C5733" s="1" t="n">
        <v>46093</v>
      </c>
      <c r="D5733" t="inlineStr">
        <is>
          <t>ÖSTERGÖTLANDS LÄN</t>
        </is>
      </c>
      <c r="E5733" t="inlineStr">
        <is>
          <t>SÖDERKÖPING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7559-2026</t>
        </is>
      </c>
      <c r="B5734" s="1" t="n">
        <v>46060.31200231481</v>
      </c>
      <c r="C5734" s="1" t="n">
        <v>46093</v>
      </c>
      <c r="D5734" t="inlineStr">
        <is>
          <t>ÖSTERGÖTLANDS LÄN</t>
        </is>
      </c>
      <c r="E5734" t="inlineStr">
        <is>
          <t>FINSPÅNG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55950-2023</t>
        </is>
      </c>
      <c r="B5735" s="1" t="n">
        <v>45240.34232638889</v>
      </c>
      <c r="C5735" s="1" t="n">
        <v>46093</v>
      </c>
      <c r="D5735" t="inlineStr">
        <is>
          <t>ÖSTERGÖTLANDS LÄN</t>
        </is>
      </c>
      <c r="E5735" t="inlineStr">
        <is>
          <t>KINDA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63826-2025</t>
        </is>
      </c>
      <c r="B5736" s="1" t="n">
        <v>46020.3633912037</v>
      </c>
      <c r="C5736" s="1" t="n">
        <v>46093</v>
      </c>
      <c r="D5736" t="inlineStr">
        <is>
          <t>ÖSTERGÖTLANDS LÄN</t>
        </is>
      </c>
      <c r="E5736" t="inlineStr">
        <is>
          <t>VALDEMARSVIK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30108-2023</t>
        </is>
      </c>
      <c r="B5737" s="1" t="n">
        <v>45110.47314814815</v>
      </c>
      <c r="C5737" s="1" t="n">
        <v>46093</v>
      </c>
      <c r="D5737" t="inlineStr">
        <is>
          <t>ÖSTERGÖTLANDS LÄN</t>
        </is>
      </c>
      <c r="E5737" t="inlineStr">
        <is>
          <t>YDRE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14676-2025</t>
        </is>
      </c>
      <c r="B5738" s="1" t="n">
        <v>45742.56415509259</v>
      </c>
      <c r="C5738" s="1" t="n">
        <v>46093</v>
      </c>
      <c r="D5738" t="inlineStr">
        <is>
          <t>ÖSTERGÖTLANDS LÄN</t>
        </is>
      </c>
      <c r="E5738" t="inlineStr">
        <is>
          <t>MOTALA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51405-2023</t>
        </is>
      </c>
      <c r="B5739" s="1" t="n">
        <v>45219</v>
      </c>
      <c r="C5739" s="1" t="n">
        <v>46093</v>
      </c>
      <c r="D5739" t="inlineStr">
        <is>
          <t>ÖSTERGÖTLANDS LÄN</t>
        </is>
      </c>
      <c r="E5739" t="inlineStr">
        <is>
          <t>LINKÖPING</t>
        </is>
      </c>
      <c r="F5739" t="inlineStr">
        <is>
          <t>Övriga Aktiebolag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7847-2026</t>
        </is>
      </c>
      <c r="B5740" s="1" t="n">
        <v>46061</v>
      </c>
      <c r="C5740" s="1" t="n">
        <v>46093</v>
      </c>
      <c r="D5740" t="inlineStr">
        <is>
          <t>ÖSTERGÖTLANDS LÄN</t>
        </is>
      </c>
      <c r="E5740" t="inlineStr">
        <is>
          <t>SÖDERKÖPING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7628-2026</t>
        </is>
      </c>
      <c r="B5741" s="1" t="n">
        <v>46062.35990740741</v>
      </c>
      <c r="C5741" s="1" t="n">
        <v>46093</v>
      </c>
      <c r="D5741" t="inlineStr">
        <is>
          <t>ÖSTERGÖTLANDS LÄN</t>
        </is>
      </c>
      <c r="E5741" t="inlineStr">
        <is>
          <t>YDRE</t>
        </is>
      </c>
      <c r="F5741" t="inlineStr">
        <is>
          <t>Övriga Aktiebolag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53639-2023</t>
        </is>
      </c>
      <c r="B5742" s="1" t="n">
        <v>45230.59686342593</v>
      </c>
      <c r="C5742" s="1" t="n">
        <v>46093</v>
      </c>
      <c r="D5742" t="inlineStr">
        <is>
          <t>ÖSTERGÖTLANDS LÄN</t>
        </is>
      </c>
      <c r="E5742" t="inlineStr">
        <is>
          <t>LINKÖPING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7825-2025</t>
        </is>
      </c>
      <c r="B5743" s="1" t="n">
        <v>45706.64829861111</v>
      </c>
      <c r="C5743" s="1" t="n">
        <v>46093</v>
      </c>
      <c r="D5743" t="inlineStr">
        <is>
          <t>ÖSTERGÖTLANDS LÄN</t>
        </is>
      </c>
      <c r="E5743" t="inlineStr">
        <is>
          <t>FINSPÅNG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24467-2023</t>
        </is>
      </c>
      <c r="B5744" s="1" t="n">
        <v>45082</v>
      </c>
      <c r="C5744" s="1" t="n">
        <v>46093</v>
      </c>
      <c r="D5744" t="inlineStr">
        <is>
          <t>ÖSTERGÖTLANDS LÄN</t>
        </is>
      </c>
      <c r="E5744" t="inlineStr">
        <is>
          <t>LINKÖPING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24503-2023</t>
        </is>
      </c>
      <c r="B5745" s="1" t="n">
        <v>45082.64861111111</v>
      </c>
      <c r="C5745" s="1" t="n">
        <v>46093</v>
      </c>
      <c r="D5745" t="inlineStr">
        <is>
          <t>ÖSTERGÖTLANDS LÄN</t>
        </is>
      </c>
      <c r="E5745" t="inlineStr">
        <is>
          <t>FINSPÅNG</t>
        </is>
      </c>
      <c r="F5745" t="inlineStr">
        <is>
          <t>Holmen skog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47905-2024</t>
        </is>
      </c>
      <c r="B5746" s="1" t="n">
        <v>45589.30626157407</v>
      </c>
      <c r="C5746" s="1" t="n">
        <v>46093</v>
      </c>
      <c r="D5746" t="inlineStr">
        <is>
          <t>ÖSTERGÖTLANDS LÄN</t>
        </is>
      </c>
      <c r="E5746" t="inlineStr">
        <is>
          <t>MOTALA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24701-2024</t>
        </is>
      </c>
      <c r="B5747" s="1" t="n">
        <v>45460.61841435185</v>
      </c>
      <c r="C5747" s="1" t="n">
        <v>46093</v>
      </c>
      <c r="D5747" t="inlineStr">
        <is>
          <t>ÖSTERGÖTLANDS LÄN</t>
        </is>
      </c>
      <c r="E5747" t="inlineStr">
        <is>
          <t>MOTALA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51638-2023</t>
        </is>
      </c>
      <c r="B5748" s="1" t="n">
        <v>45222</v>
      </c>
      <c r="C5748" s="1" t="n">
        <v>46093</v>
      </c>
      <c r="D5748" t="inlineStr">
        <is>
          <t>ÖSTERGÖTLANDS LÄN</t>
        </is>
      </c>
      <c r="E5748" t="inlineStr">
        <is>
          <t>MOTALA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57513-2022</t>
        </is>
      </c>
      <c r="B5749" s="1" t="n">
        <v>44896</v>
      </c>
      <c r="C5749" s="1" t="n">
        <v>46093</v>
      </c>
      <c r="D5749" t="inlineStr">
        <is>
          <t>ÖSTERGÖTLANDS LÄN</t>
        </is>
      </c>
      <c r="E5749" t="inlineStr">
        <is>
          <t>VALDEMARSVIK</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27986-2023</t>
        </is>
      </c>
      <c r="B5750" s="1" t="n">
        <v>45098</v>
      </c>
      <c r="C5750" s="1" t="n">
        <v>46093</v>
      </c>
      <c r="D5750" t="inlineStr">
        <is>
          <t>ÖSTERGÖTLANDS LÄN</t>
        </is>
      </c>
      <c r="E5750" t="inlineStr">
        <is>
          <t>ÅTVIDABERG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27987-2023</t>
        </is>
      </c>
      <c r="B5751" s="1" t="n">
        <v>45098</v>
      </c>
      <c r="C5751" s="1" t="n">
        <v>46093</v>
      </c>
      <c r="D5751" t="inlineStr">
        <is>
          <t>ÖSTERGÖTLANDS LÄN</t>
        </is>
      </c>
      <c r="E5751" t="inlineStr">
        <is>
          <t>ÅTVIDABERG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499-2024</t>
        </is>
      </c>
      <c r="B5752" s="1" t="n">
        <v>45299.38380787037</v>
      </c>
      <c r="C5752" s="1" t="n">
        <v>46093</v>
      </c>
      <c r="D5752" t="inlineStr">
        <is>
          <t>ÖSTERGÖTLANDS LÄN</t>
        </is>
      </c>
      <c r="E5752" t="inlineStr">
        <is>
          <t>FINSPÅNG</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48560-2022</t>
        </is>
      </c>
      <c r="B5753" s="1" t="n">
        <v>44859</v>
      </c>
      <c r="C5753" s="1" t="n">
        <v>46093</v>
      </c>
      <c r="D5753" t="inlineStr">
        <is>
          <t>ÖSTERGÖTLANDS LÄN</t>
        </is>
      </c>
      <c r="E5753" t="inlineStr">
        <is>
          <t>BOXHOLM</t>
        </is>
      </c>
      <c r="F5753" t="inlineStr">
        <is>
          <t>Övriga Aktiebolag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7375-2026</t>
        </is>
      </c>
      <c r="B5754" s="1" t="n">
        <v>46059.3469675926</v>
      </c>
      <c r="C5754" s="1" t="n">
        <v>46093</v>
      </c>
      <c r="D5754" t="inlineStr">
        <is>
          <t>ÖSTERGÖTLANDS LÄN</t>
        </is>
      </c>
      <c r="E5754" t="inlineStr">
        <is>
          <t>ÖDESHÖG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41805-2023</t>
        </is>
      </c>
      <c r="B5755" s="1" t="n">
        <v>45176.51664351852</v>
      </c>
      <c r="C5755" s="1" t="n">
        <v>46093</v>
      </c>
      <c r="D5755" t="inlineStr">
        <is>
          <t>ÖSTERGÖTLANDS LÄN</t>
        </is>
      </c>
      <c r="E5755" t="inlineStr">
        <is>
          <t>ÅTVIDABERG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44174-2023</t>
        </is>
      </c>
      <c r="B5756" s="1" t="n">
        <v>45188.50635416667</v>
      </c>
      <c r="C5756" s="1" t="n">
        <v>46093</v>
      </c>
      <c r="D5756" t="inlineStr">
        <is>
          <t>ÖSTERGÖTLANDS LÄN</t>
        </is>
      </c>
      <c r="E5756" t="inlineStr">
        <is>
          <t>SÖDERKÖPING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10258-2025</t>
        </is>
      </c>
      <c r="B5757" s="1" t="n">
        <v>45720.37665509259</v>
      </c>
      <c r="C5757" s="1" t="n">
        <v>46093</v>
      </c>
      <c r="D5757" t="inlineStr">
        <is>
          <t>ÖSTERGÖTLANDS LÄN</t>
        </is>
      </c>
      <c r="E5757" t="inlineStr">
        <is>
          <t>FINSPÅNG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16270-2024</t>
        </is>
      </c>
      <c r="B5758" s="1" t="n">
        <v>45407</v>
      </c>
      <c r="C5758" s="1" t="n">
        <v>46093</v>
      </c>
      <c r="D5758" t="inlineStr">
        <is>
          <t>ÖSTERGÖTLANDS LÄN</t>
        </is>
      </c>
      <c r="E5758" t="inlineStr">
        <is>
          <t>ÖDESHÖG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63779-2025</t>
        </is>
      </c>
      <c r="B5759" s="1" t="n">
        <v>46019.556875</v>
      </c>
      <c r="C5759" s="1" t="n">
        <v>46093</v>
      </c>
      <c r="D5759" t="inlineStr">
        <is>
          <t>ÖSTERGÖTLANDS LÄN</t>
        </is>
      </c>
      <c r="E5759" t="inlineStr">
        <is>
          <t>VALDEMARSVIK</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63782-2025</t>
        </is>
      </c>
      <c r="B5760" s="1" t="n">
        <v>46019.56672453704</v>
      </c>
      <c r="C5760" s="1" t="n">
        <v>46093</v>
      </c>
      <c r="D5760" t="inlineStr">
        <is>
          <t>ÖSTERGÖTLANDS LÄN</t>
        </is>
      </c>
      <c r="E5760" t="inlineStr">
        <is>
          <t>VALDEMARSVIK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50977-2023</t>
        </is>
      </c>
      <c r="B5761" s="1" t="n">
        <v>45218.52310185185</v>
      </c>
      <c r="C5761" s="1" t="n">
        <v>46093</v>
      </c>
      <c r="D5761" t="inlineStr">
        <is>
          <t>ÖSTERGÖTLANDS LÄN</t>
        </is>
      </c>
      <c r="E5761" t="inlineStr">
        <is>
          <t>YDRE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59580-2022</t>
        </is>
      </c>
      <c r="B5762" s="1" t="n">
        <v>44907.65043981482</v>
      </c>
      <c r="C5762" s="1" t="n">
        <v>46093</v>
      </c>
      <c r="D5762" t="inlineStr">
        <is>
          <t>ÖSTERGÖTLANDS LÄN</t>
        </is>
      </c>
      <c r="E5762" t="inlineStr">
        <is>
          <t>NORRKÖPING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37421-2024</t>
        </is>
      </c>
      <c r="B5763" s="1" t="n">
        <v>45540.64366898148</v>
      </c>
      <c r="C5763" s="1" t="n">
        <v>46093</v>
      </c>
      <c r="D5763" t="inlineStr">
        <is>
          <t>ÖSTERGÖTLANDS LÄN</t>
        </is>
      </c>
      <c r="E5763" t="inlineStr">
        <is>
          <t>VALDEMARSVIK</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62488-2023</t>
        </is>
      </c>
      <c r="B5764" s="1" t="n">
        <v>45268.5847337963</v>
      </c>
      <c r="C5764" s="1" t="n">
        <v>46093</v>
      </c>
      <c r="D5764" t="inlineStr">
        <is>
          <t>ÖSTERGÖTLANDS LÄN</t>
        </is>
      </c>
      <c r="E5764" t="inlineStr">
        <is>
          <t>LINKÖPING</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3911-2023</t>
        </is>
      </c>
      <c r="B5765" s="1" t="n">
        <v>44952</v>
      </c>
      <c r="C5765" s="1" t="n">
        <v>46093</v>
      </c>
      <c r="D5765" t="inlineStr">
        <is>
          <t>ÖSTERGÖTLANDS LÄN</t>
        </is>
      </c>
      <c r="E5765" t="inlineStr">
        <is>
          <t>KINDA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3280-2023</t>
        </is>
      </c>
      <c r="B5766" s="1" t="n">
        <v>44949.35385416666</v>
      </c>
      <c r="C5766" s="1" t="n">
        <v>46093</v>
      </c>
      <c r="D5766" t="inlineStr">
        <is>
          <t>ÖSTERGÖTLANDS LÄN</t>
        </is>
      </c>
      <c r="E5766" t="inlineStr">
        <is>
          <t>VALDEMARSVIK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59876-2023</t>
        </is>
      </c>
      <c r="B5767" s="1" t="n">
        <v>45257</v>
      </c>
      <c r="C5767" s="1" t="n">
        <v>46093</v>
      </c>
      <c r="D5767" t="inlineStr">
        <is>
          <t>ÖSTERGÖTLANDS LÄN</t>
        </is>
      </c>
      <c r="E5767" t="inlineStr">
        <is>
          <t>SÖDERKÖPING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22328-2024</t>
        </is>
      </c>
      <c r="B5768" s="1" t="n">
        <v>45446.58618055555</v>
      </c>
      <c r="C5768" s="1" t="n">
        <v>46093</v>
      </c>
      <c r="D5768" t="inlineStr">
        <is>
          <t>ÖSTERGÖTLANDS LÄN</t>
        </is>
      </c>
      <c r="E5768" t="inlineStr">
        <is>
          <t>MJÖLBY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6933-2026</t>
        </is>
      </c>
      <c r="B5769" s="1" t="n">
        <v>46056</v>
      </c>
      <c r="C5769" s="1" t="n">
        <v>46093</v>
      </c>
      <c r="D5769" t="inlineStr">
        <is>
          <t>ÖSTERGÖTLANDS LÄN</t>
        </is>
      </c>
      <c r="E5769" t="inlineStr">
        <is>
          <t>BOXHOLM</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49465-2023</t>
        </is>
      </c>
      <c r="B5770" s="1" t="n">
        <v>45211.52895833334</v>
      </c>
      <c r="C5770" s="1" t="n">
        <v>46093</v>
      </c>
      <c r="D5770" t="inlineStr">
        <is>
          <t>ÖSTERGÖTLANDS LÄN</t>
        </is>
      </c>
      <c r="E5770" t="inlineStr">
        <is>
          <t>NORRKÖPING</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58313-2023</t>
        </is>
      </c>
      <c r="B5771" s="1" t="n">
        <v>45250.57002314815</v>
      </c>
      <c r="C5771" s="1" t="n">
        <v>46093</v>
      </c>
      <c r="D5771" t="inlineStr">
        <is>
          <t>ÖSTERGÖTLANDS LÄN</t>
        </is>
      </c>
      <c r="E5771" t="inlineStr">
        <is>
          <t>FINSPÅNG</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48443-2023</t>
        </is>
      </c>
      <c r="B5772" s="1" t="n">
        <v>45206</v>
      </c>
      <c r="C5772" s="1" t="n">
        <v>46093</v>
      </c>
      <c r="D5772" t="inlineStr">
        <is>
          <t>ÖSTERGÖTLANDS LÄN</t>
        </is>
      </c>
      <c r="E5772" t="inlineStr">
        <is>
          <t>FINSPÅNG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54942-2023</t>
        </is>
      </c>
      <c r="B5773" s="1" t="n">
        <v>45236.73554398148</v>
      </c>
      <c r="C5773" s="1" t="n">
        <v>46093</v>
      </c>
      <c r="D5773" t="inlineStr">
        <is>
          <t>ÖSTERGÖTLANDS LÄN</t>
        </is>
      </c>
      <c r="E5773" t="inlineStr">
        <is>
          <t>YDRE</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17679-2025</t>
        </is>
      </c>
      <c r="B5774" s="1" t="n">
        <v>45758.37665509259</v>
      </c>
      <c r="C5774" s="1" t="n">
        <v>46093</v>
      </c>
      <c r="D5774" t="inlineStr">
        <is>
          <t>ÖSTERGÖTLANDS LÄN</t>
        </is>
      </c>
      <c r="E5774" t="inlineStr">
        <is>
          <t>BOXHOLM</t>
        </is>
      </c>
      <c r="F5774" t="inlineStr">
        <is>
          <t>Övriga Aktiebolag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1939-2023</t>
        </is>
      </c>
      <c r="B5775" s="1" t="n">
        <v>44936</v>
      </c>
      <c r="C5775" s="1" t="n">
        <v>46093</v>
      </c>
      <c r="D5775" t="inlineStr">
        <is>
          <t>ÖSTERGÖTLANDS LÄN</t>
        </is>
      </c>
      <c r="E5775" t="inlineStr">
        <is>
          <t>NORRKÖPING</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48492-2023</t>
        </is>
      </c>
      <c r="B5776" s="1" t="n">
        <v>45205</v>
      </c>
      <c r="C5776" s="1" t="n">
        <v>46093</v>
      </c>
      <c r="D5776" t="inlineStr">
        <is>
          <t>ÖSTERGÖTLANDS LÄN</t>
        </is>
      </c>
      <c r="E5776" t="inlineStr">
        <is>
          <t>ÅTVIDABERG</t>
        </is>
      </c>
      <c r="F5776" t="inlineStr">
        <is>
          <t>Övriga statliga verk och myndigheter</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7822-2026</t>
        </is>
      </c>
      <c r="B5777" s="1" t="n">
        <v>46062</v>
      </c>
      <c r="C5777" s="1" t="n">
        <v>46093</v>
      </c>
      <c r="D5777" t="inlineStr">
        <is>
          <t>ÖSTERGÖTLANDS LÄN</t>
        </is>
      </c>
      <c r="E5777" t="inlineStr">
        <is>
          <t>SÖDERKÖPING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48555-2023</t>
        </is>
      </c>
      <c r="B5778" s="1" t="n">
        <v>45208</v>
      </c>
      <c r="C5778" s="1" t="n">
        <v>46093</v>
      </c>
      <c r="D5778" t="inlineStr">
        <is>
          <t>ÖSTERGÖTLANDS LÄN</t>
        </is>
      </c>
      <c r="E5778" t="inlineStr">
        <is>
          <t>SÖDERKÖPING</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63954-2025</t>
        </is>
      </c>
      <c r="B5779" s="1" t="n">
        <v>46020.83644675926</v>
      </c>
      <c r="C5779" s="1" t="n">
        <v>46093</v>
      </c>
      <c r="D5779" t="inlineStr">
        <is>
          <t>ÖSTERGÖTLANDS LÄN</t>
        </is>
      </c>
      <c r="E5779" t="inlineStr">
        <is>
          <t>VALDEMARSVIK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63995-2025</t>
        </is>
      </c>
      <c r="B5780" s="1" t="n">
        <v>46021.38599537037</v>
      </c>
      <c r="C5780" s="1" t="n">
        <v>46093</v>
      </c>
      <c r="D5780" t="inlineStr">
        <is>
          <t>ÖSTERGÖTLANDS LÄN</t>
        </is>
      </c>
      <c r="E5780" t="inlineStr">
        <is>
          <t>YDRE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64007-2025</t>
        </is>
      </c>
      <c r="B5781" s="1" t="n">
        <v>46021.41819444444</v>
      </c>
      <c r="C5781" s="1" t="n">
        <v>46093</v>
      </c>
      <c r="D5781" t="inlineStr">
        <is>
          <t>ÖSTERGÖTLANDS LÄN</t>
        </is>
      </c>
      <c r="E5781" t="inlineStr">
        <is>
          <t>BOXHOLM</t>
        </is>
      </c>
      <c r="F5781" t="inlineStr">
        <is>
          <t>Allmännings- och besparingsskogar</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8306-2026</t>
        </is>
      </c>
      <c r="B5782" s="1" t="n">
        <v>46063</v>
      </c>
      <c r="C5782" s="1" t="n">
        <v>46093</v>
      </c>
      <c r="D5782" t="inlineStr">
        <is>
          <t>ÖSTERGÖTLANDS LÄN</t>
        </is>
      </c>
      <c r="E5782" t="inlineStr">
        <is>
          <t>MOTALA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2178-2023</t>
        </is>
      </c>
      <c r="B5783" s="1" t="n">
        <v>44942</v>
      </c>
      <c r="C5783" s="1" t="n">
        <v>46093</v>
      </c>
      <c r="D5783" t="inlineStr">
        <is>
          <t>ÖSTERGÖTLANDS LÄN</t>
        </is>
      </c>
      <c r="E5783" t="inlineStr">
        <is>
          <t>ÅTVIDABERG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62495-2023</t>
        </is>
      </c>
      <c r="B5784" s="1" t="n">
        <v>45268.59717592593</v>
      </c>
      <c r="C5784" s="1" t="n">
        <v>46093</v>
      </c>
      <c r="D5784" t="inlineStr">
        <is>
          <t>ÖSTERGÖTLANDS LÄN</t>
        </is>
      </c>
      <c r="E5784" t="inlineStr">
        <is>
          <t>LINKÖPING</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4004-2024</t>
        </is>
      </c>
      <c r="B5785" s="1" t="n">
        <v>45323</v>
      </c>
      <c r="C5785" s="1" t="n">
        <v>46093</v>
      </c>
      <c r="D5785" t="inlineStr">
        <is>
          <t>ÖSTERGÖTLANDS LÄN</t>
        </is>
      </c>
      <c r="E5785" t="inlineStr">
        <is>
          <t>ÅTVIDABERG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64028-2025</t>
        </is>
      </c>
      <c r="B5786" s="1" t="n">
        <v>46021.48487268519</v>
      </c>
      <c r="C5786" s="1" t="n">
        <v>46093</v>
      </c>
      <c r="D5786" t="inlineStr">
        <is>
          <t>ÖSTERGÖTLANDS LÄN</t>
        </is>
      </c>
      <c r="E5786" t="inlineStr">
        <is>
          <t>BOXHOLM</t>
        </is>
      </c>
      <c r="F5786" t="inlineStr">
        <is>
          <t>Allmännings- och besparingsskogar</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15177-2023</t>
        </is>
      </c>
      <c r="B5787" s="1" t="n">
        <v>45016.64986111111</v>
      </c>
      <c r="C5787" s="1" t="n">
        <v>46093</v>
      </c>
      <c r="D5787" t="inlineStr">
        <is>
          <t>ÖSTERGÖTLANDS LÄN</t>
        </is>
      </c>
      <c r="E5787" t="inlineStr">
        <is>
          <t>NORRKÖPING</t>
        </is>
      </c>
      <c r="F5787" t="inlineStr">
        <is>
          <t>Holmen skog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33446-2023</t>
        </is>
      </c>
      <c r="B5788" s="1" t="n">
        <v>45129</v>
      </c>
      <c r="C5788" s="1" t="n">
        <v>46093</v>
      </c>
      <c r="D5788" t="inlineStr">
        <is>
          <t>ÖSTERGÖTLANDS LÄN</t>
        </is>
      </c>
      <c r="E5788" t="inlineStr">
        <is>
          <t>NORRKÖPING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38596-2023</t>
        </is>
      </c>
      <c r="B5789" s="1" t="n">
        <v>45162</v>
      </c>
      <c r="C5789" s="1" t="n">
        <v>46093</v>
      </c>
      <c r="D5789" t="inlineStr">
        <is>
          <t>ÖSTERGÖTLANDS LÄN</t>
        </is>
      </c>
      <c r="E5789" t="inlineStr">
        <is>
          <t>KINDA</t>
        </is>
      </c>
      <c r="F5789" t="inlineStr">
        <is>
          <t>Allmännings- och besparingsskogar</t>
        </is>
      </c>
      <c r="G5789" t="n">
        <v>12.2</v>
      </c>
      <c r="H5789" t="n">
        <v>0</v>
      </c>
      <c r="I5789" t="n">
        <v>0</v>
      </c>
      <c r="J5789" t="n">
        <v>0</v>
      </c>
      <c r="K5789" t="n">
        <v>0</v>
      </c>
      <c r="L5789" t="n">
        <v>0</v>
      </c>
      <c r="M5789" t="n">
        <v>0</v>
      </c>
      <c r="N5789" t="n">
        <v>0</v>
      </c>
      <c r="O5789" t="n">
        <v>0</v>
      </c>
      <c r="P5789" t="n">
        <v>0</v>
      </c>
      <c r="Q5789" t="n">
        <v>0</v>
      </c>
      <c r="R5789" s="2" t="inlineStr"/>
    </row>
    <row r="5790" ht="15" customHeight="1">
      <c r="A5790" t="inlineStr">
        <is>
          <t>A 61955-2022</t>
        </is>
      </c>
      <c r="B5790" s="1" t="n">
        <v>44918.3396875</v>
      </c>
      <c r="C5790" s="1" t="n">
        <v>46093</v>
      </c>
      <c r="D5790" t="inlineStr">
        <is>
          <t>ÖSTERGÖTLANDS LÄN</t>
        </is>
      </c>
      <c r="E5790" t="inlineStr">
        <is>
          <t>KINDA</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64015-2025</t>
        </is>
      </c>
      <c r="B5791" s="1" t="n">
        <v>46021.44653935185</v>
      </c>
      <c r="C5791" s="1" t="n">
        <v>46093</v>
      </c>
      <c r="D5791" t="inlineStr">
        <is>
          <t>ÖSTERGÖTLANDS LÄN</t>
        </is>
      </c>
      <c r="E5791" t="inlineStr">
        <is>
          <t>ÖDESHÖG</t>
        </is>
      </c>
      <c r="F5791" t="inlineStr">
        <is>
          <t>Allmännings- och besparingsskogar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28876-2023</t>
        </is>
      </c>
      <c r="B5792" s="1" t="n">
        <v>45104</v>
      </c>
      <c r="C5792" s="1" t="n">
        <v>46093</v>
      </c>
      <c r="D5792" t="inlineStr">
        <is>
          <t>ÖSTERGÖTLANDS LÄN</t>
        </is>
      </c>
      <c r="E5792" t="inlineStr">
        <is>
          <t>ÅTVIDABERG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7836-2026</t>
        </is>
      </c>
      <c r="B5793" s="1" t="n">
        <v>46062</v>
      </c>
      <c r="C5793" s="1" t="n">
        <v>46093</v>
      </c>
      <c r="D5793" t="inlineStr">
        <is>
          <t>ÖSTERGÖTLANDS LÄN</t>
        </is>
      </c>
      <c r="E5793" t="inlineStr">
        <is>
          <t>SÖDERKÖPING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6991-2023</t>
        </is>
      </c>
      <c r="B5794" s="1" t="n">
        <v>44967.7121875</v>
      </c>
      <c r="C5794" s="1" t="n">
        <v>46093</v>
      </c>
      <c r="D5794" t="inlineStr">
        <is>
          <t>ÖSTERGÖTLANDS LÄN</t>
        </is>
      </c>
      <c r="E5794" t="inlineStr">
        <is>
          <t>MOTALA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6996-2023</t>
        </is>
      </c>
      <c r="B5795" s="1" t="n">
        <v>44967.77166666667</v>
      </c>
      <c r="C5795" s="1" t="n">
        <v>46093</v>
      </c>
      <c r="D5795" t="inlineStr">
        <is>
          <t>ÖSTERGÖTLANDS LÄN</t>
        </is>
      </c>
      <c r="E5795" t="inlineStr">
        <is>
          <t>MOTALA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8079-2026</t>
        </is>
      </c>
      <c r="B5796" s="1" t="n">
        <v>46063.66447916667</v>
      </c>
      <c r="C5796" s="1" t="n">
        <v>46093</v>
      </c>
      <c r="D5796" t="inlineStr">
        <is>
          <t>ÖSTERGÖTLANDS LÄN</t>
        </is>
      </c>
      <c r="E5796" t="inlineStr">
        <is>
          <t>FINSPÅNG</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63957-2025</t>
        </is>
      </c>
      <c r="B5797" s="1" t="n">
        <v>46020.84125</v>
      </c>
      <c r="C5797" s="1" t="n">
        <v>46093</v>
      </c>
      <c r="D5797" t="inlineStr">
        <is>
          <t>ÖSTERGÖTLANDS LÄN</t>
        </is>
      </c>
      <c r="E5797" t="inlineStr">
        <is>
          <t>VALDEMARSVIK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13968-2023</t>
        </is>
      </c>
      <c r="B5798" s="1" t="n">
        <v>45008</v>
      </c>
      <c r="C5798" s="1" t="n">
        <v>46093</v>
      </c>
      <c r="D5798" t="inlineStr">
        <is>
          <t>ÖSTERGÖTLANDS LÄN</t>
        </is>
      </c>
      <c r="E5798" t="inlineStr">
        <is>
          <t>KINDA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8244-2026</t>
        </is>
      </c>
      <c r="B5799" s="1" t="n">
        <v>46064.49042824074</v>
      </c>
      <c r="C5799" s="1" t="n">
        <v>46093</v>
      </c>
      <c r="D5799" t="inlineStr">
        <is>
          <t>ÖSTERGÖTLANDS LÄN</t>
        </is>
      </c>
      <c r="E5799" t="inlineStr">
        <is>
          <t>FINSPÅNG</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10198-2023</t>
        </is>
      </c>
      <c r="B5800" s="1" t="n">
        <v>44986.54665509259</v>
      </c>
      <c r="C5800" s="1" t="n">
        <v>46093</v>
      </c>
      <c r="D5800" t="inlineStr">
        <is>
          <t>ÖSTERGÖTLANDS LÄN</t>
        </is>
      </c>
      <c r="E5800" t="inlineStr">
        <is>
          <t>LINKÖPING</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8890-2024</t>
        </is>
      </c>
      <c r="B5801" s="1" t="n">
        <v>45357.30267361111</v>
      </c>
      <c r="C5801" s="1" t="n">
        <v>46093</v>
      </c>
      <c r="D5801" t="inlineStr">
        <is>
          <t>ÖSTERGÖTLANDS LÄN</t>
        </is>
      </c>
      <c r="E5801" t="inlineStr">
        <is>
          <t>VALDEMARSVIK</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9626-2023</t>
        </is>
      </c>
      <c r="B5802" s="1" t="n">
        <v>44984.34011574074</v>
      </c>
      <c r="C5802" s="1" t="n">
        <v>46093</v>
      </c>
      <c r="D5802" t="inlineStr">
        <is>
          <t>ÖSTERGÖTLANDS LÄN</t>
        </is>
      </c>
      <c r="E5802" t="inlineStr">
        <is>
          <t>MOTALA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8558-2025</t>
        </is>
      </c>
      <c r="B5803" s="1" t="n">
        <v>45709.62162037037</v>
      </c>
      <c r="C5803" s="1" t="n">
        <v>46093</v>
      </c>
      <c r="D5803" t="inlineStr">
        <is>
          <t>ÖSTERGÖTLANDS LÄN</t>
        </is>
      </c>
      <c r="E5803" t="inlineStr">
        <is>
          <t>SÖDERKÖPING</t>
        </is>
      </c>
      <c r="G5803" t="n">
        <v>11.2</v>
      </c>
      <c r="H5803" t="n">
        <v>0</v>
      </c>
      <c r="I5803" t="n">
        <v>0</v>
      </c>
      <c r="J5803" t="n">
        <v>0</v>
      </c>
      <c r="K5803" t="n">
        <v>0</v>
      </c>
      <c r="L5803" t="n">
        <v>0</v>
      </c>
      <c r="M5803" t="n">
        <v>0</v>
      </c>
      <c r="N5803" t="n">
        <v>0</v>
      </c>
      <c r="O5803" t="n">
        <v>0</v>
      </c>
      <c r="P5803" t="n">
        <v>0</v>
      </c>
      <c r="Q5803" t="n">
        <v>0</v>
      </c>
      <c r="R5803" s="2" t="inlineStr"/>
    </row>
    <row r="5804" ht="15" customHeight="1">
      <c r="A5804" t="inlineStr">
        <is>
          <t>A 47999-2023</t>
        </is>
      </c>
      <c r="B5804" s="1" t="n">
        <v>45204.63829861111</v>
      </c>
      <c r="C5804" s="1" t="n">
        <v>46093</v>
      </c>
      <c r="D5804" t="inlineStr">
        <is>
          <t>ÖSTERGÖTLANDS LÄN</t>
        </is>
      </c>
      <c r="E5804" t="inlineStr">
        <is>
          <t>MOTALA</t>
        </is>
      </c>
      <c r="F5804" t="inlineStr">
        <is>
          <t>Allmännings- och besparingsskogar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8228-2026</t>
        </is>
      </c>
      <c r="B5805" s="1" t="n">
        <v>46064.48215277777</v>
      </c>
      <c r="C5805" s="1" t="n">
        <v>46093</v>
      </c>
      <c r="D5805" t="inlineStr">
        <is>
          <t>ÖSTERGÖTLANDS LÄN</t>
        </is>
      </c>
      <c r="E5805" t="inlineStr">
        <is>
          <t>FINSPÅNG</t>
        </is>
      </c>
      <c r="F5805" t="inlineStr">
        <is>
          <t>Sveaskog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8138-2026</t>
        </is>
      </c>
      <c r="B5806" s="1" t="n">
        <v>46064.31494212963</v>
      </c>
      <c r="C5806" s="1" t="n">
        <v>46093</v>
      </c>
      <c r="D5806" t="inlineStr">
        <is>
          <t>ÖSTERGÖTLANDS LÄN</t>
        </is>
      </c>
      <c r="E5806" t="inlineStr">
        <is>
          <t>MOTALA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6154-2023</t>
        </is>
      </c>
      <c r="B5807" s="1" t="n">
        <v>44964.6525925926</v>
      </c>
      <c r="C5807" s="1" t="n">
        <v>46093</v>
      </c>
      <c r="D5807" t="inlineStr">
        <is>
          <t>ÖSTERGÖTLANDS LÄN</t>
        </is>
      </c>
      <c r="E5807" t="inlineStr">
        <is>
          <t>FINSPÅNG</t>
        </is>
      </c>
      <c r="F5807" t="inlineStr">
        <is>
          <t>Holmen skog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53004-2023</t>
        </is>
      </c>
      <c r="B5808" s="1" t="n">
        <v>45222</v>
      </c>
      <c r="C5808" s="1" t="n">
        <v>46093</v>
      </c>
      <c r="D5808" t="inlineStr">
        <is>
          <t>ÖSTERGÖTLANDS LÄN</t>
        </is>
      </c>
      <c r="E5808" t="inlineStr">
        <is>
          <t>ÅTVIDABERG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63998-2025</t>
        </is>
      </c>
      <c r="B5809" s="1" t="n">
        <v>46021.38961805555</v>
      </c>
      <c r="C5809" s="1" t="n">
        <v>46093</v>
      </c>
      <c r="D5809" t="inlineStr">
        <is>
          <t>ÖSTERGÖTLANDS LÄN</t>
        </is>
      </c>
      <c r="E5809" t="inlineStr">
        <is>
          <t>YDRE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64010-2025</t>
        </is>
      </c>
      <c r="B5810" s="1" t="n">
        <v>46021.43045138889</v>
      </c>
      <c r="C5810" s="1" t="n">
        <v>46093</v>
      </c>
      <c r="D5810" t="inlineStr">
        <is>
          <t>ÖSTERGÖTLANDS LÄN</t>
        </is>
      </c>
      <c r="E5810" t="inlineStr">
        <is>
          <t>ÖDESHÖG</t>
        </is>
      </c>
      <c r="F5810" t="inlineStr">
        <is>
          <t>Allmännings- och besparingsskogar</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22771-2024</t>
        </is>
      </c>
      <c r="B5811" s="1" t="n">
        <v>45448.46574074074</v>
      </c>
      <c r="C5811" s="1" t="n">
        <v>46093</v>
      </c>
      <c r="D5811" t="inlineStr">
        <is>
          <t>ÖSTERGÖTLANDS LÄN</t>
        </is>
      </c>
      <c r="E5811" t="inlineStr">
        <is>
          <t>LINKÖPING</t>
        </is>
      </c>
      <c r="F5811" t="inlineStr">
        <is>
          <t>Sveaskog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8231-2026</t>
        </is>
      </c>
      <c r="B5812" s="1" t="n">
        <v>46064.48365740741</v>
      </c>
      <c r="C5812" s="1" t="n">
        <v>46093</v>
      </c>
      <c r="D5812" t="inlineStr">
        <is>
          <t>ÖSTERGÖTLANDS LÄN</t>
        </is>
      </c>
      <c r="E5812" t="inlineStr">
        <is>
          <t>FINSPÅNG</t>
        </is>
      </c>
      <c r="F5812" t="inlineStr">
        <is>
          <t>Sveaskog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24354-2024</t>
        </is>
      </c>
      <c r="B5813" s="1" t="n">
        <v>45457.59425925926</v>
      </c>
      <c r="C5813" s="1" t="n">
        <v>46093</v>
      </c>
      <c r="D5813" t="inlineStr">
        <is>
          <t>ÖSTERGÖTLANDS LÄN</t>
        </is>
      </c>
      <c r="E5813" t="inlineStr">
        <is>
          <t>NORRKÖPING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17128-2025</t>
        </is>
      </c>
      <c r="B5814" s="1" t="n">
        <v>45755.72622685185</v>
      </c>
      <c r="C5814" s="1" t="n">
        <v>46093</v>
      </c>
      <c r="D5814" t="inlineStr">
        <is>
          <t>ÖSTERGÖTLANDS LÄN</t>
        </is>
      </c>
      <c r="E5814" t="inlineStr">
        <is>
          <t>LINKÖPING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58318-2023</t>
        </is>
      </c>
      <c r="B5815" s="1" t="n">
        <v>45250.5799537037</v>
      </c>
      <c r="C5815" s="1" t="n">
        <v>46093</v>
      </c>
      <c r="D5815" t="inlineStr">
        <is>
          <t>ÖSTERGÖTLANDS LÄN</t>
        </is>
      </c>
      <c r="E5815" t="inlineStr">
        <is>
          <t>NORRKÖPING</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8266-2026</t>
        </is>
      </c>
      <c r="B5816" s="1" t="n">
        <v>46064.54234953703</v>
      </c>
      <c r="C5816" s="1" t="n">
        <v>46093</v>
      </c>
      <c r="D5816" t="inlineStr">
        <is>
          <t>ÖSTERGÖTLANDS LÄN</t>
        </is>
      </c>
      <c r="E5816" t="inlineStr">
        <is>
          <t>FINSPÅNG</t>
        </is>
      </c>
      <c r="F5816" t="inlineStr">
        <is>
          <t>Sveaskog</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8233-2026</t>
        </is>
      </c>
      <c r="B5817" s="1" t="n">
        <v>46064.48505787037</v>
      </c>
      <c r="C5817" s="1" t="n">
        <v>46093</v>
      </c>
      <c r="D5817" t="inlineStr">
        <is>
          <t>ÖSTERGÖTLANDS LÄN</t>
        </is>
      </c>
      <c r="E5817" t="inlineStr">
        <is>
          <t>FINSPÅNG</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8237-2026</t>
        </is>
      </c>
      <c r="B5818" s="1" t="n">
        <v>46064.48752314815</v>
      </c>
      <c r="C5818" s="1" t="n">
        <v>46093</v>
      </c>
      <c r="D5818" t="inlineStr">
        <is>
          <t>ÖSTERGÖTLANDS LÄN</t>
        </is>
      </c>
      <c r="E5818" t="inlineStr">
        <is>
          <t>FINSPÅNG</t>
        </is>
      </c>
      <c r="F5818" t="inlineStr">
        <is>
          <t>Sveaskog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8238-2026</t>
        </is>
      </c>
      <c r="B5819" s="1" t="n">
        <v>46064.48861111111</v>
      </c>
      <c r="C5819" s="1" t="n">
        <v>46093</v>
      </c>
      <c r="D5819" t="inlineStr">
        <is>
          <t>ÖSTERGÖTLANDS LÄN</t>
        </is>
      </c>
      <c r="E5819" t="inlineStr">
        <is>
          <t>FINSPÅNG</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8236-2026</t>
        </is>
      </c>
      <c r="B5820" s="1" t="n">
        <v>46064.48634259259</v>
      </c>
      <c r="C5820" s="1" t="n">
        <v>46093</v>
      </c>
      <c r="D5820" t="inlineStr">
        <is>
          <t>ÖSTERGÖTLANDS LÄN</t>
        </is>
      </c>
      <c r="E5820" t="inlineStr">
        <is>
          <t>FINSPÅNG</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8245-2026</t>
        </is>
      </c>
      <c r="B5821" s="1" t="n">
        <v>46064.49127314815</v>
      </c>
      <c r="C5821" s="1" t="n">
        <v>46093</v>
      </c>
      <c r="D5821" t="inlineStr">
        <is>
          <t>ÖSTERGÖTLANDS LÄN</t>
        </is>
      </c>
      <c r="E5821" t="inlineStr">
        <is>
          <t>FINSPÅNG</t>
        </is>
      </c>
      <c r="F5821" t="inlineStr">
        <is>
          <t>Sveaskog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8247-2026</t>
        </is>
      </c>
      <c r="B5822" s="1" t="n">
        <v>46064.49252314815</v>
      </c>
      <c r="C5822" s="1" t="n">
        <v>46093</v>
      </c>
      <c r="D5822" t="inlineStr">
        <is>
          <t>ÖSTERGÖTLANDS LÄN</t>
        </is>
      </c>
      <c r="E5822" t="inlineStr">
        <is>
          <t>FINSPÅNG</t>
        </is>
      </c>
      <c r="F5822" t="inlineStr">
        <is>
          <t>Sveaskog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8249-2026</t>
        </is>
      </c>
      <c r="B5823" s="1" t="n">
        <v>46064.49351851852</v>
      </c>
      <c r="C5823" s="1" t="n">
        <v>46093</v>
      </c>
      <c r="D5823" t="inlineStr">
        <is>
          <t>ÖSTERGÖTLANDS LÄN</t>
        </is>
      </c>
      <c r="E5823" t="inlineStr">
        <is>
          <t>FINSPÅNG</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18877-2025</t>
        </is>
      </c>
      <c r="B5824" s="1" t="n">
        <v>45764.43782407408</v>
      </c>
      <c r="C5824" s="1" t="n">
        <v>46093</v>
      </c>
      <c r="D5824" t="inlineStr">
        <is>
          <t>ÖSTERGÖTLANDS LÄN</t>
        </is>
      </c>
      <c r="E5824" t="inlineStr">
        <is>
          <t>NORRKÖPING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8270-2026</t>
        </is>
      </c>
      <c r="B5825" s="1" t="n">
        <v>46064.54850694445</v>
      </c>
      <c r="C5825" s="1" t="n">
        <v>46093</v>
      </c>
      <c r="D5825" t="inlineStr">
        <is>
          <t>ÖSTERGÖTLANDS LÄN</t>
        </is>
      </c>
      <c r="E5825" t="inlineStr">
        <is>
          <t>FINSPÅNG</t>
        </is>
      </c>
      <c r="F5825" t="inlineStr">
        <is>
          <t>Sveaskog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8311-2026</t>
        </is>
      </c>
      <c r="B5826" s="1" t="n">
        <v>46064.5925462963</v>
      </c>
      <c r="C5826" s="1" t="n">
        <v>46093</v>
      </c>
      <c r="D5826" t="inlineStr">
        <is>
          <t>ÖSTERGÖTLANDS LÄN</t>
        </is>
      </c>
      <c r="E5826" t="inlineStr">
        <is>
          <t>FINSPÅNG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51041-2024</t>
        </is>
      </c>
      <c r="B5827" s="1" t="n">
        <v>45603.43375</v>
      </c>
      <c r="C5827" s="1" t="n">
        <v>46093</v>
      </c>
      <c r="D5827" t="inlineStr">
        <is>
          <t>ÖSTERGÖTLANDS LÄN</t>
        </is>
      </c>
      <c r="E5827" t="inlineStr">
        <is>
          <t>ÖDESHÖG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8153-2026</t>
        </is>
      </c>
      <c r="B5828" s="1" t="n">
        <v>46064.35736111111</v>
      </c>
      <c r="C5828" s="1" t="n">
        <v>46093</v>
      </c>
      <c r="D5828" t="inlineStr">
        <is>
          <t>ÖSTERGÖTLANDS LÄN</t>
        </is>
      </c>
      <c r="E5828" t="inlineStr">
        <is>
          <t>MOTALA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8083-2026</t>
        </is>
      </c>
      <c r="B5829" s="1" t="n">
        <v>46063.67447916666</v>
      </c>
      <c r="C5829" s="1" t="n">
        <v>46093</v>
      </c>
      <c r="D5829" t="inlineStr">
        <is>
          <t>ÖSTERGÖTLANDS LÄN</t>
        </is>
      </c>
      <c r="E5829" t="inlineStr">
        <is>
          <t>FINSPÅNG</t>
        </is>
      </c>
      <c r="F5829" t="inlineStr">
        <is>
          <t>Holmen skog AB</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63994-2025</t>
        </is>
      </c>
      <c r="B5830" s="1" t="n">
        <v>46021.38236111111</v>
      </c>
      <c r="C5830" s="1" t="n">
        <v>46093</v>
      </c>
      <c r="D5830" t="inlineStr">
        <is>
          <t>ÖSTERGÖTLANDS LÄN</t>
        </is>
      </c>
      <c r="E5830" t="inlineStr">
        <is>
          <t>YDRE</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57987-2024</t>
        </is>
      </c>
      <c r="B5831" s="1" t="n">
        <v>45631.62002314815</v>
      </c>
      <c r="C5831" s="1" t="n">
        <v>46093</v>
      </c>
      <c r="D5831" t="inlineStr">
        <is>
          <t>ÖSTERGÖTLANDS LÄN</t>
        </is>
      </c>
      <c r="E5831" t="inlineStr">
        <is>
          <t>KINDA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9158-2025</t>
        </is>
      </c>
      <c r="B5832" s="1" t="n">
        <v>45714.35248842592</v>
      </c>
      <c r="C5832" s="1" t="n">
        <v>46093</v>
      </c>
      <c r="D5832" t="inlineStr">
        <is>
          <t>ÖSTERGÖTLANDS LÄN</t>
        </is>
      </c>
      <c r="E5832" t="inlineStr">
        <is>
          <t>YDRE</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15870-2024</t>
        </is>
      </c>
      <c r="B5833" s="1" t="n">
        <v>45405</v>
      </c>
      <c r="C5833" s="1" t="n">
        <v>46093</v>
      </c>
      <c r="D5833" t="inlineStr">
        <is>
          <t>ÖSTERGÖTLANDS LÄN</t>
        </is>
      </c>
      <c r="E5833" t="inlineStr">
        <is>
          <t>NORRKÖPING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30210-2024</t>
        </is>
      </c>
      <c r="B5834" s="1" t="n">
        <v>45490.39458333333</v>
      </c>
      <c r="C5834" s="1" t="n">
        <v>46093</v>
      </c>
      <c r="D5834" t="inlineStr">
        <is>
          <t>ÖSTERGÖTLANDS LÄN</t>
        </is>
      </c>
      <c r="E5834" t="inlineStr">
        <is>
          <t>BOXHOLM</t>
        </is>
      </c>
      <c r="F5834" t="inlineStr">
        <is>
          <t>Övriga Aktiebolag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56797-2023</t>
        </is>
      </c>
      <c r="B5835" s="1" t="n">
        <v>45244</v>
      </c>
      <c r="C5835" s="1" t="n">
        <v>46093</v>
      </c>
      <c r="D5835" t="inlineStr">
        <is>
          <t>ÖSTERGÖTLANDS LÄN</t>
        </is>
      </c>
      <c r="E5835" t="inlineStr">
        <is>
          <t>ÖDESHÖG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30865-2024</t>
        </is>
      </c>
      <c r="B5836" s="1" t="n">
        <v>45497</v>
      </c>
      <c r="C5836" s="1" t="n">
        <v>46093</v>
      </c>
      <c r="D5836" t="inlineStr">
        <is>
          <t>ÖSTERGÖTLANDS LÄN</t>
        </is>
      </c>
      <c r="E5836" t="inlineStr">
        <is>
          <t>NORRKÖPING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8774-2026</t>
        </is>
      </c>
      <c r="B5837" s="1" t="n">
        <v>46066.57773148148</v>
      </c>
      <c r="C5837" s="1" t="n">
        <v>46093</v>
      </c>
      <c r="D5837" t="inlineStr">
        <is>
          <t>ÖSTERGÖTLANDS LÄN</t>
        </is>
      </c>
      <c r="E5837" t="inlineStr">
        <is>
          <t>MOTALA</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8784-2026</t>
        </is>
      </c>
      <c r="B5838" s="1" t="n">
        <v>46066.58564814815</v>
      </c>
      <c r="C5838" s="1" t="n">
        <v>46093</v>
      </c>
      <c r="D5838" t="inlineStr">
        <is>
          <t>ÖSTERGÖTLANDS LÄN</t>
        </is>
      </c>
      <c r="E5838" t="inlineStr">
        <is>
          <t>MOTALA</t>
        </is>
      </c>
      <c r="F5838" t="inlineStr">
        <is>
          <t>Sveaskog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8787-2026</t>
        </is>
      </c>
      <c r="B5839" s="1" t="n">
        <v>46066.58723379629</v>
      </c>
      <c r="C5839" s="1" t="n">
        <v>46093</v>
      </c>
      <c r="D5839" t="inlineStr">
        <is>
          <t>ÖSTERGÖTLANDS LÄN</t>
        </is>
      </c>
      <c r="E5839" t="inlineStr">
        <is>
          <t>MOTALA</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14628-2023</t>
        </is>
      </c>
      <c r="B5840" s="1" t="n">
        <v>45013.66702546296</v>
      </c>
      <c r="C5840" s="1" t="n">
        <v>46093</v>
      </c>
      <c r="D5840" t="inlineStr">
        <is>
          <t>ÖSTERGÖTLANDS LÄN</t>
        </is>
      </c>
      <c r="E5840" t="inlineStr">
        <is>
          <t>BOXHOLM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8783-2026</t>
        </is>
      </c>
      <c r="B5841" s="1" t="n">
        <v>46066.58420138889</v>
      </c>
      <c r="C5841" s="1" t="n">
        <v>46093</v>
      </c>
      <c r="D5841" t="inlineStr">
        <is>
          <t>ÖSTERGÖTLANDS LÄN</t>
        </is>
      </c>
      <c r="E5841" t="inlineStr">
        <is>
          <t>MOTALA</t>
        </is>
      </c>
      <c r="F5841" t="inlineStr">
        <is>
          <t>Sveaskog</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62018-2024</t>
        </is>
      </c>
      <c r="B5842" s="1" t="n">
        <v>45655.81387731482</v>
      </c>
      <c r="C5842" s="1" t="n">
        <v>46093</v>
      </c>
      <c r="D5842" t="inlineStr">
        <is>
          <t>ÖSTERGÖTLANDS LÄN</t>
        </is>
      </c>
      <c r="E5842" t="inlineStr">
        <is>
          <t>LINKÖPING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42947-2024</t>
        </is>
      </c>
      <c r="B5843" s="1" t="n">
        <v>45567</v>
      </c>
      <c r="C5843" s="1" t="n">
        <v>46093</v>
      </c>
      <c r="D5843" t="inlineStr">
        <is>
          <t>ÖSTERGÖTLANDS LÄN</t>
        </is>
      </c>
      <c r="E5843" t="inlineStr">
        <is>
          <t>FINSPÅNG</t>
        </is>
      </c>
      <c r="F5843" t="inlineStr">
        <is>
          <t>Holmen skog AB</t>
        </is>
      </c>
      <c r="G5843" t="n">
        <v>0.5</v>
      </c>
      <c r="H5843" t="n">
        <v>0</v>
      </c>
      <c r="I5843" t="n">
        <v>0</v>
      </c>
      <c r="J5843" t="n">
        <v>0</v>
      </c>
      <c r="K5843" t="n">
        <v>0</v>
      </c>
      <c r="L5843" t="n">
        <v>0</v>
      </c>
      <c r="M5843" t="n">
        <v>0</v>
      </c>
      <c r="N5843" t="n">
        <v>0</v>
      </c>
      <c r="O5843" t="n">
        <v>0</v>
      </c>
      <c r="P5843" t="n">
        <v>0</v>
      </c>
      <c r="Q5843" t="n">
        <v>0</v>
      </c>
      <c r="R5843" s="2" t="inlineStr"/>
      <c r="U5843">
        <f>HYPERLINK("https://klasma.github.io/Logging_0562/knärot/A 42947-2024 karta knärot.png", "A 42947-2024")</f>
        <v/>
      </c>
      <c r="V5843">
        <f>HYPERLINK("https://klasma.github.io/Logging_0562/klagomål/A 42947-2024 FSC-klagomål.docx", "A 42947-2024")</f>
        <v/>
      </c>
      <c r="W5843">
        <f>HYPERLINK("https://klasma.github.io/Logging_0562/klagomålsmail/A 42947-2024 FSC-klagomål mail.docx", "A 42947-2024")</f>
        <v/>
      </c>
      <c r="X5843">
        <f>HYPERLINK("https://klasma.github.io/Logging_0562/tillsyn/A 42947-2024 tillsynsbegäran.docx", "A 42947-2024")</f>
        <v/>
      </c>
      <c r="Y5843">
        <f>HYPERLINK("https://klasma.github.io/Logging_0562/tillsynsmail/A 42947-2024 tillsynsbegäran mail.docx", "A 42947-2024")</f>
        <v/>
      </c>
    </row>
    <row r="5844" ht="15" customHeight="1">
      <c r="A5844" t="inlineStr">
        <is>
          <t>A 52007-2024</t>
        </is>
      </c>
      <c r="B5844" s="1" t="n">
        <v>45607.76746527778</v>
      </c>
      <c r="C5844" s="1" t="n">
        <v>46093</v>
      </c>
      <c r="D5844" t="inlineStr">
        <is>
          <t>ÖSTERGÖTLANDS LÄN</t>
        </is>
      </c>
      <c r="E5844" t="inlineStr">
        <is>
          <t>FINSPÅNG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52008-2024</t>
        </is>
      </c>
      <c r="B5845" s="1" t="n">
        <v>45607.77384259259</v>
      </c>
      <c r="C5845" s="1" t="n">
        <v>46093</v>
      </c>
      <c r="D5845" t="inlineStr">
        <is>
          <t>ÖSTERGÖTLANDS LÄN</t>
        </is>
      </c>
      <c r="E5845" t="inlineStr">
        <is>
          <t>FINSPÅNG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50422-2024</t>
        </is>
      </c>
      <c r="B5846" s="1" t="n">
        <v>45601.38733796297</v>
      </c>
      <c r="C5846" s="1" t="n">
        <v>46093</v>
      </c>
      <c r="D5846" t="inlineStr">
        <is>
          <t>ÖSTERGÖTLANDS LÄN</t>
        </is>
      </c>
      <c r="E5846" t="inlineStr">
        <is>
          <t>ÅTVIDABERG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62073-2023</t>
        </is>
      </c>
      <c r="B5847" s="1" t="n">
        <v>45266.73844907407</v>
      </c>
      <c r="C5847" s="1" t="n">
        <v>46093</v>
      </c>
      <c r="D5847" t="inlineStr">
        <is>
          <t>ÖSTERGÖTLANDS LÄN</t>
        </is>
      </c>
      <c r="E5847" t="inlineStr">
        <is>
          <t>LINKÖPING</t>
        </is>
      </c>
      <c r="F5847" t="inlineStr">
        <is>
          <t>Allmännings- och besparingsskogar</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62078-2023</t>
        </is>
      </c>
      <c r="B5848" s="1" t="n">
        <v>45266</v>
      </c>
      <c r="C5848" s="1" t="n">
        <v>46093</v>
      </c>
      <c r="D5848" t="inlineStr">
        <is>
          <t>ÖSTERGÖTLANDS LÄN</t>
        </is>
      </c>
      <c r="E5848" t="inlineStr">
        <is>
          <t>MOTALA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3906-2025</t>
        </is>
      </c>
      <c r="B5849" s="1" t="n">
        <v>45684.39659722222</v>
      </c>
      <c r="C5849" s="1" t="n">
        <v>46093</v>
      </c>
      <c r="D5849" t="inlineStr">
        <is>
          <t>ÖSTERGÖTLANDS LÄN</t>
        </is>
      </c>
      <c r="E5849" t="inlineStr">
        <is>
          <t>YDRE</t>
        </is>
      </c>
      <c r="F5849" t="inlineStr">
        <is>
          <t>Övriga Aktiebolag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3912-2025</t>
        </is>
      </c>
      <c r="B5850" s="1" t="n">
        <v>45684.4203125</v>
      </c>
      <c r="C5850" s="1" t="n">
        <v>46093</v>
      </c>
      <c r="D5850" t="inlineStr">
        <is>
          <t>ÖSTERGÖTLANDS LÄN</t>
        </is>
      </c>
      <c r="E5850" t="inlineStr">
        <is>
          <t>NORRKÖPING</t>
        </is>
      </c>
      <c r="F5850" t="inlineStr">
        <is>
          <t>Allmännings- och besparingsskogar</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6557-2025</t>
        </is>
      </c>
      <c r="B5851" s="1" t="n">
        <v>45699.73377314815</v>
      </c>
      <c r="C5851" s="1" t="n">
        <v>46093</v>
      </c>
      <c r="D5851" t="inlineStr">
        <is>
          <t>ÖSTERGÖTLANDS LÄN</t>
        </is>
      </c>
      <c r="E5851" t="inlineStr">
        <is>
          <t>ÖDESHÖG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8791-2026</t>
        </is>
      </c>
      <c r="B5852" s="1" t="n">
        <v>46066.58913194444</v>
      </c>
      <c r="C5852" s="1" t="n">
        <v>46093</v>
      </c>
      <c r="D5852" t="inlineStr">
        <is>
          <t>ÖSTERGÖTLANDS LÄN</t>
        </is>
      </c>
      <c r="E5852" t="inlineStr">
        <is>
          <t>MOTALA</t>
        </is>
      </c>
      <c r="F5852" t="inlineStr">
        <is>
          <t>Sveaskog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58991-2021</t>
        </is>
      </c>
      <c r="B5853" s="1" t="n">
        <v>44490.22488425926</v>
      </c>
      <c r="C5853" s="1" t="n">
        <v>46093</v>
      </c>
      <c r="D5853" t="inlineStr">
        <is>
          <t>ÖSTERGÖTLANDS LÄN</t>
        </is>
      </c>
      <c r="E5853" t="inlineStr">
        <is>
          <t>FINSPÅNG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45723-2024</t>
        </is>
      </c>
      <c r="B5854" s="1" t="n">
        <v>45579.59450231482</v>
      </c>
      <c r="C5854" s="1" t="n">
        <v>46093</v>
      </c>
      <c r="D5854" t="inlineStr">
        <is>
          <t>ÖSTERGÖTLANDS LÄN</t>
        </is>
      </c>
      <c r="E5854" t="inlineStr">
        <is>
          <t>BOXHOLM</t>
        </is>
      </c>
      <c r="F5854" t="inlineStr">
        <is>
          <t>Övriga Aktiebolag</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52161-2023</t>
        </is>
      </c>
      <c r="B5855" s="1" t="n">
        <v>45224.32313657407</v>
      </c>
      <c r="C5855" s="1" t="n">
        <v>46093</v>
      </c>
      <c r="D5855" t="inlineStr">
        <is>
          <t>ÖSTERGÖTLANDS LÄN</t>
        </is>
      </c>
      <c r="E5855" t="inlineStr">
        <is>
          <t>ÅTVIDABERG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7763-2025</t>
        </is>
      </c>
      <c r="B5856" s="1" t="n">
        <v>45706.54572916667</v>
      </c>
      <c r="C5856" s="1" t="n">
        <v>46093</v>
      </c>
      <c r="D5856" t="inlineStr">
        <is>
          <t>ÖSTERGÖTLANDS LÄN</t>
        </is>
      </c>
      <c r="E5856" t="inlineStr">
        <is>
          <t>NORRKÖPING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8785-2026</t>
        </is>
      </c>
      <c r="B5857" s="1" t="n">
        <v>46066.58640046296</v>
      </c>
      <c r="C5857" s="1" t="n">
        <v>46093</v>
      </c>
      <c r="D5857" t="inlineStr">
        <is>
          <t>ÖSTERGÖTLANDS LÄN</t>
        </is>
      </c>
      <c r="E5857" t="inlineStr">
        <is>
          <t>MOTALA</t>
        </is>
      </c>
      <c r="F5857" t="inlineStr">
        <is>
          <t>Sveaskog</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8845-2026</t>
        </is>
      </c>
      <c r="B5858" s="1" t="n">
        <v>46066</v>
      </c>
      <c r="C5858" s="1" t="n">
        <v>46093</v>
      </c>
      <c r="D5858" t="inlineStr">
        <is>
          <t>ÖSTERGÖTLANDS LÄN</t>
        </is>
      </c>
      <c r="E5858" t="inlineStr">
        <is>
          <t>VALDEMARSVIK</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15344-2025</t>
        </is>
      </c>
      <c r="B5859" s="1" t="n">
        <v>45747.37114583333</v>
      </c>
      <c r="C5859" s="1" t="n">
        <v>46093</v>
      </c>
      <c r="D5859" t="inlineStr">
        <is>
          <t>ÖSTERGÖTLANDS LÄN</t>
        </is>
      </c>
      <c r="E5859" t="inlineStr">
        <is>
          <t>ÖDESHÖG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32610-2023</t>
        </is>
      </c>
      <c r="B5860" s="1" t="n">
        <v>45111</v>
      </c>
      <c r="C5860" s="1" t="n">
        <v>46093</v>
      </c>
      <c r="D5860" t="inlineStr">
        <is>
          <t>ÖSTERGÖTLANDS LÄN</t>
        </is>
      </c>
      <c r="E5860" t="inlineStr">
        <is>
          <t>KINDA</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19526-2024</t>
        </is>
      </c>
      <c r="B5861" s="1" t="n">
        <v>45429.63706018519</v>
      </c>
      <c r="C5861" s="1" t="n">
        <v>46093</v>
      </c>
      <c r="D5861" t="inlineStr">
        <is>
          <t>ÖSTERGÖTLANDS LÄN</t>
        </is>
      </c>
      <c r="E5861" t="inlineStr">
        <is>
          <t>MOTALA</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19560-2024</t>
        </is>
      </c>
      <c r="B5862" s="1" t="n">
        <v>45429.83706018519</v>
      </c>
      <c r="C5862" s="1" t="n">
        <v>46093</v>
      </c>
      <c r="D5862" t="inlineStr">
        <is>
          <t>ÖSTERGÖTLANDS LÄN</t>
        </is>
      </c>
      <c r="E5862" t="inlineStr">
        <is>
          <t>BOXHOLM</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16833-2025</t>
        </is>
      </c>
      <c r="B5863" s="1" t="n">
        <v>45754.66113425926</v>
      </c>
      <c r="C5863" s="1" t="n">
        <v>46093</v>
      </c>
      <c r="D5863" t="inlineStr">
        <is>
          <t>ÖSTERGÖTLANDS LÄN</t>
        </is>
      </c>
      <c r="E5863" t="inlineStr">
        <is>
          <t>FINSPÅNG</t>
        </is>
      </c>
      <c r="F5863" t="inlineStr">
        <is>
          <t>Holmen skog AB</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672-2024</t>
        </is>
      </c>
      <c r="B5864" s="1" t="n">
        <v>45300</v>
      </c>
      <c r="C5864" s="1" t="n">
        <v>46093</v>
      </c>
      <c r="D5864" t="inlineStr">
        <is>
          <t>ÖSTERGÖTLANDS LÄN</t>
        </is>
      </c>
      <c r="E5864" t="inlineStr">
        <is>
          <t>LINKÖPING</t>
        </is>
      </c>
      <c r="F5864" t="inlineStr">
        <is>
          <t>Sveaskog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49967-2024</t>
        </is>
      </c>
      <c r="B5865" s="1" t="n">
        <v>45597.63475694445</v>
      </c>
      <c r="C5865" s="1" t="n">
        <v>46093</v>
      </c>
      <c r="D5865" t="inlineStr">
        <is>
          <t>ÖSTERGÖTLANDS LÄN</t>
        </is>
      </c>
      <c r="E5865" t="inlineStr">
        <is>
          <t>YDRE</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2320-2024</t>
        </is>
      </c>
      <c r="B5866" s="1" t="n">
        <v>45310</v>
      </c>
      <c r="C5866" s="1" t="n">
        <v>46093</v>
      </c>
      <c r="D5866" t="inlineStr">
        <is>
          <t>ÖSTERGÖTLANDS LÄN</t>
        </is>
      </c>
      <c r="E5866" t="inlineStr">
        <is>
          <t>NORRKÖPING</t>
        </is>
      </c>
      <c r="F5866" t="inlineStr">
        <is>
          <t>Holmen skog AB</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8548-2026</t>
        </is>
      </c>
      <c r="B5867" s="1" t="n">
        <v>46064</v>
      </c>
      <c r="C5867" s="1" t="n">
        <v>46093</v>
      </c>
      <c r="D5867" t="inlineStr">
        <is>
          <t>ÖSTERGÖTLANDS LÄN</t>
        </is>
      </c>
      <c r="E5867" t="inlineStr">
        <is>
          <t>MOTALA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8387-2026</t>
        </is>
      </c>
      <c r="B5868" s="1" t="n">
        <v>46064.90125</v>
      </c>
      <c r="C5868" s="1" t="n">
        <v>46093</v>
      </c>
      <c r="D5868" t="inlineStr">
        <is>
          <t>ÖSTERGÖTLANDS LÄN</t>
        </is>
      </c>
      <c r="E5868" t="inlineStr">
        <is>
          <t>KINDA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8620-2026</t>
        </is>
      </c>
      <c r="B5869" s="1" t="n">
        <v>46066.30559027778</v>
      </c>
      <c r="C5869" s="1" t="n">
        <v>46093</v>
      </c>
      <c r="D5869" t="inlineStr">
        <is>
          <t>ÖSTERGÖTLANDS LÄN</t>
        </is>
      </c>
      <c r="E5869" t="inlineStr">
        <is>
          <t>MOTALA</t>
        </is>
      </c>
      <c r="F5869" t="inlineStr">
        <is>
          <t>Sveaskog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165-2026</t>
        </is>
      </c>
      <c r="B5870" s="1" t="n">
        <v>46024</v>
      </c>
      <c r="C5870" s="1" t="n">
        <v>46093</v>
      </c>
      <c r="D5870" t="inlineStr">
        <is>
          <t>ÖSTERGÖTLANDS LÄN</t>
        </is>
      </c>
      <c r="E5870" t="inlineStr">
        <is>
          <t>ÖDESHÖG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20048-2023</t>
        </is>
      </c>
      <c r="B5871" s="1" t="n">
        <v>45054.66675925926</v>
      </c>
      <c r="C5871" s="1" t="n">
        <v>46093</v>
      </c>
      <c r="D5871" t="inlineStr">
        <is>
          <t>ÖSTERGÖTLANDS LÄN</t>
        </is>
      </c>
      <c r="E5871" t="inlineStr">
        <is>
          <t>YDRE</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42623-2024</t>
        </is>
      </c>
      <c r="B5872" s="1" t="n">
        <v>45565.84452546296</v>
      </c>
      <c r="C5872" s="1" t="n">
        <v>46093</v>
      </c>
      <c r="D5872" t="inlineStr">
        <is>
          <t>ÖSTERGÖTLANDS LÄN</t>
        </is>
      </c>
      <c r="E5872" t="inlineStr">
        <is>
          <t>VALDEMARSVIK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17181-2025</t>
        </is>
      </c>
      <c r="B5873" s="1" t="n">
        <v>45755</v>
      </c>
      <c r="C5873" s="1" t="n">
        <v>46093</v>
      </c>
      <c r="D5873" t="inlineStr">
        <is>
          <t>ÖSTERGÖTLANDS LÄN</t>
        </is>
      </c>
      <c r="E5873" t="inlineStr">
        <is>
          <t>YDRE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40692-2023</t>
        </is>
      </c>
      <c r="B5874" s="1" t="n">
        <v>45170</v>
      </c>
      <c r="C5874" s="1" t="n">
        <v>46093</v>
      </c>
      <c r="D5874" t="inlineStr">
        <is>
          <t>ÖSTERGÖTLANDS LÄN</t>
        </is>
      </c>
      <c r="E5874" t="inlineStr">
        <is>
          <t>YDRE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42391-2024</t>
        </is>
      </c>
      <c r="B5875" s="1" t="n">
        <v>45565.32090277778</v>
      </c>
      <c r="C5875" s="1" t="n">
        <v>46093</v>
      </c>
      <c r="D5875" t="inlineStr">
        <is>
          <t>ÖSTERGÖTLANDS LÄN</t>
        </is>
      </c>
      <c r="E5875" t="inlineStr">
        <is>
          <t>FINSPÅNG</t>
        </is>
      </c>
      <c r="F5875" t="inlineStr">
        <is>
          <t>Holmen skog AB</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13138-2025</t>
        </is>
      </c>
      <c r="B5876" s="1" t="n">
        <v>45735.29673611111</v>
      </c>
      <c r="C5876" s="1" t="n">
        <v>46093</v>
      </c>
      <c r="D5876" t="inlineStr">
        <is>
          <t>ÖSTERGÖTLANDS LÄN</t>
        </is>
      </c>
      <c r="E5876" t="inlineStr">
        <is>
          <t>FINSPÅNG</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42832-2023</t>
        </is>
      </c>
      <c r="B5877" s="1" t="n">
        <v>45182.38091435185</v>
      </c>
      <c r="C5877" s="1" t="n">
        <v>46093</v>
      </c>
      <c r="D5877" t="inlineStr">
        <is>
          <t>ÖSTERGÖTLANDS LÄN</t>
        </is>
      </c>
      <c r="E5877" t="inlineStr">
        <is>
          <t>LINKÖPING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14587-2025</t>
        </is>
      </c>
      <c r="B5878" s="1" t="n">
        <v>45742.32277777778</v>
      </c>
      <c r="C5878" s="1" t="n">
        <v>46093</v>
      </c>
      <c r="D5878" t="inlineStr">
        <is>
          <t>ÖSTERGÖTLANDS LÄN</t>
        </is>
      </c>
      <c r="E5878" t="inlineStr">
        <is>
          <t>NORRKÖPING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8776-2026</t>
        </is>
      </c>
      <c r="B5879" s="1" t="n">
        <v>46066.57928240741</v>
      </c>
      <c r="C5879" s="1" t="n">
        <v>46093</v>
      </c>
      <c r="D5879" t="inlineStr">
        <is>
          <t>ÖSTERGÖTLANDS LÄN</t>
        </is>
      </c>
      <c r="E5879" t="inlineStr">
        <is>
          <t>MOTALA</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343-2025</t>
        </is>
      </c>
      <c r="B5880" s="1" t="n">
        <v>45660.71824074074</v>
      </c>
      <c r="C5880" s="1" t="n">
        <v>46093</v>
      </c>
      <c r="D5880" t="inlineStr">
        <is>
          <t>ÖSTERGÖTLANDS LÄN</t>
        </is>
      </c>
      <c r="E5880" t="inlineStr">
        <is>
          <t>KINDA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8779-2026</t>
        </is>
      </c>
      <c r="B5881" s="1" t="n">
        <v>46066.58115740741</v>
      </c>
      <c r="C5881" s="1" t="n">
        <v>46093</v>
      </c>
      <c r="D5881" t="inlineStr">
        <is>
          <t>ÖSTERGÖTLANDS LÄN</t>
        </is>
      </c>
      <c r="E5881" t="inlineStr">
        <is>
          <t>MOTALA</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8788-2026</t>
        </is>
      </c>
      <c r="B5882" s="1" t="n">
        <v>46066.58785879629</v>
      </c>
      <c r="C5882" s="1" t="n">
        <v>46093</v>
      </c>
      <c r="D5882" t="inlineStr">
        <is>
          <t>ÖSTERGÖTLANDS LÄN</t>
        </is>
      </c>
      <c r="E5882" t="inlineStr">
        <is>
          <t>MOTALA</t>
        </is>
      </c>
      <c r="F5882" t="inlineStr">
        <is>
          <t>Sveaskog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8806-2026</t>
        </is>
      </c>
      <c r="B5883" s="1" t="n">
        <v>46066.60547453703</v>
      </c>
      <c r="C5883" s="1" t="n">
        <v>46093</v>
      </c>
      <c r="D5883" t="inlineStr">
        <is>
          <t>ÖSTERGÖTLANDS LÄN</t>
        </is>
      </c>
      <c r="E5883" t="inlineStr">
        <is>
          <t>ÅTVIDABERG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8818-2026</t>
        </is>
      </c>
      <c r="B5884" s="1" t="n">
        <v>46066</v>
      </c>
      <c r="C5884" s="1" t="n">
        <v>46093</v>
      </c>
      <c r="D5884" t="inlineStr">
        <is>
          <t>ÖSTERGÖTLANDS LÄN</t>
        </is>
      </c>
      <c r="E5884" t="inlineStr">
        <is>
          <t>VALDEMARSVIK</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6480-2025</t>
        </is>
      </c>
      <c r="B5885" s="1" t="n">
        <v>45699.61184027778</v>
      </c>
      <c r="C5885" s="1" t="n">
        <v>46093</v>
      </c>
      <c r="D5885" t="inlineStr">
        <is>
          <t>ÖSTERGÖTLANDS LÄN</t>
        </is>
      </c>
      <c r="E5885" t="inlineStr">
        <is>
          <t>MJÖLBY</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8823-2026</t>
        </is>
      </c>
      <c r="B5886" s="1" t="n">
        <v>46066</v>
      </c>
      <c r="C5886" s="1" t="n">
        <v>46093</v>
      </c>
      <c r="D5886" t="inlineStr">
        <is>
          <t>ÖSTERGÖTLANDS LÄN</t>
        </is>
      </c>
      <c r="E5886" t="inlineStr">
        <is>
          <t>VALDEMARSVIK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8822-2026</t>
        </is>
      </c>
      <c r="B5887" s="1" t="n">
        <v>46066</v>
      </c>
      <c r="C5887" s="1" t="n">
        <v>46093</v>
      </c>
      <c r="D5887" t="inlineStr">
        <is>
          <t>ÖSTERGÖTLANDS LÄN</t>
        </is>
      </c>
      <c r="E5887" t="inlineStr">
        <is>
          <t>VALDEMARSVIK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4526-2025</t>
        </is>
      </c>
      <c r="B5888" s="1" t="n">
        <v>45687.26951388889</v>
      </c>
      <c r="C5888" s="1" t="n">
        <v>46093</v>
      </c>
      <c r="D5888" t="inlineStr">
        <is>
          <t>ÖSTERGÖTLANDS LÄN</t>
        </is>
      </c>
      <c r="E5888" t="inlineStr">
        <is>
          <t>SÖDERKÖPING</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6517-2025</t>
        </is>
      </c>
      <c r="B5889" s="1" t="n">
        <v>45699.65956018519</v>
      </c>
      <c r="C5889" s="1" t="n">
        <v>46093</v>
      </c>
      <c r="D5889" t="inlineStr">
        <is>
          <t>ÖSTERGÖTLANDS LÄN</t>
        </is>
      </c>
      <c r="E5889" t="inlineStr">
        <is>
          <t>ÖDESHÖG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8794-2026</t>
        </is>
      </c>
      <c r="B5890" s="1" t="n">
        <v>46066.59268518518</v>
      </c>
      <c r="C5890" s="1" t="n">
        <v>46093</v>
      </c>
      <c r="D5890" t="inlineStr">
        <is>
          <t>ÖSTERGÖTLANDS LÄN</t>
        </is>
      </c>
      <c r="E5890" t="inlineStr">
        <is>
          <t>MOTALA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8529-2026</t>
        </is>
      </c>
      <c r="B5891" s="1" t="n">
        <v>46065.60023148148</v>
      </c>
      <c r="C5891" s="1" t="n">
        <v>46093</v>
      </c>
      <c r="D5891" t="inlineStr">
        <is>
          <t>ÖSTERGÖTLANDS LÄN</t>
        </is>
      </c>
      <c r="E5891" t="inlineStr">
        <is>
          <t>FINSPÅNG</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8553-2026</t>
        </is>
      </c>
      <c r="B5892" s="1" t="n">
        <v>46065.62708333333</v>
      </c>
      <c r="C5892" s="1" t="n">
        <v>46093</v>
      </c>
      <c r="D5892" t="inlineStr">
        <is>
          <t>ÖSTERGÖTLANDS LÄN</t>
        </is>
      </c>
      <c r="E5892" t="inlineStr">
        <is>
          <t>FINSPÅNG</t>
        </is>
      </c>
      <c r="F5892" t="inlineStr">
        <is>
          <t>Holmen skog AB</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8986-2026</t>
        </is>
      </c>
      <c r="B5893" s="1" t="n">
        <v>46069.45402777778</v>
      </c>
      <c r="C5893" s="1" t="n">
        <v>46093</v>
      </c>
      <c r="D5893" t="inlineStr">
        <is>
          <t>ÖSTERGÖTLANDS LÄN</t>
        </is>
      </c>
      <c r="E5893" t="inlineStr">
        <is>
          <t>YDRE</t>
        </is>
      </c>
      <c r="F5893" t="inlineStr">
        <is>
          <t>Övriga Aktiebolag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17813-2025</t>
        </is>
      </c>
      <c r="B5894" s="1" t="n">
        <v>45758.56056712963</v>
      </c>
      <c r="C5894" s="1" t="n">
        <v>46093</v>
      </c>
      <c r="D5894" t="inlineStr">
        <is>
          <t>ÖSTERGÖTLANDS LÄN</t>
        </is>
      </c>
      <c r="E5894" t="inlineStr">
        <is>
          <t>NORRKÖPING</t>
        </is>
      </c>
      <c r="F5894" t="inlineStr">
        <is>
          <t>Holmen skog AB</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2670-2025</t>
        </is>
      </c>
      <c r="B5895" s="1" t="n">
        <v>45677.311875</v>
      </c>
      <c r="C5895" s="1" t="n">
        <v>46093</v>
      </c>
      <c r="D5895" t="inlineStr">
        <is>
          <t>ÖSTERGÖTLANDS LÄN</t>
        </is>
      </c>
      <c r="E5895" t="inlineStr">
        <is>
          <t>YDRE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8073-2025</t>
        </is>
      </c>
      <c r="B5896" s="1" t="n">
        <v>45707.64936342592</v>
      </c>
      <c r="C5896" s="1" t="n">
        <v>46093</v>
      </c>
      <c r="D5896" t="inlineStr">
        <is>
          <t>ÖSTERGÖTLANDS LÄN</t>
        </is>
      </c>
      <c r="E5896" t="inlineStr">
        <is>
          <t>YDRE</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19607-2025</t>
        </is>
      </c>
      <c r="B5897" s="1" t="n">
        <v>45770.59953703704</v>
      </c>
      <c r="C5897" s="1" t="n">
        <v>46093</v>
      </c>
      <c r="D5897" t="inlineStr">
        <is>
          <t>ÖSTERGÖTLANDS LÄN</t>
        </is>
      </c>
      <c r="E5897" t="inlineStr">
        <is>
          <t>FINSPÅNG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19609-2025</t>
        </is>
      </c>
      <c r="B5898" s="1" t="n">
        <v>45770.60439814815</v>
      </c>
      <c r="C5898" s="1" t="n">
        <v>46093</v>
      </c>
      <c r="D5898" t="inlineStr">
        <is>
          <t>ÖSTERGÖTLANDS LÄN</t>
        </is>
      </c>
      <c r="E5898" t="inlineStr">
        <is>
          <t>FINSPÅNG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19645-2025</t>
        </is>
      </c>
      <c r="B5899" s="1" t="n">
        <v>45770.65983796296</v>
      </c>
      <c r="C5899" s="1" t="n">
        <v>46093</v>
      </c>
      <c r="D5899" t="inlineStr">
        <is>
          <t>ÖSTERGÖTLANDS LÄN</t>
        </is>
      </c>
      <c r="E5899" t="inlineStr">
        <is>
          <t>KINDA</t>
        </is>
      </c>
      <c r="F5899" t="inlineStr">
        <is>
          <t>Allmännings- och besparingsskogar</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30324-2024</t>
        </is>
      </c>
      <c r="B5900" s="1" t="n">
        <v>45490.92943287037</v>
      </c>
      <c r="C5900" s="1" t="n">
        <v>46093</v>
      </c>
      <c r="D5900" t="inlineStr">
        <is>
          <t>ÖSTERGÖTLANDS LÄN</t>
        </is>
      </c>
      <c r="E5900" t="inlineStr">
        <is>
          <t>SÖDERKÖPING</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9052-2026</t>
        </is>
      </c>
      <c r="B5901" s="1" t="n">
        <v>46069</v>
      </c>
      <c r="C5901" s="1" t="n">
        <v>46093</v>
      </c>
      <c r="D5901" t="inlineStr">
        <is>
          <t>ÖSTERGÖTLANDS LÄN</t>
        </is>
      </c>
      <c r="E5901" t="inlineStr">
        <is>
          <t>SÖDERKÖPING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9054-2026</t>
        </is>
      </c>
      <c r="B5902" s="1" t="n">
        <v>46069.55851851852</v>
      </c>
      <c r="C5902" s="1" t="n">
        <v>46093</v>
      </c>
      <c r="D5902" t="inlineStr">
        <is>
          <t>ÖSTERGÖTLANDS LÄN</t>
        </is>
      </c>
      <c r="E5902" t="inlineStr">
        <is>
          <t>YDRE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59651-2024</t>
        </is>
      </c>
      <c r="B5903" s="1" t="n">
        <v>45639.34571759259</v>
      </c>
      <c r="C5903" s="1" t="n">
        <v>46093</v>
      </c>
      <c r="D5903" t="inlineStr">
        <is>
          <t>ÖSTERGÖTLANDS LÄN</t>
        </is>
      </c>
      <c r="E5903" t="inlineStr">
        <is>
          <t>FINSPÅNG</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5872-2025</t>
        </is>
      </c>
      <c r="B5904" s="1" t="n">
        <v>45695.36659722222</v>
      </c>
      <c r="C5904" s="1" t="n">
        <v>46093</v>
      </c>
      <c r="D5904" t="inlineStr">
        <is>
          <t>ÖSTERGÖTLANDS LÄN</t>
        </is>
      </c>
      <c r="E5904" t="inlineStr">
        <is>
          <t>LINKÖPING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15900-2025</t>
        </is>
      </c>
      <c r="B5905" s="1" t="n">
        <v>45749.42486111111</v>
      </c>
      <c r="C5905" s="1" t="n">
        <v>46093</v>
      </c>
      <c r="D5905" t="inlineStr">
        <is>
          <t>ÖSTERGÖTLANDS LÄN</t>
        </is>
      </c>
      <c r="E5905" t="inlineStr">
        <is>
          <t>FINSPÅNG</t>
        </is>
      </c>
      <c r="F5905" t="inlineStr">
        <is>
          <t>Holmen skog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286-2026</t>
        </is>
      </c>
      <c r="B5906" s="1" t="n">
        <v>46027.49337962963</v>
      </c>
      <c r="C5906" s="1" t="n">
        <v>46093</v>
      </c>
      <c r="D5906" t="inlineStr">
        <is>
          <t>ÖSTERGÖTLANDS LÄN</t>
        </is>
      </c>
      <c r="E5906" t="inlineStr">
        <is>
          <t>VALDEMARSVIK</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7830-2026</t>
        </is>
      </c>
      <c r="B5907" s="1" t="n">
        <v>46061</v>
      </c>
      <c r="C5907" s="1" t="n">
        <v>46093</v>
      </c>
      <c r="D5907" t="inlineStr">
        <is>
          <t>ÖSTERGÖTLANDS LÄN</t>
        </is>
      </c>
      <c r="E5907" t="inlineStr">
        <is>
          <t>SÖDERKÖPING</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59674-2024</t>
        </is>
      </c>
      <c r="B5908" s="1" t="n">
        <v>45639</v>
      </c>
      <c r="C5908" s="1" t="n">
        <v>46093</v>
      </c>
      <c r="D5908" t="inlineStr">
        <is>
          <t>ÖSTERGÖTLANDS LÄN</t>
        </is>
      </c>
      <c r="E5908" t="inlineStr">
        <is>
          <t>LINKÖPING</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59702-2024</t>
        </is>
      </c>
      <c r="B5909" s="1" t="n">
        <v>45639.42581018519</v>
      </c>
      <c r="C5909" s="1" t="n">
        <v>46093</v>
      </c>
      <c r="D5909" t="inlineStr">
        <is>
          <t>ÖSTERGÖTLANDS LÄN</t>
        </is>
      </c>
      <c r="E5909" t="inlineStr">
        <is>
          <t>FINSPÅNG</t>
        </is>
      </c>
      <c r="F5909" t="inlineStr">
        <is>
          <t>Holmen skog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19961-2024</t>
        </is>
      </c>
      <c r="B5910" s="1" t="n">
        <v>45433</v>
      </c>
      <c r="C5910" s="1" t="n">
        <v>46093</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8432-2025</t>
        </is>
      </c>
      <c r="B5911" s="1" t="n">
        <v>45709.42859953704</v>
      </c>
      <c r="C5911" s="1" t="n">
        <v>46093</v>
      </c>
      <c r="D5911" t="inlineStr">
        <is>
          <t>ÖSTERGÖTLANDS LÄN</t>
        </is>
      </c>
      <c r="E5911" t="inlineStr">
        <is>
          <t>NORRKÖPING</t>
        </is>
      </c>
      <c r="F5911" t="inlineStr">
        <is>
          <t>Holmen skog AB</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8438-2025</t>
        </is>
      </c>
      <c r="B5912" s="1" t="n">
        <v>45709.44688657407</v>
      </c>
      <c r="C5912" s="1" t="n">
        <v>46093</v>
      </c>
      <c r="D5912" t="inlineStr">
        <is>
          <t>ÖSTERGÖTLANDS LÄN</t>
        </is>
      </c>
      <c r="E5912" t="inlineStr">
        <is>
          <t>FINSPÅNG</t>
        </is>
      </c>
      <c r="F5912" t="inlineStr">
        <is>
          <t>Holmen skog AB</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5824-2024</t>
        </is>
      </c>
      <c r="B5913" s="1" t="n">
        <v>45335</v>
      </c>
      <c r="C5913" s="1" t="n">
        <v>46093</v>
      </c>
      <c r="D5913" t="inlineStr">
        <is>
          <t>ÖSTERGÖTLANDS LÄN</t>
        </is>
      </c>
      <c r="E5913" t="inlineStr">
        <is>
          <t>BOXHOLM</t>
        </is>
      </c>
      <c r="F5913" t="inlineStr">
        <is>
          <t>Allmännings- och besparingsskogar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19769-2024</t>
        </is>
      </c>
      <c r="B5914" s="1" t="n">
        <v>45432.71236111111</v>
      </c>
      <c r="C5914" s="1" t="n">
        <v>46093</v>
      </c>
      <c r="D5914" t="inlineStr">
        <is>
          <t>ÖSTERGÖTLANDS LÄN</t>
        </is>
      </c>
      <c r="E5914" t="inlineStr">
        <is>
          <t>YDRE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9000-2026</t>
        </is>
      </c>
      <c r="B5915" s="1" t="n">
        <v>46069.47415509259</v>
      </c>
      <c r="C5915" s="1" t="n">
        <v>46093</v>
      </c>
      <c r="D5915" t="inlineStr">
        <is>
          <t>ÖSTERGÖTLANDS LÄN</t>
        </is>
      </c>
      <c r="E5915" t="inlineStr">
        <is>
          <t>MOTALA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9002-2026</t>
        </is>
      </c>
      <c r="B5916" s="1" t="n">
        <v>46069.47732638889</v>
      </c>
      <c r="C5916" s="1" t="n">
        <v>46093</v>
      </c>
      <c r="D5916" t="inlineStr">
        <is>
          <t>ÖSTERGÖTLANDS LÄN</t>
        </is>
      </c>
      <c r="E5916" t="inlineStr">
        <is>
          <t>MOTALA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9026-2026</t>
        </is>
      </c>
      <c r="B5917" s="1" t="n">
        <v>46069.50259259259</v>
      </c>
      <c r="C5917" s="1" t="n">
        <v>46093</v>
      </c>
      <c r="D5917" t="inlineStr">
        <is>
          <t>ÖSTERGÖTLANDS LÄN</t>
        </is>
      </c>
      <c r="E5917" t="inlineStr">
        <is>
          <t>YDRE</t>
        </is>
      </c>
      <c r="F5917" t="inlineStr">
        <is>
          <t>Övriga Aktiebolag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42705-2024</t>
        </is>
      </c>
      <c r="B5918" s="1" t="n">
        <v>45566.43896990741</v>
      </c>
      <c r="C5918" s="1" t="n">
        <v>46093</v>
      </c>
      <c r="D5918" t="inlineStr">
        <is>
          <t>ÖSTERGÖTLANDS LÄN</t>
        </is>
      </c>
      <c r="E5918" t="inlineStr">
        <is>
          <t>FINSPÅNG</t>
        </is>
      </c>
      <c r="F5918" t="inlineStr">
        <is>
          <t>Holmen skog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42711-2024</t>
        </is>
      </c>
      <c r="B5919" s="1" t="n">
        <v>45566.44668981482</v>
      </c>
      <c r="C5919" s="1" t="n">
        <v>46093</v>
      </c>
      <c r="D5919" t="inlineStr">
        <is>
          <t>ÖSTERGÖTLANDS LÄN</t>
        </is>
      </c>
      <c r="E5919" t="inlineStr">
        <is>
          <t>FINSPÅNG</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26968-2023</t>
        </is>
      </c>
      <c r="B5920" s="1" t="n">
        <v>45093</v>
      </c>
      <c r="C5920" s="1" t="n">
        <v>46093</v>
      </c>
      <c r="D5920" t="inlineStr">
        <is>
          <t>ÖSTERGÖTLANDS LÄN</t>
        </is>
      </c>
      <c r="E5920" t="inlineStr">
        <is>
          <t>VALDEMARSVIK</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59576-2024</t>
        </is>
      </c>
      <c r="B5921" s="1" t="n">
        <v>45638.66378472222</v>
      </c>
      <c r="C5921" s="1" t="n">
        <v>46093</v>
      </c>
      <c r="D5921" t="inlineStr">
        <is>
          <t>ÖSTERGÖTLANDS LÄN</t>
        </is>
      </c>
      <c r="E5921" t="inlineStr">
        <is>
          <t>LINKÖPING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59589-2024</t>
        </is>
      </c>
      <c r="B5922" s="1" t="n">
        <v>45638.69225694444</v>
      </c>
      <c r="C5922" s="1" t="n">
        <v>46093</v>
      </c>
      <c r="D5922" t="inlineStr">
        <is>
          <t>ÖSTERGÖTLANDS LÄN</t>
        </is>
      </c>
      <c r="E5922" t="inlineStr">
        <is>
          <t>YDRE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47354-2023</t>
        </is>
      </c>
      <c r="B5923" s="1" t="n">
        <v>45202.58068287037</v>
      </c>
      <c r="C5923" s="1" t="n">
        <v>46093</v>
      </c>
      <c r="D5923" t="inlineStr">
        <is>
          <t>ÖSTERGÖTLANDS LÄN</t>
        </is>
      </c>
      <c r="E5923" t="inlineStr">
        <is>
          <t>VALDEMARSVIK</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15446-2025</t>
        </is>
      </c>
      <c r="B5924" s="1" t="n">
        <v>45747.48505787037</v>
      </c>
      <c r="C5924" s="1" t="n">
        <v>46093</v>
      </c>
      <c r="D5924" t="inlineStr">
        <is>
          <t>ÖSTERGÖTLANDS LÄN</t>
        </is>
      </c>
      <c r="E5924" t="inlineStr">
        <is>
          <t>ÖDESHÖG</t>
        </is>
      </c>
      <c r="F5924" t="inlineStr">
        <is>
          <t>Allmännings- och besparingsskogar</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275-2026</t>
        </is>
      </c>
      <c r="B5925" s="1" t="n">
        <v>46027.46884259259</v>
      </c>
      <c r="C5925" s="1" t="n">
        <v>46093</v>
      </c>
      <c r="D5925" t="inlineStr">
        <is>
          <t>ÖSTERGÖTLANDS LÄN</t>
        </is>
      </c>
      <c r="E5925" t="inlineStr">
        <is>
          <t>VALDEMARSVIK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50387-2024</t>
        </is>
      </c>
      <c r="B5926" s="1" t="n">
        <v>45600</v>
      </c>
      <c r="C5926" s="1" t="n">
        <v>46093</v>
      </c>
      <c r="D5926" t="inlineStr">
        <is>
          <t>ÖSTERGÖTLANDS LÄN</t>
        </is>
      </c>
      <c r="E5926" t="inlineStr">
        <is>
          <t>ÖDESHÖG</t>
        </is>
      </c>
      <c r="G5926" t="n">
        <v>8.5</v>
      </c>
      <c r="H5926" t="n">
        <v>0</v>
      </c>
      <c r="I5926" t="n">
        <v>0</v>
      </c>
      <c r="J5926" t="n">
        <v>0</v>
      </c>
      <c r="K5926" t="n">
        <v>0</v>
      </c>
      <c r="L5926" t="n">
        <v>0</v>
      </c>
      <c r="M5926" t="n">
        <v>0</v>
      </c>
      <c r="N5926" t="n">
        <v>0</v>
      </c>
      <c r="O5926" t="n">
        <v>0</v>
      </c>
      <c r="P5926" t="n">
        <v>0</v>
      </c>
      <c r="Q5926" t="n">
        <v>0</v>
      </c>
      <c r="R5926" s="2" t="inlineStr"/>
    </row>
    <row r="5927" ht="15" customHeight="1">
      <c r="A5927" t="inlineStr">
        <is>
          <t>A 726-2025</t>
        </is>
      </c>
      <c r="B5927" s="1" t="n">
        <v>45665.39953703704</v>
      </c>
      <c r="C5927" s="1" t="n">
        <v>46093</v>
      </c>
      <c r="D5927" t="inlineStr">
        <is>
          <t>ÖSTERGÖTLANDS LÄN</t>
        </is>
      </c>
      <c r="E5927" t="inlineStr">
        <is>
          <t>ÅTVIDABERG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9173-2026</t>
        </is>
      </c>
      <c r="B5928" s="1" t="n">
        <v>46070.36604166667</v>
      </c>
      <c r="C5928" s="1" t="n">
        <v>46093</v>
      </c>
      <c r="D5928" t="inlineStr">
        <is>
          <t>ÖSTERGÖTLANDS LÄN</t>
        </is>
      </c>
      <c r="E5928" t="inlineStr">
        <is>
          <t>FINSPÅNG</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17277-2024</t>
        </is>
      </c>
      <c r="B5929" s="1" t="n">
        <v>45414.44268518518</v>
      </c>
      <c r="C5929" s="1" t="n">
        <v>46093</v>
      </c>
      <c r="D5929" t="inlineStr">
        <is>
          <t>ÖSTERGÖTLANDS LÄN</t>
        </is>
      </c>
      <c r="E5929" t="inlineStr">
        <is>
          <t>YDRE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17301-2024</t>
        </is>
      </c>
      <c r="B5930" s="1" t="n">
        <v>45414.49146990741</v>
      </c>
      <c r="C5930" s="1" t="n">
        <v>46093</v>
      </c>
      <c r="D5930" t="inlineStr">
        <is>
          <t>ÖSTERGÖTLANDS LÄN</t>
        </is>
      </c>
      <c r="E5930" t="inlineStr">
        <is>
          <t>YDRE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9097-2025</t>
        </is>
      </c>
      <c r="B5931" s="1" t="n">
        <v>45713.68298611111</v>
      </c>
      <c r="C5931" s="1" t="n">
        <v>46093</v>
      </c>
      <c r="D5931" t="inlineStr">
        <is>
          <t>ÖSTERGÖTLANDS LÄN</t>
        </is>
      </c>
      <c r="E5931" t="inlineStr">
        <is>
          <t>ÅTVIDABERG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14031-2025</t>
        </is>
      </c>
      <c r="B5932" s="1" t="n">
        <v>45740.35782407408</v>
      </c>
      <c r="C5932" s="1" t="n">
        <v>46093</v>
      </c>
      <c r="D5932" t="inlineStr">
        <is>
          <t>ÖSTERGÖTLANDS LÄN</t>
        </is>
      </c>
      <c r="E5932" t="inlineStr">
        <is>
          <t>FINSPÅNG</t>
        </is>
      </c>
      <c r="F5932" t="inlineStr">
        <is>
          <t>Holmen skog AB</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956-2024</t>
        </is>
      </c>
      <c r="B5933" s="1" t="n">
        <v>45301.57123842592</v>
      </c>
      <c r="C5933" s="1" t="n">
        <v>46093</v>
      </c>
      <c r="D5933" t="inlineStr">
        <is>
          <t>ÖSTERGÖTLANDS LÄN</t>
        </is>
      </c>
      <c r="E5933" t="inlineStr">
        <is>
          <t>BOXHOLM</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960-2024</t>
        </is>
      </c>
      <c r="B5934" s="1" t="n">
        <v>45301.57719907408</v>
      </c>
      <c r="C5934" s="1" t="n">
        <v>46093</v>
      </c>
      <c r="D5934" t="inlineStr">
        <is>
          <t>ÖSTERGÖTLANDS LÄN</t>
        </is>
      </c>
      <c r="E5934" t="inlineStr">
        <is>
          <t>BOXHOLM</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9206-2026</t>
        </is>
      </c>
      <c r="B5935" s="1" t="n">
        <v>46070.42032407408</v>
      </c>
      <c r="C5935" s="1" t="n">
        <v>46093</v>
      </c>
      <c r="D5935" t="inlineStr">
        <is>
          <t>ÖSTERGÖTLANDS LÄN</t>
        </is>
      </c>
      <c r="E5935" t="inlineStr">
        <is>
          <t>FINSPÅNG</t>
        </is>
      </c>
      <c r="F5935" t="inlineStr">
        <is>
          <t>Holmen skog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3276-2024</t>
        </is>
      </c>
      <c r="B5936" s="1" t="n">
        <v>45317.41827546297</v>
      </c>
      <c r="C5936" s="1" t="n">
        <v>46093</v>
      </c>
      <c r="D5936" t="inlineStr">
        <is>
          <t>ÖSTERGÖTLANDS LÄN</t>
        </is>
      </c>
      <c r="E5936" t="inlineStr">
        <is>
          <t>VALDEMARSVIK</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79-2024</t>
        </is>
      </c>
      <c r="B5937" s="1" t="n">
        <v>45293</v>
      </c>
      <c r="C5937" s="1" t="n">
        <v>46093</v>
      </c>
      <c r="D5937" t="inlineStr">
        <is>
          <t>ÖSTERGÖTLANDS LÄN</t>
        </is>
      </c>
      <c r="E5937" t="inlineStr">
        <is>
          <t>MJÖLBY</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290-2026</t>
        </is>
      </c>
      <c r="B5938" s="1" t="n">
        <v>46027.50201388889</v>
      </c>
      <c r="C5938" s="1" t="n">
        <v>46093</v>
      </c>
      <c r="D5938" t="inlineStr">
        <is>
          <t>ÖSTERGÖTLANDS LÄN</t>
        </is>
      </c>
      <c r="E5938" t="inlineStr">
        <is>
          <t>VALDEMARSVIK</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15648-2024</t>
        </is>
      </c>
      <c r="B5939" s="1" t="n">
        <v>45404.35048611111</v>
      </c>
      <c r="C5939" s="1" t="n">
        <v>46093</v>
      </c>
      <c r="D5939" t="inlineStr">
        <is>
          <t>ÖSTERGÖTLANDS LÄN</t>
        </is>
      </c>
      <c r="E5939" t="inlineStr">
        <is>
          <t>VALDEMARSVIK</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8965-2023</t>
        </is>
      </c>
      <c r="B5940" s="1" t="n">
        <v>44979.48650462963</v>
      </c>
      <c r="C5940" s="1" t="n">
        <v>46093</v>
      </c>
      <c r="D5940" t="inlineStr">
        <is>
          <t>ÖSTERGÖTLANDS LÄN</t>
        </is>
      </c>
      <c r="E5940" t="inlineStr">
        <is>
          <t>VALDEMARSVIK</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9278-2026</t>
        </is>
      </c>
      <c r="B5941" s="1" t="n">
        <v>46070.57508101852</v>
      </c>
      <c r="C5941" s="1" t="n">
        <v>46093</v>
      </c>
      <c r="D5941" t="inlineStr">
        <is>
          <t>ÖSTERGÖTLANDS LÄN</t>
        </is>
      </c>
      <c r="E5941" t="inlineStr">
        <is>
          <t>ÅTVIDABERG</t>
        </is>
      </c>
      <c r="F5941" t="inlineStr">
        <is>
          <t>Holmen skog AB</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51583-2024</t>
        </is>
      </c>
      <c r="B5942" s="1" t="n">
        <v>45604.6397337963</v>
      </c>
      <c r="C5942" s="1" t="n">
        <v>46093</v>
      </c>
      <c r="D5942" t="inlineStr">
        <is>
          <t>ÖSTERGÖTLANDS LÄN</t>
        </is>
      </c>
      <c r="E5942" t="inlineStr">
        <is>
          <t>LINKÖPING</t>
        </is>
      </c>
      <c r="F5942" t="inlineStr">
        <is>
          <t>Övriga Aktiebolag</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57405-2024</t>
        </is>
      </c>
      <c r="B5943" s="1" t="n">
        <v>45629.7202662037</v>
      </c>
      <c r="C5943" s="1" t="n">
        <v>46093</v>
      </c>
      <c r="D5943" t="inlineStr">
        <is>
          <t>ÖSTERGÖTLANDS LÄN</t>
        </is>
      </c>
      <c r="E5943" t="inlineStr">
        <is>
          <t>NORRKÖPING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62019-2024</t>
        </is>
      </c>
      <c r="B5944" s="1" t="n">
        <v>45655.82</v>
      </c>
      <c r="C5944" s="1" t="n">
        <v>46093</v>
      </c>
      <c r="D5944" t="inlineStr">
        <is>
          <t>ÖSTERGÖTLANDS LÄN</t>
        </is>
      </c>
      <c r="E5944" t="inlineStr">
        <is>
          <t>LINKÖPING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50811-2023</t>
        </is>
      </c>
      <c r="B5945" s="1" t="n">
        <v>45217</v>
      </c>
      <c r="C5945" s="1" t="n">
        <v>46093</v>
      </c>
      <c r="D5945" t="inlineStr">
        <is>
          <t>ÖSTERGÖTLANDS LÄN</t>
        </is>
      </c>
      <c r="E5945" t="inlineStr">
        <is>
          <t>ÅTVIDABERG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961-2024</t>
        </is>
      </c>
      <c r="B5946" s="1" t="n">
        <v>45301</v>
      </c>
      <c r="C5946" s="1" t="n">
        <v>46093</v>
      </c>
      <c r="D5946" t="inlineStr">
        <is>
          <t>ÖSTERGÖTLANDS LÄN</t>
        </is>
      </c>
      <c r="E5946" t="inlineStr">
        <is>
          <t>MJÖLBY</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38317-2024</t>
        </is>
      </c>
      <c r="B5947" s="1" t="n">
        <v>45545.65766203704</v>
      </c>
      <c r="C5947" s="1" t="n">
        <v>46093</v>
      </c>
      <c r="D5947" t="inlineStr">
        <is>
          <t>ÖSTERGÖTLANDS LÄN</t>
        </is>
      </c>
      <c r="E5947" t="inlineStr">
        <is>
          <t>LINKÖPING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18714-2025</t>
        </is>
      </c>
      <c r="B5948" s="1" t="n">
        <v>45763.64096064815</v>
      </c>
      <c r="C5948" s="1" t="n">
        <v>46093</v>
      </c>
      <c r="D5948" t="inlineStr">
        <is>
          <t>ÖSTERGÖTLANDS LÄN</t>
        </is>
      </c>
      <c r="E5948" t="inlineStr">
        <is>
          <t>NORRKÖPING</t>
        </is>
      </c>
      <c r="F5948" t="inlineStr">
        <is>
          <t>Holmen skog AB</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32713-2024</t>
        </is>
      </c>
      <c r="B5949" s="1" t="n">
        <v>45516.37510416667</v>
      </c>
      <c r="C5949" s="1" t="n">
        <v>46093</v>
      </c>
      <c r="D5949" t="inlineStr">
        <is>
          <t>ÖSTERGÖTLANDS LÄN</t>
        </is>
      </c>
      <c r="E5949" t="inlineStr">
        <is>
          <t>ÖDESHÖG</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32715-2024</t>
        </is>
      </c>
      <c r="B5950" s="1" t="n">
        <v>45516.37806712963</v>
      </c>
      <c r="C5950" s="1" t="n">
        <v>46093</v>
      </c>
      <c r="D5950" t="inlineStr">
        <is>
          <t>ÖSTERGÖTLANDS LÄN</t>
        </is>
      </c>
      <c r="E5950" t="inlineStr">
        <is>
          <t>ÖDESHÖG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8923-2026</t>
        </is>
      </c>
      <c r="B5951" s="1" t="n">
        <v>46069.34010416667</v>
      </c>
      <c r="C5951" s="1" t="n">
        <v>46093</v>
      </c>
      <c r="D5951" t="inlineStr">
        <is>
          <t>ÖSTERGÖTLANDS LÄN</t>
        </is>
      </c>
      <c r="E5951" t="inlineStr">
        <is>
          <t>YDRE</t>
        </is>
      </c>
      <c r="F5951" t="inlineStr">
        <is>
          <t>Övriga Aktiebolag</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8948-2026</t>
        </is>
      </c>
      <c r="B5952" s="1" t="n">
        <v>46069.38186342592</v>
      </c>
      <c r="C5952" s="1" t="n">
        <v>46093</v>
      </c>
      <c r="D5952" t="inlineStr">
        <is>
          <t>ÖSTERGÖTLANDS LÄN</t>
        </is>
      </c>
      <c r="E5952" t="inlineStr">
        <is>
          <t>BOXHOLM</t>
        </is>
      </c>
      <c r="F5952" t="inlineStr">
        <is>
          <t>Övriga Aktiebolag</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9084-2026</t>
        </is>
      </c>
      <c r="B5953" s="1" t="n">
        <v>46069.60922453704</v>
      </c>
      <c r="C5953" s="1" t="n">
        <v>46093</v>
      </c>
      <c r="D5953" t="inlineStr">
        <is>
          <t>ÖSTERGÖTLANDS LÄN</t>
        </is>
      </c>
      <c r="E5953" t="inlineStr">
        <is>
          <t>FINSPÅNG</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30049-2023</t>
        </is>
      </c>
      <c r="B5954" s="1" t="n">
        <v>45110</v>
      </c>
      <c r="C5954" s="1" t="n">
        <v>46093</v>
      </c>
      <c r="D5954" t="inlineStr">
        <is>
          <t>ÖSTERGÖTLANDS LÄN</t>
        </is>
      </c>
      <c r="E5954" t="inlineStr">
        <is>
          <t>YDRE</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28558-2023</t>
        </is>
      </c>
      <c r="B5955" s="1" t="n">
        <v>45103.52126157407</v>
      </c>
      <c r="C5955" s="1" t="n">
        <v>46093</v>
      </c>
      <c r="D5955" t="inlineStr">
        <is>
          <t>ÖSTERGÖTLANDS LÄN</t>
        </is>
      </c>
      <c r="E5955" t="inlineStr">
        <is>
          <t>FINSPÅNG</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38259-2023</t>
        </is>
      </c>
      <c r="B5956" s="1" t="n">
        <v>45161.5974537037</v>
      </c>
      <c r="C5956" s="1" t="n">
        <v>46093</v>
      </c>
      <c r="D5956" t="inlineStr">
        <is>
          <t>ÖSTERGÖTLANDS LÄN</t>
        </is>
      </c>
      <c r="E5956" t="inlineStr">
        <is>
          <t>ÖDESHÖG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38300-2023</t>
        </is>
      </c>
      <c r="B5957" s="1" t="n">
        <v>45161</v>
      </c>
      <c r="C5957" s="1" t="n">
        <v>46093</v>
      </c>
      <c r="D5957" t="inlineStr">
        <is>
          <t>ÖSTERGÖTLANDS LÄN</t>
        </is>
      </c>
      <c r="E5957" t="inlineStr">
        <is>
          <t>MJÖLBY</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163-2026</t>
        </is>
      </c>
      <c r="B5958" s="1" t="n">
        <v>46024.75453703704</v>
      </c>
      <c r="C5958" s="1" t="n">
        <v>46093</v>
      </c>
      <c r="D5958" t="inlineStr">
        <is>
          <t>ÖSTERGÖTLANDS LÄN</t>
        </is>
      </c>
      <c r="E5958" t="inlineStr">
        <is>
          <t>ÖDESHÖG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54299-2023</t>
        </is>
      </c>
      <c r="B5959" s="1" t="n">
        <v>45232.79605324074</v>
      </c>
      <c r="C5959" s="1" t="n">
        <v>46093</v>
      </c>
      <c r="D5959" t="inlineStr">
        <is>
          <t>ÖSTERGÖTLANDS LÄN</t>
        </is>
      </c>
      <c r="E5959" t="inlineStr">
        <is>
          <t>FINSPÅNG</t>
        </is>
      </c>
      <c r="F5959" t="inlineStr">
        <is>
          <t>Holmen skog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63944-2025</t>
        </is>
      </c>
      <c r="B5960" s="1" t="n">
        <v>46010</v>
      </c>
      <c r="C5960" s="1" t="n">
        <v>46093</v>
      </c>
      <c r="D5960" t="inlineStr">
        <is>
          <t>ÖSTERGÖTLANDS LÄN</t>
        </is>
      </c>
      <c r="E5960" t="inlineStr">
        <is>
          <t>NORRKÖPING</t>
        </is>
      </c>
      <c r="F5960" t="inlineStr">
        <is>
          <t>Allmännings- och besparingsskogar</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42673-2023</t>
        </is>
      </c>
      <c r="B5961" s="1" t="n">
        <v>45181</v>
      </c>
      <c r="C5961" s="1" t="n">
        <v>46093</v>
      </c>
      <c r="D5961" t="inlineStr">
        <is>
          <t>ÖSTERGÖTLANDS LÄN</t>
        </is>
      </c>
      <c r="E5961" t="inlineStr">
        <is>
          <t>SÖDERKÖPING</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23580-2024</t>
        </is>
      </c>
      <c r="B5962" s="1" t="n">
        <v>45454</v>
      </c>
      <c r="C5962" s="1" t="n">
        <v>46093</v>
      </c>
      <c r="D5962" t="inlineStr">
        <is>
          <t>ÖSTERGÖTLANDS LÄN</t>
        </is>
      </c>
      <c r="E5962" t="inlineStr">
        <is>
          <t>MOTALA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1293-2025</t>
        </is>
      </c>
      <c r="B5963" s="1" t="n">
        <v>45667.52725694444</v>
      </c>
      <c r="C5963" s="1" t="n">
        <v>46093</v>
      </c>
      <c r="D5963" t="inlineStr">
        <is>
          <t>ÖSTERGÖTLANDS LÄN</t>
        </is>
      </c>
      <c r="E5963" t="inlineStr">
        <is>
          <t>SÖDERKÖPING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1338-2025</t>
        </is>
      </c>
      <c r="B5964" s="1" t="n">
        <v>45667.58902777778</v>
      </c>
      <c r="C5964" s="1" t="n">
        <v>46093</v>
      </c>
      <c r="D5964" t="inlineStr">
        <is>
          <t>ÖSTERGÖTLANDS LÄN</t>
        </is>
      </c>
      <c r="E5964" t="inlineStr">
        <is>
          <t>VALDEMARSVIK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35276-2025</t>
        </is>
      </c>
      <c r="B5965" s="1" t="n">
        <v>45853</v>
      </c>
      <c r="C5965" s="1" t="n">
        <v>46093</v>
      </c>
      <c r="D5965" t="inlineStr">
        <is>
          <t>ÖSTERGÖTLANDS LÄN</t>
        </is>
      </c>
      <c r="E5965" t="inlineStr">
        <is>
          <t>FINSPÅNG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52557-2024</t>
        </is>
      </c>
      <c r="B5966" s="1" t="n">
        <v>45609.64965277778</v>
      </c>
      <c r="C5966" s="1" t="n">
        <v>46093</v>
      </c>
      <c r="D5966" t="inlineStr">
        <is>
          <t>ÖSTERGÖTLANDS LÄN</t>
        </is>
      </c>
      <c r="E5966" t="inlineStr">
        <is>
          <t>FINSPÅNG</t>
        </is>
      </c>
      <c r="F5966" t="inlineStr">
        <is>
          <t>Holmen skog AB</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50180-2023</t>
        </is>
      </c>
      <c r="B5967" s="1" t="n">
        <v>45215</v>
      </c>
      <c r="C5967" s="1" t="n">
        <v>46093</v>
      </c>
      <c r="D5967" t="inlineStr">
        <is>
          <t>ÖSTERGÖTLANDS LÄN</t>
        </is>
      </c>
      <c r="E5967" t="inlineStr">
        <is>
          <t>MOTALA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50182-2023</t>
        </is>
      </c>
      <c r="B5968" s="1" t="n">
        <v>45208</v>
      </c>
      <c r="C5968" s="1" t="n">
        <v>46093</v>
      </c>
      <c r="D5968" t="inlineStr">
        <is>
          <t>ÖSTERGÖTLANDS LÄN</t>
        </is>
      </c>
      <c r="E5968" t="inlineStr">
        <is>
          <t>LINKÖPING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7892-2025</t>
        </is>
      </c>
      <c r="B5969" s="1" t="n">
        <v>45707.2930787037</v>
      </c>
      <c r="C5969" s="1" t="n">
        <v>46093</v>
      </c>
      <c r="D5969" t="inlineStr">
        <is>
          <t>ÖSTERGÖTLANDS LÄN</t>
        </is>
      </c>
      <c r="E5969" t="inlineStr">
        <is>
          <t>ÅTVIDABERG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9781-2026</t>
        </is>
      </c>
      <c r="B5970" s="1" t="n">
        <v>46072.58601851852</v>
      </c>
      <c r="C5970" s="1" t="n">
        <v>46093</v>
      </c>
      <c r="D5970" t="inlineStr">
        <is>
          <t>ÖSTERGÖTLANDS LÄN</t>
        </is>
      </c>
      <c r="E5970" t="inlineStr">
        <is>
          <t>NORRKÖPING</t>
        </is>
      </c>
      <c r="F5970" t="inlineStr">
        <is>
          <t>Kyrkan</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20701-2025</t>
        </is>
      </c>
      <c r="B5971" s="1" t="n">
        <v>45776.47818287037</v>
      </c>
      <c r="C5971" s="1" t="n">
        <v>46093</v>
      </c>
      <c r="D5971" t="inlineStr">
        <is>
          <t>ÖSTERGÖTLANDS LÄN</t>
        </is>
      </c>
      <c r="E5971" t="inlineStr">
        <is>
          <t>KINDA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20787-2025</t>
        </is>
      </c>
      <c r="B5972" s="1" t="n">
        <v>45776.6228125</v>
      </c>
      <c r="C5972" s="1" t="n">
        <v>46093</v>
      </c>
      <c r="D5972" t="inlineStr">
        <is>
          <t>ÖSTERGÖTLANDS LÄN</t>
        </is>
      </c>
      <c r="E5972" t="inlineStr">
        <is>
          <t>YDRE</t>
        </is>
      </c>
      <c r="F5972" t="inlineStr">
        <is>
          <t>Kyrkan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1090-2026</t>
        </is>
      </c>
      <c r="B5973" s="1" t="n">
        <v>46030.65783564815</v>
      </c>
      <c r="C5973" s="1" t="n">
        <v>46093</v>
      </c>
      <c r="D5973" t="inlineStr">
        <is>
          <t>ÖSTERGÖTLANDS LÄN</t>
        </is>
      </c>
      <c r="E5973" t="inlineStr">
        <is>
          <t>BOXHOLM</t>
        </is>
      </c>
      <c r="F5973" t="inlineStr">
        <is>
          <t>Allmännings- och besparingsskogar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1109-2026</t>
        </is>
      </c>
      <c r="B5974" s="1" t="n">
        <v>46030.67668981481</v>
      </c>
      <c r="C5974" s="1" t="n">
        <v>46093</v>
      </c>
      <c r="D5974" t="inlineStr">
        <is>
          <t>ÖSTERGÖTLANDS LÄN</t>
        </is>
      </c>
      <c r="E5974" t="inlineStr">
        <is>
          <t>FINSPÅNG</t>
        </is>
      </c>
      <c r="F5974" t="inlineStr">
        <is>
          <t>Holmen skog AB</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26101-2024</t>
        </is>
      </c>
      <c r="B5975" s="1" t="n">
        <v>45468.42847222222</v>
      </c>
      <c r="C5975" s="1" t="n">
        <v>46093</v>
      </c>
      <c r="D5975" t="inlineStr">
        <is>
          <t>ÖSTERGÖTLANDS LÄN</t>
        </is>
      </c>
      <c r="E5975" t="inlineStr">
        <is>
          <t>YDRE</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20620-2025</t>
        </is>
      </c>
      <c r="B5976" s="1" t="n">
        <v>45776.31901620371</v>
      </c>
      <c r="C5976" s="1" t="n">
        <v>46093</v>
      </c>
      <c r="D5976" t="inlineStr">
        <is>
          <t>ÖSTERGÖTLANDS LÄN</t>
        </is>
      </c>
      <c r="E5976" t="inlineStr">
        <is>
          <t>ÅTVIDABERG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40294-2024</t>
        </is>
      </c>
      <c r="B5977" s="1" t="n">
        <v>45554.69435185185</v>
      </c>
      <c r="C5977" s="1" t="n">
        <v>46093</v>
      </c>
      <c r="D5977" t="inlineStr">
        <is>
          <t>ÖSTERGÖTLANDS LÄN</t>
        </is>
      </c>
      <c r="E5977" t="inlineStr">
        <is>
          <t>BOXHOLM</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927-2026</t>
        </is>
      </c>
      <c r="B5978" s="1" t="n">
        <v>46030.50560185185</v>
      </c>
      <c r="C5978" s="1" t="n">
        <v>46093</v>
      </c>
      <c r="D5978" t="inlineStr">
        <is>
          <t>ÖSTERGÖTLANDS LÄN</t>
        </is>
      </c>
      <c r="E5978" t="inlineStr">
        <is>
          <t>LINKÖPING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20785-2025</t>
        </is>
      </c>
      <c r="B5979" s="1" t="n">
        <v>45776.61640046296</v>
      </c>
      <c r="C5979" s="1" t="n">
        <v>46093</v>
      </c>
      <c r="D5979" t="inlineStr">
        <is>
          <t>ÖSTERGÖTLANDS LÄN</t>
        </is>
      </c>
      <c r="E5979" t="inlineStr">
        <is>
          <t>YDRE</t>
        </is>
      </c>
      <c r="F5979" t="inlineStr">
        <is>
          <t>Kyrkan</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1844-2025</t>
        </is>
      </c>
      <c r="B5980" s="1" t="n">
        <v>45671.57730324074</v>
      </c>
      <c r="C5980" s="1" t="n">
        <v>46093</v>
      </c>
      <c r="D5980" t="inlineStr">
        <is>
          <t>ÖSTERGÖTLANDS LÄN</t>
        </is>
      </c>
      <c r="E5980" t="inlineStr">
        <is>
          <t>LINKÖPING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856-2026</t>
        </is>
      </c>
      <c r="B5981" s="1" t="n">
        <v>46030.40644675926</v>
      </c>
      <c r="C5981" s="1" t="n">
        <v>46093</v>
      </c>
      <c r="D5981" t="inlineStr">
        <is>
          <t>ÖSTERGÖTLANDS LÄN</t>
        </is>
      </c>
      <c r="E5981" t="inlineStr">
        <is>
          <t>LINKÖPING</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860-2026</t>
        </is>
      </c>
      <c r="B5982" s="1" t="n">
        <v>46030.41974537037</v>
      </c>
      <c r="C5982" s="1" t="n">
        <v>46093</v>
      </c>
      <c r="D5982" t="inlineStr">
        <is>
          <t>ÖSTERGÖTLANDS LÄN</t>
        </is>
      </c>
      <c r="E5982" t="inlineStr">
        <is>
          <t>LINKÖPING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619-2026</t>
        </is>
      </c>
      <c r="B5983" s="1" t="n">
        <v>46029.54315972222</v>
      </c>
      <c r="C5983" s="1" t="n">
        <v>46093</v>
      </c>
      <c r="D5983" t="inlineStr">
        <is>
          <t>ÖSTERGÖTLANDS LÄN</t>
        </is>
      </c>
      <c r="E5983" t="inlineStr">
        <is>
          <t>ÖDESHÖG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6615-2025</t>
        </is>
      </c>
      <c r="B5984" s="1" t="n">
        <v>45700</v>
      </c>
      <c r="C5984" s="1" t="n">
        <v>46093</v>
      </c>
      <c r="D5984" t="inlineStr">
        <is>
          <t>ÖSTERGÖTLANDS LÄN</t>
        </is>
      </c>
      <c r="E5984" t="inlineStr">
        <is>
          <t>SÖDERKÖPING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873-2026</t>
        </is>
      </c>
      <c r="B5985" s="1" t="n">
        <v>46030.43818287037</v>
      </c>
      <c r="C5985" s="1" t="n">
        <v>46093</v>
      </c>
      <c r="D5985" t="inlineStr">
        <is>
          <t>ÖSTERGÖTLANDS LÄN</t>
        </is>
      </c>
      <c r="E5985" t="inlineStr">
        <is>
          <t>LINKÖPING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20677-2025</t>
        </is>
      </c>
      <c r="B5986" s="1" t="n">
        <v>45776.44575231482</v>
      </c>
      <c r="C5986" s="1" t="n">
        <v>46093</v>
      </c>
      <c r="D5986" t="inlineStr">
        <is>
          <t>ÖSTERGÖTLANDS LÄN</t>
        </is>
      </c>
      <c r="E5986" t="inlineStr">
        <is>
          <t>KINDA</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20711-2025</t>
        </is>
      </c>
      <c r="B5987" s="1" t="n">
        <v>45776.48627314815</v>
      </c>
      <c r="C5987" s="1" t="n">
        <v>46093</v>
      </c>
      <c r="D5987" t="inlineStr">
        <is>
          <t>ÖSTERGÖTLANDS LÄN</t>
        </is>
      </c>
      <c r="E5987" t="inlineStr">
        <is>
          <t>KINDA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1133-2026</t>
        </is>
      </c>
      <c r="B5988" s="1" t="n">
        <v>46030.75045138889</v>
      </c>
      <c r="C5988" s="1" t="n">
        <v>46093</v>
      </c>
      <c r="D5988" t="inlineStr">
        <is>
          <t>ÖSTERGÖTLANDS LÄN</t>
        </is>
      </c>
      <c r="E5988" t="inlineStr">
        <is>
          <t>ÖDESHÖG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20618-2025</t>
        </is>
      </c>
      <c r="B5989" s="1" t="n">
        <v>45776.31081018518</v>
      </c>
      <c r="C5989" s="1" t="n">
        <v>46093</v>
      </c>
      <c r="D5989" t="inlineStr">
        <is>
          <t>ÖSTERGÖTLANDS LÄN</t>
        </is>
      </c>
      <c r="E5989" t="inlineStr">
        <is>
          <t>ÅTVIDABERG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21049-2025</t>
        </is>
      </c>
      <c r="B5990" s="1" t="n">
        <v>45777.55960648148</v>
      </c>
      <c r="C5990" s="1" t="n">
        <v>46093</v>
      </c>
      <c r="D5990" t="inlineStr">
        <is>
          <t>ÖSTERGÖTLANDS LÄN</t>
        </is>
      </c>
      <c r="E5990" t="inlineStr">
        <is>
          <t>KINDA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622-2026</t>
        </is>
      </c>
      <c r="B5991" s="1" t="n">
        <v>46029.54603009259</v>
      </c>
      <c r="C5991" s="1" t="n">
        <v>46093</v>
      </c>
      <c r="D5991" t="inlineStr">
        <is>
          <t>ÖSTERGÖTLANDS LÄN</t>
        </is>
      </c>
      <c r="E5991" t="inlineStr">
        <is>
          <t>ÖDESHÖG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46248-2024</t>
        </is>
      </c>
      <c r="B5992" s="1" t="n">
        <v>45581.59293981481</v>
      </c>
      <c r="C5992" s="1" t="n">
        <v>46093</v>
      </c>
      <c r="D5992" t="inlineStr">
        <is>
          <t>ÖSTERGÖTLANDS LÄN</t>
        </is>
      </c>
      <c r="E5992" t="inlineStr">
        <is>
          <t>MJÖLBY</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9392-2026</t>
        </is>
      </c>
      <c r="B5993" s="1" t="n">
        <v>46071.36315972222</v>
      </c>
      <c r="C5993" s="1" t="n">
        <v>46093</v>
      </c>
      <c r="D5993" t="inlineStr">
        <is>
          <t>ÖSTERGÖTLANDS LÄN</t>
        </is>
      </c>
      <c r="E5993" t="inlineStr">
        <is>
          <t>MOTALA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9409-2026</t>
        </is>
      </c>
      <c r="B5994" s="1" t="n">
        <v>46071.41231481481</v>
      </c>
      <c r="C5994" s="1" t="n">
        <v>46093</v>
      </c>
      <c r="D5994" t="inlineStr">
        <is>
          <t>ÖSTERGÖTLANDS LÄN</t>
        </is>
      </c>
      <c r="E5994" t="inlineStr">
        <is>
          <t>YDRE</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9422-2026</t>
        </is>
      </c>
      <c r="B5995" s="1" t="n">
        <v>46071.44243055556</v>
      </c>
      <c r="C5995" s="1" t="n">
        <v>46093</v>
      </c>
      <c r="D5995" t="inlineStr">
        <is>
          <t>ÖSTERGÖTLANDS LÄN</t>
        </is>
      </c>
      <c r="E5995" t="inlineStr">
        <is>
          <t>BOXHOLM</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602-2026</t>
        </is>
      </c>
      <c r="B5996" s="1" t="n">
        <v>46029.50876157408</v>
      </c>
      <c r="C5996" s="1" t="n">
        <v>46093</v>
      </c>
      <c r="D5996" t="inlineStr">
        <is>
          <t>ÖSTERGÖTLANDS LÄN</t>
        </is>
      </c>
      <c r="E5996" t="inlineStr">
        <is>
          <t>ÖDESHÖG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645-2026</t>
        </is>
      </c>
      <c r="B5997" s="1" t="n">
        <v>46029.57016203704</v>
      </c>
      <c r="C5997" s="1" t="n">
        <v>46093</v>
      </c>
      <c r="D5997" t="inlineStr">
        <is>
          <t>ÖSTERGÖTLANDS LÄN</t>
        </is>
      </c>
      <c r="E5997" t="inlineStr">
        <is>
          <t>YDRE</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668-2026</t>
        </is>
      </c>
      <c r="B5998" s="1" t="n">
        <v>46029.59096064815</v>
      </c>
      <c r="C5998" s="1" t="n">
        <v>46093</v>
      </c>
      <c r="D5998" t="inlineStr">
        <is>
          <t>ÖSTERGÖTLANDS LÄN</t>
        </is>
      </c>
      <c r="E5998" t="inlineStr">
        <is>
          <t>FINSPÅNG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11520-2025</t>
        </is>
      </c>
      <c r="B5999" s="1" t="n">
        <v>45726.91224537037</v>
      </c>
      <c r="C5999" s="1" t="n">
        <v>46093</v>
      </c>
      <c r="D5999" t="inlineStr">
        <is>
          <t>ÖSTERGÖTLANDS LÄN</t>
        </is>
      </c>
      <c r="E5999" t="inlineStr">
        <is>
          <t>NORRKÖPING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21235-2025</t>
        </is>
      </c>
      <c r="B6000" s="1" t="n">
        <v>45777</v>
      </c>
      <c r="C6000" s="1" t="n">
        <v>46093</v>
      </c>
      <c r="D6000" t="inlineStr">
        <is>
          <t>ÖSTERGÖTLANDS LÄN</t>
        </is>
      </c>
      <c r="E6000" t="inlineStr">
        <is>
          <t>FINSPÅNG</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20997-2025</t>
        </is>
      </c>
      <c r="B6001" s="1" t="n">
        <v>45777.48113425926</v>
      </c>
      <c r="C6001" s="1" t="n">
        <v>46093</v>
      </c>
      <c r="D6001" t="inlineStr">
        <is>
          <t>ÖSTERGÖTLANDS LÄN</t>
        </is>
      </c>
      <c r="E6001" t="inlineStr">
        <is>
          <t>KINDA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9787-2026</t>
        </is>
      </c>
      <c r="B6002" s="1" t="n">
        <v>46072.59584490741</v>
      </c>
      <c r="C6002" s="1" t="n">
        <v>46093</v>
      </c>
      <c r="D6002" t="inlineStr">
        <is>
          <t>ÖSTERGÖTLANDS LÄN</t>
        </is>
      </c>
      <c r="E6002" t="inlineStr">
        <is>
          <t>NORRKÖPING</t>
        </is>
      </c>
      <c r="F6002" t="inlineStr">
        <is>
          <t>Kyrkan</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1004-2026</t>
        </is>
      </c>
      <c r="B6003" s="1" t="n">
        <v>46030.59546296296</v>
      </c>
      <c r="C6003" s="1" t="n">
        <v>46093</v>
      </c>
      <c r="D6003" t="inlineStr">
        <is>
          <t>ÖSTERGÖTLANDS LÄN</t>
        </is>
      </c>
      <c r="E6003" t="inlineStr">
        <is>
          <t>NORRKÖPING</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1005-2026</t>
        </is>
      </c>
      <c r="B6004" s="1" t="n">
        <v>46030.59618055556</v>
      </c>
      <c r="C6004" s="1" t="n">
        <v>46093</v>
      </c>
      <c r="D6004" t="inlineStr">
        <is>
          <t>ÖSTERGÖTLANDS LÄN</t>
        </is>
      </c>
      <c r="E6004" t="inlineStr">
        <is>
          <t>FINSPÅNG</t>
        </is>
      </c>
      <c r="F6004" t="inlineStr">
        <is>
          <t>Holmen skog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20925-2025</t>
        </is>
      </c>
      <c r="B6005" s="1" t="n">
        <v>45777.4182175926</v>
      </c>
      <c r="C6005" s="1" t="n">
        <v>46093</v>
      </c>
      <c r="D6005" t="inlineStr">
        <is>
          <t>ÖSTERGÖTLANDS LÄN</t>
        </is>
      </c>
      <c r="E6005" t="inlineStr">
        <is>
          <t>MOTALA</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30554-2024</t>
        </is>
      </c>
      <c r="B6006" s="1" t="n">
        <v>45492</v>
      </c>
      <c r="C6006" s="1" t="n">
        <v>46093</v>
      </c>
      <c r="D6006" t="inlineStr">
        <is>
          <t>ÖSTERGÖTLANDS LÄN</t>
        </is>
      </c>
      <c r="E6006" t="inlineStr">
        <is>
          <t>YDRE</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42678-2024</t>
        </is>
      </c>
      <c r="B6007" s="1" t="n">
        <v>45566</v>
      </c>
      <c r="C6007" s="1" t="n">
        <v>46093</v>
      </c>
      <c r="D6007" t="inlineStr">
        <is>
          <t>ÖSTERGÖTLANDS LÄN</t>
        </is>
      </c>
      <c r="E6007" t="inlineStr">
        <is>
          <t>FINSPÅNG</t>
        </is>
      </c>
      <c r="F6007" t="inlineStr">
        <is>
          <t>Holmen skog AB</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42699-2024</t>
        </is>
      </c>
      <c r="B6008" s="1" t="n">
        <v>45566</v>
      </c>
      <c r="C6008" s="1" t="n">
        <v>46093</v>
      </c>
      <c r="D6008" t="inlineStr">
        <is>
          <t>ÖSTERGÖTLANDS LÄN</t>
        </is>
      </c>
      <c r="E6008" t="inlineStr">
        <is>
          <t>FINSPÅNG</t>
        </is>
      </c>
      <c r="F6008" t="inlineStr">
        <is>
          <t>Holmen skog AB</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42682-2024</t>
        </is>
      </c>
      <c r="B6009" s="1" t="n">
        <v>45566</v>
      </c>
      <c r="C6009" s="1" t="n">
        <v>46093</v>
      </c>
      <c r="D6009" t="inlineStr">
        <is>
          <t>ÖSTERGÖTLANDS LÄN</t>
        </is>
      </c>
      <c r="E6009" t="inlineStr">
        <is>
          <t>FINSPÅNG</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21093-2025</t>
        </is>
      </c>
      <c r="B6010" s="1" t="n">
        <v>45777.61991898148</v>
      </c>
      <c r="C6010" s="1" t="n">
        <v>46093</v>
      </c>
      <c r="D6010" t="inlineStr">
        <is>
          <t>ÖSTERGÖTLANDS LÄN</t>
        </is>
      </c>
      <c r="E6010" t="inlineStr">
        <is>
          <t>NORRKÖPING</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1061-2026</t>
        </is>
      </c>
      <c r="B6011" s="1" t="n">
        <v>46030.63935185185</v>
      </c>
      <c r="C6011" s="1" t="n">
        <v>46093</v>
      </c>
      <c r="D6011" t="inlineStr">
        <is>
          <t>ÖSTERGÖTLANDS LÄN</t>
        </is>
      </c>
      <c r="E6011" t="inlineStr">
        <is>
          <t>NORRKÖPING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21396-2025</t>
        </is>
      </c>
      <c r="B6012" s="1" t="n">
        <v>45782.48217592593</v>
      </c>
      <c r="C6012" s="1" t="n">
        <v>46093</v>
      </c>
      <c r="D6012" t="inlineStr">
        <is>
          <t>ÖSTERGÖTLANDS LÄN</t>
        </is>
      </c>
      <c r="E6012" t="inlineStr">
        <is>
          <t>VALDEMARSVIK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21416-2025</t>
        </is>
      </c>
      <c r="B6013" s="1" t="n">
        <v>45782.49765046296</v>
      </c>
      <c r="C6013" s="1" t="n">
        <v>46093</v>
      </c>
      <c r="D6013" t="inlineStr">
        <is>
          <t>ÖSTERGÖTLANDS LÄN</t>
        </is>
      </c>
      <c r="E6013" t="inlineStr">
        <is>
          <t>SÖDERKÖPING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13392-2025</t>
        </is>
      </c>
      <c r="B6014" s="1" t="n">
        <v>45735.69887731481</v>
      </c>
      <c r="C6014" s="1" t="n">
        <v>46093</v>
      </c>
      <c r="D6014" t="inlineStr">
        <is>
          <t>ÖSTERGÖTLANDS LÄN</t>
        </is>
      </c>
      <c r="E6014" t="inlineStr">
        <is>
          <t>FINSPÅNG</t>
        </is>
      </c>
      <c r="F6014" t="inlineStr">
        <is>
          <t>Holmen skog AB</t>
        </is>
      </c>
      <c r="G6014" t="n">
        <v>10.9</v>
      </c>
      <c r="H6014" t="n">
        <v>0</v>
      </c>
      <c r="I6014" t="n">
        <v>0</v>
      </c>
      <c r="J6014" t="n">
        <v>0</v>
      </c>
      <c r="K6014" t="n">
        <v>0</v>
      </c>
      <c r="L6014" t="n">
        <v>0</v>
      </c>
      <c r="M6014" t="n">
        <v>0</v>
      </c>
      <c r="N6014" t="n">
        <v>0</v>
      </c>
      <c r="O6014" t="n">
        <v>0</v>
      </c>
      <c r="P6014" t="n">
        <v>0</v>
      </c>
      <c r="Q6014" t="n">
        <v>0</v>
      </c>
      <c r="R6014" s="2" t="inlineStr"/>
    </row>
    <row r="6015" ht="15" customHeight="1">
      <c r="A6015" t="inlineStr">
        <is>
          <t>A 13457-2025</t>
        </is>
      </c>
      <c r="B6015" s="1" t="n">
        <v>45736.38344907408</v>
      </c>
      <c r="C6015" s="1" t="n">
        <v>46093</v>
      </c>
      <c r="D6015" t="inlineStr">
        <is>
          <t>ÖSTERGÖTLANDS LÄN</t>
        </is>
      </c>
      <c r="E6015" t="inlineStr">
        <is>
          <t>FINSPÅNG</t>
        </is>
      </c>
      <c r="F6015" t="inlineStr">
        <is>
          <t>Holmen skog AB</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858-2026</t>
        </is>
      </c>
      <c r="B6016" s="1" t="n">
        <v>46030.41200231481</v>
      </c>
      <c r="C6016" s="1" t="n">
        <v>46093</v>
      </c>
      <c r="D6016" t="inlineStr">
        <is>
          <t>ÖSTERGÖTLANDS LÄN</t>
        </is>
      </c>
      <c r="E6016" t="inlineStr">
        <is>
          <t>LINKÖPING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940-2026</t>
        </is>
      </c>
      <c r="B6017" s="1" t="n">
        <v>46030.53052083333</v>
      </c>
      <c r="C6017" s="1" t="n">
        <v>46093</v>
      </c>
      <c r="D6017" t="inlineStr">
        <is>
          <t>ÖSTERGÖTLANDS LÄN</t>
        </is>
      </c>
      <c r="E6017" t="inlineStr">
        <is>
          <t>LINKÖPING</t>
        </is>
      </c>
      <c r="F6017" t="inlineStr">
        <is>
          <t>Allmännings- och besparingsskogar</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944-2026</t>
        </is>
      </c>
      <c r="B6018" s="1" t="n">
        <v>46030.53461805556</v>
      </c>
      <c r="C6018" s="1" t="n">
        <v>46093</v>
      </c>
      <c r="D6018" t="inlineStr">
        <is>
          <t>ÖSTERGÖTLANDS LÄN</t>
        </is>
      </c>
      <c r="E6018" t="inlineStr">
        <is>
          <t>LINKÖPING</t>
        </is>
      </c>
      <c r="F6018" t="inlineStr">
        <is>
          <t>Allmännings- och besparingsskogar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656-2026</t>
        </is>
      </c>
      <c r="B6019" s="1" t="n">
        <v>46029.58138888889</v>
      </c>
      <c r="C6019" s="1" t="n">
        <v>46093</v>
      </c>
      <c r="D6019" t="inlineStr">
        <is>
          <t>ÖSTERGÖTLANDS LÄN</t>
        </is>
      </c>
      <c r="E6019" t="inlineStr">
        <is>
          <t>KINDA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674-2026</t>
        </is>
      </c>
      <c r="B6020" s="1" t="n">
        <v>46029.59616898148</v>
      </c>
      <c r="C6020" s="1" t="n">
        <v>46093</v>
      </c>
      <c r="D6020" t="inlineStr">
        <is>
          <t>ÖSTERGÖTLANDS LÄN</t>
        </is>
      </c>
      <c r="E6020" t="inlineStr">
        <is>
          <t>ÅTVIDABERG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747-2026</t>
        </is>
      </c>
      <c r="B6021" s="1" t="n">
        <v>46029.67429398148</v>
      </c>
      <c r="C6021" s="1" t="n">
        <v>46093</v>
      </c>
      <c r="D6021" t="inlineStr">
        <is>
          <t>ÖSTERGÖTLANDS LÄN</t>
        </is>
      </c>
      <c r="E6021" t="inlineStr">
        <is>
          <t>FINSPÅNG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769-2026</t>
        </is>
      </c>
      <c r="B6022" s="1" t="n">
        <v>46029.71232638889</v>
      </c>
      <c r="C6022" s="1" t="n">
        <v>46093</v>
      </c>
      <c r="D6022" t="inlineStr">
        <is>
          <t>ÖSTERGÖTLANDS LÄN</t>
        </is>
      </c>
      <c r="E6022" t="inlineStr">
        <is>
          <t>FINSPÅNG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654-2026</t>
        </is>
      </c>
      <c r="B6023" s="1" t="n">
        <v>46029.57982638889</v>
      </c>
      <c r="C6023" s="1" t="n">
        <v>46093</v>
      </c>
      <c r="D6023" t="inlineStr">
        <is>
          <t>ÖSTERGÖTLANDS LÄN</t>
        </is>
      </c>
      <c r="E6023" t="inlineStr">
        <is>
          <t>KINDA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21417-2025</t>
        </is>
      </c>
      <c r="B6024" s="1" t="n">
        <v>45782.49773148148</v>
      </c>
      <c r="C6024" s="1" t="n">
        <v>46093</v>
      </c>
      <c r="D6024" t="inlineStr">
        <is>
          <t>ÖSTERGÖTLANDS LÄN</t>
        </is>
      </c>
      <c r="E6024" t="inlineStr">
        <is>
          <t>VALDEMARSVIK</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6466-2026</t>
        </is>
      </c>
      <c r="B6025" s="1" t="n">
        <v>46056</v>
      </c>
      <c r="C6025" s="1" t="n">
        <v>46093</v>
      </c>
      <c r="D6025" t="inlineStr">
        <is>
          <t>ÖSTERGÖTLANDS LÄN</t>
        </is>
      </c>
      <c r="E6025" t="inlineStr">
        <is>
          <t>ÅTVIDABERG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21523-2025</t>
        </is>
      </c>
      <c r="B6026" s="1" t="n">
        <v>45782.64012731481</v>
      </c>
      <c r="C6026" s="1" t="n">
        <v>46093</v>
      </c>
      <c r="D6026" t="inlineStr">
        <is>
          <t>ÖSTERGÖTLANDS LÄN</t>
        </is>
      </c>
      <c r="E6026" t="inlineStr">
        <is>
          <t>VALDEMARSVIK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859-2026</t>
        </is>
      </c>
      <c r="B6027" s="1" t="n">
        <v>46030.41450231482</v>
      </c>
      <c r="C6027" s="1" t="n">
        <v>46093</v>
      </c>
      <c r="D6027" t="inlineStr">
        <is>
          <t>ÖSTERGÖTLANDS LÄN</t>
        </is>
      </c>
      <c r="E6027" t="inlineStr">
        <is>
          <t>LINKÖPING</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21499-2025</t>
        </is>
      </c>
      <c r="B6028" s="1" t="n">
        <v>45782.60745370371</v>
      </c>
      <c r="C6028" s="1" t="n">
        <v>46093</v>
      </c>
      <c r="D6028" t="inlineStr">
        <is>
          <t>ÖSTERGÖTLANDS LÄN</t>
        </is>
      </c>
      <c r="E6028" t="inlineStr">
        <is>
          <t>VALDEMARSVIK</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21155-2025</t>
        </is>
      </c>
      <c r="B6029" s="1" t="n">
        <v>45779.37586805555</v>
      </c>
      <c r="C6029" s="1" t="n">
        <v>46093</v>
      </c>
      <c r="D6029" t="inlineStr">
        <is>
          <t>ÖSTERGÖTLANDS LÄN</t>
        </is>
      </c>
      <c r="E6029" t="inlineStr">
        <is>
          <t>LINKÖPING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560-2026</t>
        </is>
      </c>
      <c r="B6030" s="1" t="n">
        <v>46029.46594907407</v>
      </c>
      <c r="C6030" s="1" t="n">
        <v>46093</v>
      </c>
      <c r="D6030" t="inlineStr">
        <is>
          <t>ÖSTERGÖTLANDS LÄN</t>
        </is>
      </c>
      <c r="E6030" t="inlineStr">
        <is>
          <t>VALDEMARSVIK</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21307-2025</t>
        </is>
      </c>
      <c r="B6031" s="1" t="n">
        <v>45781.41212962963</v>
      </c>
      <c r="C6031" s="1" t="n">
        <v>46093</v>
      </c>
      <c r="D6031" t="inlineStr">
        <is>
          <t>ÖSTERGÖTLANDS LÄN</t>
        </is>
      </c>
      <c r="E6031" t="inlineStr">
        <is>
          <t>MJÖLBY</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21309-2025</t>
        </is>
      </c>
      <c r="B6032" s="1" t="n">
        <v>45781.58949074074</v>
      </c>
      <c r="C6032" s="1" t="n">
        <v>46093</v>
      </c>
      <c r="D6032" t="inlineStr">
        <is>
          <t>ÖSTERGÖTLANDS LÄN</t>
        </is>
      </c>
      <c r="E6032" t="inlineStr">
        <is>
          <t>MOTALA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21525-2025</t>
        </is>
      </c>
      <c r="B6033" s="1" t="n">
        <v>45782.64457175926</v>
      </c>
      <c r="C6033" s="1" t="n">
        <v>46093</v>
      </c>
      <c r="D6033" t="inlineStr">
        <is>
          <t>ÖSTERGÖTLANDS LÄN</t>
        </is>
      </c>
      <c r="E6033" t="inlineStr">
        <is>
          <t>VALDEMARSVIK</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21537-2025</t>
        </is>
      </c>
      <c r="B6034" s="1" t="n">
        <v>45782.65953703703</v>
      </c>
      <c r="C6034" s="1" t="n">
        <v>46093</v>
      </c>
      <c r="D6034" t="inlineStr">
        <is>
          <t>ÖSTERGÖTLANDS LÄN</t>
        </is>
      </c>
      <c r="E6034" t="inlineStr">
        <is>
          <t>VALDEMARSVIK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21542-2025</t>
        </is>
      </c>
      <c r="B6035" s="1" t="n">
        <v>45782.66719907407</v>
      </c>
      <c r="C6035" s="1" t="n">
        <v>46093</v>
      </c>
      <c r="D6035" t="inlineStr">
        <is>
          <t>ÖSTERGÖTLANDS LÄN</t>
        </is>
      </c>
      <c r="E6035" t="inlineStr">
        <is>
          <t>NORRKÖPING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21385-2025</t>
        </is>
      </c>
      <c r="B6036" s="1" t="n">
        <v>45782.46883101852</v>
      </c>
      <c r="C6036" s="1" t="n">
        <v>46093</v>
      </c>
      <c r="D6036" t="inlineStr">
        <is>
          <t>ÖSTERGÖTLANDS LÄN</t>
        </is>
      </c>
      <c r="E6036" t="inlineStr">
        <is>
          <t>BOXHOLM</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21530-2025</t>
        </is>
      </c>
      <c r="B6037" s="1" t="n">
        <v>45782.65224537037</v>
      </c>
      <c r="C6037" s="1" t="n">
        <v>46093</v>
      </c>
      <c r="D6037" t="inlineStr">
        <is>
          <t>ÖSTERGÖTLANDS LÄN</t>
        </is>
      </c>
      <c r="E6037" t="inlineStr">
        <is>
          <t>ÖDESHÖG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64001-2025</t>
        </is>
      </c>
      <c r="B6038" s="1" t="n">
        <v>46021</v>
      </c>
      <c r="C6038" s="1" t="n">
        <v>46093</v>
      </c>
      <c r="D6038" t="inlineStr">
        <is>
          <t>ÖSTERGÖTLANDS LÄN</t>
        </is>
      </c>
      <c r="E6038" t="inlineStr">
        <is>
          <t>YDRE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21390-2025</t>
        </is>
      </c>
      <c r="B6039" s="1" t="n">
        <v>45782.47664351852</v>
      </c>
      <c r="C6039" s="1" t="n">
        <v>46093</v>
      </c>
      <c r="D6039" t="inlineStr">
        <is>
          <t>ÖSTERGÖTLANDS LÄN</t>
        </is>
      </c>
      <c r="E6039" t="inlineStr">
        <is>
          <t>VALDEMARSVIK</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1589-2026</t>
        </is>
      </c>
      <c r="B6040" s="1" t="n">
        <v>46034.44234953704</v>
      </c>
      <c r="C6040" s="1" t="n">
        <v>46093</v>
      </c>
      <c r="D6040" t="inlineStr">
        <is>
          <t>ÖSTERGÖTLANDS LÄN</t>
        </is>
      </c>
      <c r="E6040" t="inlineStr">
        <is>
          <t>ÖDESHÖG</t>
        </is>
      </c>
      <c r="F6040" t="inlineStr">
        <is>
          <t>Allmännings- och besparingsskogar</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21517-2025</t>
        </is>
      </c>
      <c r="B6041" s="1" t="n">
        <v>45782.63564814815</v>
      </c>
      <c r="C6041" s="1" t="n">
        <v>46093</v>
      </c>
      <c r="D6041" t="inlineStr">
        <is>
          <t>ÖSTERGÖTLANDS LÄN</t>
        </is>
      </c>
      <c r="E6041" t="inlineStr">
        <is>
          <t>VALDEMARSVIK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21357-2025</t>
        </is>
      </c>
      <c r="B6042" s="1" t="n">
        <v>45782.42425925926</v>
      </c>
      <c r="C6042" s="1" t="n">
        <v>46093</v>
      </c>
      <c r="D6042" t="inlineStr">
        <is>
          <t>ÖSTERGÖTLANDS LÄN</t>
        </is>
      </c>
      <c r="E6042" t="inlineStr">
        <is>
          <t>ÖDESHÖG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1223-2026</t>
        </is>
      </c>
      <c r="B6043" s="1" t="n">
        <v>46031.40233796297</v>
      </c>
      <c r="C6043" s="1" t="n">
        <v>46093</v>
      </c>
      <c r="D6043" t="inlineStr">
        <is>
          <t>ÖSTERGÖTLANDS LÄN</t>
        </is>
      </c>
      <c r="E6043" t="inlineStr">
        <is>
          <t>LINKÖPING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21165-2025</t>
        </is>
      </c>
      <c r="B6044" s="1" t="n">
        <v>45779.39417824074</v>
      </c>
      <c r="C6044" s="1" t="n">
        <v>46093</v>
      </c>
      <c r="D6044" t="inlineStr">
        <is>
          <t>ÖSTERGÖTLANDS LÄN</t>
        </is>
      </c>
      <c r="E6044" t="inlineStr">
        <is>
          <t>LINKÖPING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18390-2025</t>
        </is>
      </c>
      <c r="B6045" s="1" t="n">
        <v>45762.59059027778</v>
      </c>
      <c r="C6045" s="1" t="n">
        <v>46093</v>
      </c>
      <c r="D6045" t="inlineStr">
        <is>
          <t>ÖSTERGÖTLANDS LÄN</t>
        </is>
      </c>
      <c r="E6045" t="inlineStr">
        <is>
          <t>MOTALA</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35648-2023</t>
        </is>
      </c>
      <c r="B6046" s="1" t="n">
        <v>45147</v>
      </c>
      <c r="C6046" s="1" t="n">
        <v>46093</v>
      </c>
      <c r="D6046" t="inlineStr">
        <is>
          <t>ÖSTERGÖTLANDS LÄN</t>
        </is>
      </c>
      <c r="E6046" t="inlineStr">
        <is>
          <t>BOXHOLM</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8352-2025</t>
        </is>
      </c>
      <c r="B6047" s="1" t="n">
        <v>45708</v>
      </c>
      <c r="C6047" s="1" t="n">
        <v>46093</v>
      </c>
      <c r="D6047" t="inlineStr">
        <is>
          <t>ÖSTERGÖTLANDS LÄN</t>
        </is>
      </c>
      <c r="E6047" t="inlineStr">
        <is>
          <t>MOTALA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53521-2023</t>
        </is>
      </c>
      <c r="B6048" s="1" t="n">
        <v>45230</v>
      </c>
      <c r="C6048" s="1" t="n">
        <v>46093</v>
      </c>
      <c r="D6048" t="inlineStr">
        <is>
          <t>ÖSTERGÖTLANDS LÄN</t>
        </is>
      </c>
      <c r="E6048" t="inlineStr">
        <is>
          <t>MJÖLBY</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10313-2026</t>
        </is>
      </c>
      <c r="B6049" s="1" t="n">
        <v>46076.64770833333</v>
      </c>
      <c r="C6049" s="1" t="n">
        <v>46093</v>
      </c>
      <c r="D6049" t="inlineStr">
        <is>
          <t>ÖSTERGÖTLANDS LÄN</t>
        </is>
      </c>
      <c r="E6049" t="inlineStr">
        <is>
          <t>FINSPÅNG</t>
        </is>
      </c>
      <c r="F6049" t="inlineStr">
        <is>
          <t>Holmen skog AB</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21842-2025</t>
        </is>
      </c>
      <c r="B6050" s="1" t="n">
        <v>45784.33703703704</v>
      </c>
      <c r="C6050" s="1" t="n">
        <v>46093</v>
      </c>
      <c r="D6050" t="inlineStr">
        <is>
          <t>ÖSTERGÖTLANDS LÄN</t>
        </is>
      </c>
      <c r="E6050" t="inlineStr">
        <is>
          <t>ÅTVIDABERG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1152-2026</t>
        </is>
      </c>
      <c r="B6051" s="1" t="n">
        <v>46031.30131944444</v>
      </c>
      <c r="C6051" s="1" t="n">
        <v>46093</v>
      </c>
      <c r="D6051" t="inlineStr">
        <is>
          <t>ÖSTERGÖTLANDS LÄN</t>
        </is>
      </c>
      <c r="E6051" t="inlineStr">
        <is>
          <t>FINSPÅNG</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21770-2025</t>
        </is>
      </c>
      <c r="B6052" s="1" t="n">
        <v>45783</v>
      </c>
      <c r="C6052" s="1" t="n">
        <v>46093</v>
      </c>
      <c r="D6052" t="inlineStr">
        <is>
          <t>ÖSTERGÖTLANDS LÄN</t>
        </is>
      </c>
      <c r="E6052" t="inlineStr">
        <is>
          <t>NORRKÖPING</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1154-2026</t>
        </is>
      </c>
      <c r="B6053" s="1" t="n">
        <v>46031.31020833334</v>
      </c>
      <c r="C6053" s="1" t="n">
        <v>46093</v>
      </c>
      <c r="D6053" t="inlineStr">
        <is>
          <t>ÖSTERGÖTLANDS LÄN</t>
        </is>
      </c>
      <c r="E6053" t="inlineStr">
        <is>
          <t>FINSPÅNG</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9960-2026</t>
        </is>
      </c>
      <c r="B6054" s="1" t="n">
        <v>46073.49261574074</v>
      </c>
      <c r="C6054" s="1" t="n">
        <v>46093</v>
      </c>
      <c r="D6054" t="inlineStr">
        <is>
          <t>ÖSTERGÖTLANDS LÄN</t>
        </is>
      </c>
      <c r="E6054" t="inlineStr">
        <is>
          <t>MOTALA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10161-2026</t>
        </is>
      </c>
      <c r="B6055" s="1" t="n">
        <v>46076.39255787037</v>
      </c>
      <c r="C6055" s="1" t="n">
        <v>46093</v>
      </c>
      <c r="D6055" t="inlineStr">
        <is>
          <t>ÖSTERGÖTLANDS LÄN</t>
        </is>
      </c>
      <c r="E6055" t="inlineStr">
        <is>
          <t>FINSPÅNG</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1337-2026</t>
        </is>
      </c>
      <c r="B6056" s="1" t="n">
        <v>46031.57445601852</v>
      </c>
      <c r="C6056" s="1" t="n">
        <v>46093</v>
      </c>
      <c r="D6056" t="inlineStr">
        <is>
          <t>ÖSTERGÖTLANDS LÄN</t>
        </is>
      </c>
      <c r="E6056" t="inlineStr">
        <is>
          <t>ÖDESHÖG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21839-2025</t>
        </is>
      </c>
      <c r="B6057" s="1" t="n">
        <v>45784.32862268519</v>
      </c>
      <c r="C6057" s="1" t="n">
        <v>46093</v>
      </c>
      <c r="D6057" t="inlineStr">
        <is>
          <t>ÖSTERGÖTLANDS LÄN</t>
        </is>
      </c>
      <c r="E6057" t="inlineStr">
        <is>
          <t>ÅTVIDABERG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1279-2026</t>
        </is>
      </c>
      <c r="B6058" s="1" t="n">
        <v>46031.47650462963</v>
      </c>
      <c r="C6058" s="1" t="n">
        <v>46093</v>
      </c>
      <c r="D6058" t="inlineStr">
        <is>
          <t>ÖSTERGÖTLANDS LÄN</t>
        </is>
      </c>
      <c r="E6058" t="inlineStr">
        <is>
          <t>ÖDESHÖG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10307-2026</t>
        </is>
      </c>
      <c r="B6059" s="1" t="n">
        <v>46076.63746527778</v>
      </c>
      <c r="C6059" s="1" t="n">
        <v>46093</v>
      </c>
      <c r="D6059" t="inlineStr">
        <is>
          <t>ÖSTERGÖTLANDS LÄN</t>
        </is>
      </c>
      <c r="E6059" t="inlineStr">
        <is>
          <t>YDRE</t>
        </is>
      </c>
      <c r="F6059" t="inlineStr">
        <is>
          <t>Övriga Aktiebolag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24233-2025</t>
        </is>
      </c>
      <c r="B6060" s="1" t="n">
        <v>45797</v>
      </c>
      <c r="C6060" s="1" t="n">
        <v>46093</v>
      </c>
      <c r="D6060" t="inlineStr">
        <is>
          <t>ÖSTERGÖTLANDS LÄN</t>
        </is>
      </c>
      <c r="E6060" t="inlineStr">
        <is>
          <t>NORRKÖPING</t>
        </is>
      </c>
      <c r="F6060" t="inlineStr">
        <is>
          <t>Holmen skog AB</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1264-2026</t>
        </is>
      </c>
      <c r="B6061" s="1" t="n">
        <v>46031.46109953704</v>
      </c>
      <c r="C6061" s="1" t="n">
        <v>46093</v>
      </c>
      <c r="D6061" t="inlineStr">
        <is>
          <t>ÖSTERGÖTLANDS LÄN</t>
        </is>
      </c>
      <c r="E6061" t="inlineStr">
        <is>
          <t>ÖDESHÖG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21909-2025</t>
        </is>
      </c>
      <c r="B6062" s="1" t="n">
        <v>45784</v>
      </c>
      <c r="C6062" s="1" t="n">
        <v>46093</v>
      </c>
      <c r="D6062" t="inlineStr">
        <is>
          <t>ÖSTERGÖTLANDS LÄN</t>
        </is>
      </c>
      <c r="E6062" t="inlineStr">
        <is>
          <t>NORRKÖPING</t>
        </is>
      </c>
      <c r="G6062" t="n">
        <v>7.9</v>
      </c>
      <c r="H6062" t="n">
        <v>0</v>
      </c>
      <c r="I6062" t="n">
        <v>0</v>
      </c>
      <c r="J6062" t="n">
        <v>0</v>
      </c>
      <c r="K6062" t="n">
        <v>0</v>
      </c>
      <c r="L6062" t="n">
        <v>0</v>
      </c>
      <c r="M6062" t="n">
        <v>0</v>
      </c>
      <c r="N6062" t="n">
        <v>0</v>
      </c>
      <c r="O6062" t="n">
        <v>0</v>
      </c>
      <c r="P6062" t="n">
        <v>0</v>
      </c>
      <c r="Q6062" t="n">
        <v>0</v>
      </c>
      <c r="R6062" s="2" t="inlineStr"/>
    </row>
    <row r="6063" ht="15" customHeight="1">
      <c r="A6063" t="inlineStr">
        <is>
          <t>A 9934-2026</t>
        </is>
      </c>
      <c r="B6063" s="1" t="n">
        <v>46073.45780092593</v>
      </c>
      <c r="C6063" s="1" t="n">
        <v>46093</v>
      </c>
      <c r="D6063" t="inlineStr">
        <is>
          <t>ÖSTERGÖTLANDS LÄN</t>
        </is>
      </c>
      <c r="E6063" t="inlineStr">
        <is>
          <t>FINSPÅNG</t>
        </is>
      </c>
      <c r="F6063" t="inlineStr">
        <is>
          <t>Holmen skog AB</t>
        </is>
      </c>
      <c r="G6063" t="n">
        <v>14.5</v>
      </c>
      <c r="H6063" t="n">
        <v>0</v>
      </c>
      <c r="I6063" t="n">
        <v>0</v>
      </c>
      <c r="J6063" t="n">
        <v>0</v>
      </c>
      <c r="K6063" t="n">
        <v>0</v>
      </c>
      <c r="L6063" t="n">
        <v>0</v>
      </c>
      <c r="M6063" t="n">
        <v>0</v>
      </c>
      <c r="N6063" t="n">
        <v>0</v>
      </c>
      <c r="O6063" t="n">
        <v>0</v>
      </c>
      <c r="P6063" t="n">
        <v>0</v>
      </c>
      <c r="Q6063" t="n">
        <v>0</v>
      </c>
      <c r="R6063" s="2" t="inlineStr"/>
    </row>
    <row r="6064" ht="15" customHeight="1">
      <c r="A6064" t="inlineStr">
        <is>
          <t>A 21948-2025</t>
        </is>
      </c>
      <c r="B6064" s="1" t="n">
        <v>45784.59287037037</v>
      </c>
      <c r="C6064" s="1" t="n">
        <v>46093</v>
      </c>
      <c r="D6064" t="inlineStr">
        <is>
          <t>ÖSTERGÖTLANDS LÄN</t>
        </is>
      </c>
      <c r="E6064" t="inlineStr">
        <is>
          <t>KINDA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7853-2026</t>
        </is>
      </c>
      <c r="B6065" s="1" t="n">
        <v>46061</v>
      </c>
      <c r="C6065" s="1" t="n">
        <v>46093</v>
      </c>
      <c r="D6065" t="inlineStr">
        <is>
          <t>ÖSTERGÖTLANDS LÄN</t>
        </is>
      </c>
      <c r="E6065" t="inlineStr">
        <is>
          <t>NORRKÖPING</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21967-2025</t>
        </is>
      </c>
      <c r="B6066" s="1" t="n">
        <v>45784.62866898148</v>
      </c>
      <c r="C6066" s="1" t="n">
        <v>46093</v>
      </c>
      <c r="D6066" t="inlineStr">
        <is>
          <t>ÖSTERGÖTLANDS LÄN</t>
        </is>
      </c>
      <c r="E6066" t="inlineStr">
        <is>
          <t>NORRKÖPING</t>
        </is>
      </c>
      <c r="F6066" t="inlineStr">
        <is>
          <t>Holmen skog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1278-2026</t>
        </is>
      </c>
      <c r="B6067" s="1" t="n">
        <v>46031.47633101852</v>
      </c>
      <c r="C6067" s="1" t="n">
        <v>46093</v>
      </c>
      <c r="D6067" t="inlineStr">
        <is>
          <t>ÖSTERGÖTLANDS LÄN</t>
        </is>
      </c>
      <c r="E6067" t="inlineStr">
        <is>
          <t>BOXHOLM</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21793-2025</t>
        </is>
      </c>
      <c r="B6068" s="1" t="n">
        <v>45783.67818287037</v>
      </c>
      <c r="C6068" s="1" t="n">
        <v>46093</v>
      </c>
      <c r="D6068" t="inlineStr">
        <is>
          <t>ÖSTERGÖTLANDS LÄN</t>
        </is>
      </c>
      <c r="E6068" t="inlineStr">
        <is>
          <t>MOTALA</t>
        </is>
      </c>
      <c r="F6068" t="inlineStr">
        <is>
          <t>Allmännings- och besparingsskogar</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61575-2023</t>
        </is>
      </c>
      <c r="B6069" s="1" t="n">
        <v>45261</v>
      </c>
      <c r="C6069" s="1" t="n">
        <v>46093</v>
      </c>
      <c r="D6069" t="inlineStr">
        <is>
          <t>ÖSTERGÖTLANDS LÄN</t>
        </is>
      </c>
      <c r="E6069" t="inlineStr">
        <is>
          <t>MJÖLBY</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35343-2024</t>
        </is>
      </c>
      <c r="B6070" s="1" t="n">
        <v>45530.93302083333</v>
      </c>
      <c r="C6070" s="1" t="n">
        <v>46093</v>
      </c>
      <c r="D6070" t="inlineStr">
        <is>
          <t>ÖSTERGÖTLANDS LÄN</t>
        </is>
      </c>
      <c r="E6070" t="inlineStr">
        <is>
          <t>FINSPÅNG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1284-2026</t>
        </is>
      </c>
      <c r="B6071" s="1" t="n">
        <v>46031.49496527778</v>
      </c>
      <c r="C6071" s="1" t="n">
        <v>46093</v>
      </c>
      <c r="D6071" t="inlineStr">
        <is>
          <t>ÖSTERGÖTLANDS LÄN</t>
        </is>
      </c>
      <c r="E6071" t="inlineStr">
        <is>
          <t>ÖDESHÖG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1285-2026</t>
        </is>
      </c>
      <c r="B6072" s="1" t="n">
        <v>46031.49496527778</v>
      </c>
      <c r="C6072" s="1" t="n">
        <v>46093</v>
      </c>
      <c r="D6072" t="inlineStr">
        <is>
          <t>ÖSTERGÖTLANDS LÄN</t>
        </is>
      </c>
      <c r="E6072" t="inlineStr">
        <is>
          <t>ÖDESHÖG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21667-2025</t>
        </is>
      </c>
      <c r="B6073" s="1" t="n">
        <v>45783.46362268519</v>
      </c>
      <c r="C6073" s="1" t="n">
        <v>46093</v>
      </c>
      <c r="D6073" t="inlineStr">
        <is>
          <t>ÖSTERGÖTLANDS LÄN</t>
        </is>
      </c>
      <c r="E6073" t="inlineStr">
        <is>
          <t>ÖDESHÖG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21677-2025</t>
        </is>
      </c>
      <c r="B6074" s="1" t="n">
        <v>45783.48681712963</v>
      </c>
      <c r="C6074" s="1" t="n">
        <v>46093</v>
      </c>
      <c r="D6074" t="inlineStr">
        <is>
          <t>ÖSTERGÖTLANDS LÄN</t>
        </is>
      </c>
      <c r="E6074" t="inlineStr">
        <is>
          <t>NORRKÖPING</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21722-2025</t>
        </is>
      </c>
      <c r="B6075" s="1" t="n">
        <v>45783.564375</v>
      </c>
      <c r="C6075" s="1" t="n">
        <v>46093</v>
      </c>
      <c r="D6075" t="inlineStr">
        <is>
          <t>ÖSTERGÖTLANDS LÄN</t>
        </is>
      </c>
      <c r="E6075" t="inlineStr">
        <is>
          <t>FINSPÅNG</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10375-2026</t>
        </is>
      </c>
      <c r="B6076" s="1" t="n">
        <v>46076.80725694444</v>
      </c>
      <c r="C6076" s="1" t="n">
        <v>46093</v>
      </c>
      <c r="D6076" t="inlineStr">
        <is>
          <t>ÖSTERGÖTLANDS LÄN</t>
        </is>
      </c>
      <c r="E6076" t="inlineStr">
        <is>
          <t>NORRKÖPING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10183-2026</t>
        </is>
      </c>
      <c r="B6077" s="1" t="n">
        <v>46076.43719907408</v>
      </c>
      <c r="C6077" s="1" t="n">
        <v>46093</v>
      </c>
      <c r="D6077" t="inlineStr">
        <is>
          <t>ÖSTERGÖTLANDS LÄN</t>
        </is>
      </c>
      <c r="E6077" t="inlineStr">
        <is>
          <t>ÅTVIDABERG</t>
        </is>
      </c>
      <c r="F6077" t="inlineStr">
        <is>
          <t>Holmen skog AB</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10266-2026</t>
        </is>
      </c>
      <c r="B6078" s="1" t="n">
        <v>46076.57520833334</v>
      </c>
      <c r="C6078" s="1" t="n">
        <v>46093</v>
      </c>
      <c r="D6078" t="inlineStr">
        <is>
          <t>ÖSTERGÖTLANDS LÄN</t>
        </is>
      </c>
      <c r="E6078" t="inlineStr">
        <is>
          <t>NORRKÖPING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10377-2026</t>
        </is>
      </c>
      <c r="B6079" s="1" t="n">
        <v>46076.81167824074</v>
      </c>
      <c r="C6079" s="1" t="n">
        <v>46093</v>
      </c>
      <c r="D6079" t="inlineStr">
        <is>
          <t>ÖSTERGÖTLANDS LÄN</t>
        </is>
      </c>
      <c r="E6079" t="inlineStr">
        <is>
          <t>NORRKÖPING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53781-2024</t>
        </is>
      </c>
      <c r="B6080" s="1" t="n">
        <v>45615.55868055556</v>
      </c>
      <c r="C6080" s="1" t="n">
        <v>46093</v>
      </c>
      <c r="D6080" t="inlineStr">
        <is>
          <t>ÖSTERGÖTLANDS LÄN</t>
        </is>
      </c>
      <c r="E6080" t="inlineStr">
        <is>
          <t>MOTALA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1491-2026</t>
        </is>
      </c>
      <c r="B6081" s="1" t="n">
        <v>46034.30648148148</v>
      </c>
      <c r="C6081" s="1" t="n">
        <v>46093</v>
      </c>
      <c r="D6081" t="inlineStr">
        <is>
          <t>ÖSTERGÖTLANDS LÄN</t>
        </is>
      </c>
      <c r="E6081" t="inlineStr">
        <is>
          <t>KINDA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1508-2026</t>
        </is>
      </c>
      <c r="B6082" s="1" t="n">
        <v>46034.34396990741</v>
      </c>
      <c r="C6082" s="1" t="n">
        <v>46093</v>
      </c>
      <c r="D6082" t="inlineStr">
        <is>
          <t>ÖSTERGÖTLANDS LÄN</t>
        </is>
      </c>
      <c r="E6082" t="inlineStr">
        <is>
          <t>NORRKÖPING</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10261-2026</t>
        </is>
      </c>
      <c r="B6083" s="1" t="n">
        <v>46076.57222222222</v>
      </c>
      <c r="C6083" s="1" t="n">
        <v>46093</v>
      </c>
      <c r="D6083" t="inlineStr">
        <is>
          <t>ÖSTERGÖTLANDS LÄN</t>
        </is>
      </c>
      <c r="E6083" t="inlineStr">
        <is>
          <t>NORRKÖPING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9615-2024</t>
        </is>
      </c>
      <c r="B6084" s="1" t="n">
        <v>45361.75074074074</v>
      </c>
      <c r="C6084" s="1" t="n">
        <v>46093</v>
      </c>
      <c r="D6084" t="inlineStr">
        <is>
          <t>ÖSTERGÖTLANDS LÄN</t>
        </is>
      </c>
      <c r="E6084" t="inlineStr">
        <is>
          <t>KINDA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10288-2026</t>
        </is>
      </c>
      <c r="B6085" s="1" t="n">
        <v>46076.60306712963</v>
      </c>
      <c r="C6085" s="1" t="n">
        <v>46093</v>
      </c>
      <c r="D6085" t="inlineStr">
        <is>
          <t>ÖSTERGÖTLANDS LÄN</t>
        </is>
      </c>
      <c r="E6085" t="inlineStr">
        <is>
          <t>YDRE</t>
        </is>
      </c>
      <c r="F6085" t="inlineStr">
        <is>
          <t>Övriga Aktiebolag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1007-2025</t>
        </is>
      </c>
      <c r="B6086" s="1" t="n">
        <v>45666.47810185186</v>
      </c>
      <c r="C6086" s="1" t="n">
        <v>46093</v>
      </c>
      <c r="D6086" t="inlineStr">
        <is>
          <t>ÖSTERGÖTLANDS LÄN</t>
        </is>
      </c>
      <c r="E6086" t="inlineStr">
        <is>
          <t>YDRE</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10296-2026</t>
        </is>
      </c>
      <c r="B6087" s="1" t="n">
        <v>46076.62068287037</v>
      </c>
      <c r="C6087" s="1" t="n">
        <v>46093</v>
      </c>
      <c r="D6087" t="inlineStr">
        <is>
          <t>ÖSTERGÖTLANDS LÄN</t>
        </is>
      </c>
      <c r="E6087" t="inlineStr">
        <is>
          <t>FINSPÅNG</t>
        </is>
      </c>
      <c r="F6087" t="inlineStr">
        <is>
          <t>Holmen skog AB</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10095-2026</t>
        </is>
      </c>
      <c r="B6088" s="1" t="n">
        <v>46073.72185185185</v>
      </c>
      <c r="C6088" s="1" t="n">
        <v>46093</v>
      </c>
      <c r="D6088" t="inlineStr">
        <is>
          <t>ÖSTERGÖTLANDS LÄN</t>
        </is>
      </c>
      <c r="E6088" t="inlineStr">
        <is>
          <t>KINDA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10172-2026</t>
        </is>
      </c>
      <c r="B6089" s="1" t="n">
        <v>46076.41994212963</v>
      </c>
      <c r="C6089" s="1" t="n">
        <v>46093</v>
      </c>
      <c r="D6089" t="inlineStr">
        <is>
          <t>ÖSTERGÖTLANDS LÄN</t>
        </is>
      </c>
      <c r="E6089" t="inlineStr">
        <is>
          <t>SÖDERKÖPING</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1710-2026</t>
        </is>
      </c>
      <c r="B6090" s="1" t="n">
        <v>46034</v>
      </c>
      <c r="C6090" s="1" t="n">
        <v>46093</v>
      </c>
      <c r="D6090" t="inlineStr">
        <is>
          <t>ÖSTERGÖTLANDS LÄN</t>
        </is>
      </c>
      <c r="E6090" t="inlineStr">
        <is>
          <t>ÅTVIDABERG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49971-2023</t>
        </is>
      </c>
      <c r="B6091" s="1" t="n">
        <v>45215.39953703704</v>
      </c>
      <c r="C6091" s="1" t="n">
        <v>46093</v>
      </c>
      <c r="D6091" t="inlineStr">
        <is>
          <t>ÖSTERGÖTLANDS LÄN</t>
        </is>
      </c>
      <c r="E6091" t="inlineStr">
        <is>
          <t>MJÖLBY</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31305-2024</t>
        </is>
      </c>
      <c r="B6092" s="1" t="n">
        <v>45504</v>
      </c>
      <c r="C6092" s="1" t="n">
        <v>46093</v>
      </c>
      <c r="D6092" t="inlineStr">
        <is>
          <t>ÖSTERGÖTLANDS LÄN</t>
        </is>
      </c>
      <c r="E6092" t="inlineStr">
        <is>
          <t>SÖDERKÖPING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31314-2024</t>
        </is>
      </c>
      <c r="B6093" s="1" t="n">
        <v>45504</v>
      </c>
      <c r="C6093" s="1" t="n">
        <v>46093</v>
      </c>
      <c r="D6093" t="inlineStr">
        <is>
          <t>ÖSTERGÖTLANDS LÄN</t>
        </is>
      </c>
      <c r="E6093" t="inlineStr">
        <is>
          <t>SÖDERKÖPING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26606-2024</t>
        </is>
      </c>
      <c r="B6094" s="1" t="n">
        <v>45469.7152662037</v>
      </c>
      <c r="C6094" s="1" t="n">
        <v>46093</v>
      </c>
      <c r="D6094" t="inlineStr">
        <is>
          <t>ÖSTERGÖTLANDS LÄN</t>
        </is>
      </c>
      <c r="E6094" t="inlineStr">
        <is>
          <t>MOTALA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10621-2023</t>
        </is>
      </c>
      <c r="B6095" s="1" t="n">
        <v>44988</v>
      </c>
      <c r="C6095" s="1" t="n">
        <v>46093</v>
      </c>
      <c r="D6095" t="inlineStr">
        <is>
          <t>ÖSTERGÖTLANDS LÄN</t>
        </is>
      </c>
      <c r="E6095" t="inlineStr">
        <is>
          <t>KINDA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1522-2026</t>
        </is>
      </c>
      <c r="B6096" s="1" t="n">
        <v>46034.3640625</v>
      </c>
      <c r="C6096" s="1" t="n">
        <v>46093</v>
      </c>
      <c r="D6096" t="inlineStr">
        <is>
          <t>ÖSTERGÖTLANDS LÄN</t>
        </is>
      </c>
      <c r="E6096" t="inlineStr">
        <is>
          <t>FINSPÅNG</t>
        </is>
      </c>
      <c r="F6096" t="inlineStr">
        <is>
          <t>Holmen skog AB</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1585-2026</t>
        </is>
      </c>
      <c r="B6097" s="1" t="n">
        <v>46034.43668981481</v>
      </c>
      <c r="C6097" s="1" t="n">
        <v>46093</v>
      </c>
      <c r="D6097" t="inlineStr">
        <is>
          <t>ÖSTERGÖTLANDS LÄN</t>
        </is>
      </c>
      <c r="E6097" t="inlineStr">
        <is>
          <t>ÖDESHÖG</t>
        </is>
      </c>
      <c r="F6097" t="inlineStr">
        <is>
          <t>Allmännings- och besparingsskogar</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1583-2026</t>
        </is>
      </c>
      <c r="B6098" s="1" t="n">
        <v>46034.43657407408</v>
      </c>
      <c r="C6098" s="1" t="n">
        <v>46093</v>
      </c>
      <c r="D6098" t="inlineStr">
        <is>
          <t>ÖSTERGÖTLANDS LÄN</t>
        </is>
      </c>
      <c r="E6098" t="inlineStr">
        <is>
          <t>FINSPÅNG</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1704-2026</t>
        </is>
      </c>
      <c r="B6099" s="1" t="n">
        <v>46034.59744212963</v>
      </c>
      <c r="C6099" s="1" t="n">
        <v>46093</v>
      </c>
      <c r="D6099" t="inlineStr">
        <is>
          <t>ÖSTERGÖTLANDS LÄN</t>
        </is>
      </c>
      <c r="E6099" t="inlineStr">
        <is>
          <t>KINDA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24634-2025</t>
        </is>
      </c>
      <c r="B6100" s="1" t="n">
        <v>45798</v>
      </c>
      <c r="C6100" s="1" t="n">
        <v>46093</v>
      </c>
      <c r="D6100" t="inlineStr">
        <is>
          <t>ÖSTERGÖTLANDS LÄN</t>
        </is>
      </c>
      <c r="E6100" t="inlineStr">
        <is>
          <t>NORRKÖPING</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38278-2024</t>
        </is>
      </c>
      <c r="B6101" s="1" t="n">
        <v>45545</v>
      </c>
      <c r="C6101" s="1" t="n">
        <v>46093</v>
      </c>
      <c r="D6101" t="inlineStr">
        <is>
          <t>ÖSTERGÖTLANDS LÄN</t>
        </is>
      </c>
      <c r="E6101" t="inlineStr">
        <is>
          <t>MJÖLBY</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1273-2026</t>
        </is>
      </c>
      <c r="B6102" s="1" t="n">
        <v>46031.4699537037</v>
      </c>
      <c r="C6102" s="1" t="n">
        <v>46093</v>
      </c>
      <c r="D6102" t="inlineStr">
        <is>
          <t>ÖSTERGÖTLANDS LÄN</t>
        </is>
      </c>
      <c r="E6102" t="inlineStr">
        <is>
          <t>ÖDESHÖG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20310-2024</t>
        </is>
      </c>
      <c r="B6103" s="1" t="n">
        <v>45435.35898148148</v>
      </c>
      <c r="C6103" s="1" t="n">
        <v>46093</v>
      </c>
      <c r="D6103" t="inlineStr">
        <is>
          <t>ÖSTERGÖTLANDS LÄN</t>
        </is>
      </c>
      <c r="E6103" t="inlineStr">
        <is>
          <t>SÖDERKÖPING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12675-2024</t>
        </is>
      </c>
      <c r="B6104" s="1" t="n">
        <v>45384.39924768519</v>
      </c>
      <c r="C6104" s="1" t="n">
        <v>46093</v>
      </c>
      <c r="D6104" t="inlineStr">
        <is>
          <t>ÖSTERGÖTLANDS LÄN</t>
        </is>
      </c>
      <c r="E6104" t="inlineStr">
        <is>
          <t>MJÖLBY</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37083-2024</t>
        </is>
      </c>
      <c r="B6105" s="1" t="n">
        <v>45539.48737268519</v>
      </c>
      <c r="C6105" s="1" t="n">
        <v>46093</v>
      </c>
      <c r="D6105" t="inlineStr">
        <is>
          <t>ÖSTERGÖTLANDS LÄN</t>
        </is>
      </c>
      <c r="E6105" t="inlineStr">
        <is>
          <t>MJÖLBY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1261-2026</t>
        </is>
      </c>
      <c r="B6106" s="1" t="n">
        <v>46031.45724537037</v>
      </c>
      <c r="C6106" s="1" t="n">
        <v>46093</v>
      </c>
      <c r="D6106" t="inlineStr">
        <is>
          <t>ÖSTERGÖTLANDS LÄN</t>
        </is>
      </c>
      <c r="E6106" t="inlineStr">
        <is>
          <t>ÖDESHÖG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48058-2024</t>
        </is>
      </c>
      <c r="B6107" s="1" t="n">
        <v>45589</v>
      </c>
      <c r="C6107" s="1" t="n">
        <v>46093</v>
      </c>
      <c r="D6107" t="inlineStr">
        <is>
          <t>ÖSTERGÖTLANDS LÄN</t>
        </is>
      </c>
      <c r="E6107" t="inlineStr">
        <is>
          <t>MOTALA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58997-2022</t>
        </is>
      </c>
      <c r="B6108" s="1" t="n">
        <v>44903.7278125</v>
      </c>
      <c r="C6108" s="1" t="n">
        <v>46093</v>
      </c>
      <c r="D6108" t="inlineStr">
        <is>
          <t>ÖSTERGÖTLANDS LÄN</t>
        </is>
      </c>
      <c r="E6108" t="inlineStr">
        <is>
          <t>MOTALA</t>
        </is>
      </c>
      <c r="F6108" t="inlineStr">
        <is>
          <t>Allmännings- och besparingsskogar</t>
        </is>
      </c>
      <c r="G6108" t="n">
        <v>37.7</v>
      </c>
      <c r="H6108" t="n">
        <v>0</v>
      </c>
      <c r="I6108" t="n">
        <v>0</v>
      </c>
      <c r="J6108" t="n">
        <v>0</v>
      </c>
      <c r="K6108" t="n">
        <v>0</v>
      </c>
      <c r="L6108" t="n">
        <v>0</v>
      </c>
      <c r="M6108" t="n">
        <v>0</v>
      </c>
      <c r="N6108" t="n">
        <v>0</v>
      </c>
      <c r="O6108" t="n">
        <v>0</v>
      </c>
      <c r="P6108" t="n">
        <v>0</v>
      </c>
      <c r="Q6108" t="n">
        <v>0</v>
      </c>
      <c r="R6108" s="2" t="inlineStr"/>
    </row>
    <row r="6109" ht="15" customHeight="1">
      <c r="A6109" t="inlineStr">
        <is>
          <t>A 1268-2026</t>
        </is>
      </c>
      <c r="B6109" s="1" t="n">
        <v>46031.46385416666</v>
      </c>
      <c r="C6109" s="1" t="n">
        <v>46093</v>
      </c>
      <c r="D6109" t="inlineStr">
        <is>
          <t>ÖSTERGÖTLANDS LÄN</t>
        </is>
      </c>
      <c r="E6109" t="inlineStr">
        <is>
          <t>ÖDESHÖG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57752-2023</t>
        </is>
      </c>
      <c r="B6110" s="1" t="n">
        <v>45246.78474537037</v>
      </c>
      <c r="C6110" s="1" t="n">
        <v>46093</v>
      </c>
      <c r="D6110" t="inlineStr">
        <is>
          <t>ÖSTERGÖTLANDS LÄN</t>
        </is>
      </c>
      <c r="E6110" t="inlineStr">
        <is>
          <t>LINKÖPING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1485-2026</t>
        </is>
      </c>
      <c r="B6111" s="1" t="n">
        <v>46034.2150925926</v>
      </c>
      <c r="C6111" s="1" t="n">
        <v>46093</v>
      </c>
      <c r="D6111" t="inlineStr">
        <is>
          <t>ÖSTERGÖTLANDS LÄN</t>
        </is>
      </c>
      <c r="E6111" t="inlineStr">
        <is>
          <t>MOTALA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1503-2026</t>
        </is>
      </c>
      <c r="B6112" s="1" t="n">
        <v>46034.33706018519</v>
      </c>
      <c r="C6112" s="1" t="n">
        <v>46093</v>
      </c>
      <c r="D6112" t="inlineStr">
        <is>
          <t>ÖSTERGÖTLANDS LÄN</t>
        </is>
      </c>
      <c r="E6112" t="inlineStr">
        <is>
          <t>ÅTVIDABERG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1504-2026</t>
        </is>
      </c>
      <c r="B6113" s="1" t="n">
        <v>46034.33767361111</v>
      </c>
      <c r="C6113" s="1" t="n">
        <v>46093</v>
      </c>
      <c r="D6113" t="inlineStr">
        <is>
          <t>ÖSTERGÖTLANDS LÄN</t>
        </is>
      </c>
      <c r="E6113" t="inlineStr">
        <is>
          <t>NORRKÖPING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1577-2026</t>
        </is>
      </c>
      <c r="B6114" s="1" t="n">
        <v>46034.42305555556</v>
      </c>
      <c r="C6114" s="1" t="n">
        <v>46093</v>
      </c>
      <c r="D6114" t="inlineStr">
        <is>
          <t>ÖSTERGÖTLANDS LÄN</t>
        </is>
      </c>
      <c r="E6114" t="inlineStr">
        <is>
          <t>FINSPÅNG</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3554-2025</t>
        </is>
      </c>
      <c r="B6115" s="1" t="n">
        <v>45680</v>
      </c>
      <c r="C6115" s="1" t="n">
        <v>46093</v>
      </c>
      <c r="D6115" t="inlineStr">
        <is>
          <t>ÖSTERGÖTLANDS LÄN</t>
        </is>
      </c>
      <c r="E6115" t="inlineStr">
        <is>
          <t>ÖDESHÖG</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22473-2025</t>
        </is>
      </c>
      <c r="B6116" s="1" t="n">
        <v>45786.62056712963</v>
      </c>
      <c r="C6116" s="1" t="n">
        <v>46093</v>
      </c>
      <c r="D6116" t="inlineStr">
        <is>
          <t>ÖSTERGÖTLANDS LÄN</t>
        </is>
      </c>
      <c r="E6116" t="inlineStr">
        <is>
          <t>KINDA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6884-2024</t>
        </is>
      </c>
      <c r="B6117" s="1" t="n">
        <v>45342</v>
      </c>
      <c r="C6117" s="1" t="n">
        <v>46093</v>
      </c>
      <c r="D6117" t="inlineStr">
        <is>
          <t>ÖSTERGÖTLANDS LÄN</t>
        </is>
      </c>
      <c r="E6117" t="inlineStr">
        <is>
          <t>BOXHOLM</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1869-2026</t>
        </is>
      </c>
      <c r="B6118" s="1" t="n">
        <v>46035.45820601852</v>
      </c>
      <c r="C6118" s="1" t="n">
        <v>46093</v>
      </c>
      <c r="D6118" t="inlineStr">
        <is>
          <t>ÖSTERGÖTLANDS LÄN</t>
        </is>
      </c>
      <c r="E6118" t="inlineStr">
        <is>
          <t>ÅTVIDABERG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5310-2025</t>
        </is>
      </c>
      <c r="B6119" s="1" t="n">
        <v>45692</v>
      </c>
      <c r="C6119" s="1" t="n">
        <v>46093</v>
      </c>
      <c r="D6119" t="inlineStr">
        <is>
          <t>ÖSTERGÖTLANDS LÄN</t>
        </is>
      </c>
      <c r="E6119" t="inlineStr">
        <is>
          <t>SÖDERKÖPING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10517-2026</t>
        </is>
      </c>
      <c r="B6120" s="1" t="n">
        <v>46077.57380787037</v>
      </c>
      <c r="C6120" s="1" t="n">
        <v>46093</v>
      </c>
      <c r="D6120" t="inlineStr">
        <is>
          <t>ÖSTERGÖTLANDS LÄN</t>
        </is>
      </c>
      <c r="E6120" t="inlineStr">
        <is>
          <t>KINDA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26398-2023</t>
        </is>
      </c>
      <c r="B6121" s="1" t="n">
        <v>45092.36126157407</v>
      </c>
      <c r="C6121" s="1" t="n">
        <v>46093</v>
      </c>
      <c r="D6121" t="inlineStr">
        <is>
          <t>ÖSTERGÖTLANDS LÄN</t>
        </is>
      </c>
      <c r="E6121" t="inlineStr">
        <is>
          <t>NORRKÖPING</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12609-2025</t>
        </is>
      </c>
      <c r="B6122" s="1" t="n">
        <v>45733.33138888889</v>
      </c>
      <c r="C6122" s="1" t="n">
        <v>46093</v>
      </c>
      <c r="D6122" t="inlineStr">
        <is>
          <t>ÖSTERGÖTLANDS LÄN</t>
        </is>
      </c>
      <c r="E6122" t="inlineStr">
        <is>
          <t>MOTALA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51746-2023</t>
        </is>
      </c>
      <c r="B6123" s="1" t="n">
        <v>45222.67246527778</v>
      </c>
      <c r="C6123" s="1" t="n">
        <v>46093</v>
      </c>
      <c r="D6123" t="inlineStr">
        <is>
          <t>ÖSTERGÖTLANDS LÄN</t>
        </is>
      </c>
      <c r="E6123" t="inlineStr">
        <is>
          <t>SÖDERKÖPING</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10756-2026</t>
        </is>
      </c>
      <c r="B6124" s="1" t="n">
        <v>46078.55412037037</v>
      </c>
      <c r="C6124" s="1" t="n">
        <v>46093</v>
      </c>
      <c r="D6124" t="inlineStr">
        <is>
          <t>ÖSTERGÖTLANDS LÄN</t>
        </is>
      </c>
      <c r="E6124" t="inlineStr">
        <is>
          <t>LINKÖPING</t>
        </is>
      </c>
      <c r="F6124" t="inlineStr">
        <is>
          <t>Övriga Aktiebolag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43495-2023</t>
        </is>
      </c>
      <c r="B6125" s="1" t="n">
        <v>45184</v>
      </c>
      <c r="C6125" s="1" t="n">
        <v>46093</v>
      </c>
      <c r="D6125" t="inlineStr">
        <is>
          <t>ÖSTERGÖTLANDS LÄN</t>
        </is>
      </c>
      <c r="E6125" t="inlineStr">
        <is>
          <t>SÖDERKÖPING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22401-2025</t>
        </is>
      </c>
      <c r="B6126" s="1" t="n">
        <v>45786.53190972222</v>
      </c>
      <c r="C6126" s="1" t="n">
        <v>46093</v>
      </c>
      <c r="D6126" t="inlineStr">
        <is>
          <t>ÖSTERGÖTLANDS LÄN</t>
        </is>
      </c>
      <c r="E6126" t="inlineStr">
        <is>
          <t>MJÖLBY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60249-2024</t>
        </is>
      </c>
      <c r="B6127" s="1" t="n">
        <v>45642.82921296296</v>
      </c>
      <c r="C6127" s="1" t="n">
        <v>46093</v>
      </c>
      <c r="D6127" t="inlineStr">
        <is>
          <t>ÖSTERGÖTLANDS LÄN</t>
        </is>
      </c>
      <c r="E6127" t="inlineStr">
        <is>
          <t>FINSPÅNG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2168-2026</t>
        </is>
      </c>
      <c r="B6128" s="1" t="n">
        <v>46036.44412037037</v>
      </c>
      <c r="C6128" s="1" t="n">
        <v>46093</v>
      </c>
      <c r="D6128" t="inlineStr">
        <is>
          <t>ÖSTERGÖTLANDS LÄN</t>
        </is>
      </c>
      <c r="E6128" t="inlineStr">
        <is>
          <t>KINDA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22307-2025</t>
        </is>
      </c>
      <c r="B6129" s="1" t="n">
        <v>45786.36358796297</v>
      </c>
      <c r="C6129" s="1" t="n">
        <v>46093</v>
      </c>
      <c r="D6129" t="inlineStr">
        <is>
          <t>ÖSTERGÖTLANDS LÄN</t>
        </is>
      </c>
      <c r="E6129" t="inlineStr">
        <is>
          <t>NORRKÖPING</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1884-2025</t>
        </is>
      </c>
      <c r="B6130" s="1" t="n">
        <v>45671.62931712963</v>
      </c>
      <c r="C6130" s="1" t="n">
        <v>46093</v>
      </c>
      <c r="D6130" t="inlineStr">
        <is>
          <t>ÖSTERGÖTLANDS LÄN</t>
        </is>
      </c>
      <c r="E6130" t="inlineStr">
        <is>
          <t>NORRKÖPING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2030-2026</t>
        </is>
      </c>
      <c r="B6131" s="1" t="n">
        <v>46035.73590277778</v>
      </c>
      <c r="C6131" s="1" t="n">
        <v>46093</v>
      </c>
      <c r="D6131" t="inlineStr">
        <is>
          <t>ÖSTERGÖTLANDS LÄN</t>
        </is>
      </c>
      <c r="E6131" t="inlineStr">
        <is>
          <t>LINKÖPING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2061-2026</t>
        </is>
      </c>
      <c r="B6132" s="1" t="n">
        <v>46035.88178240741</v>
      </c>
      <c r="C6132" s="1" t="n">
        <v>46093</v>
      </c>
      <c r="D6132" t="inlineStr">
        <is>
          <t>ÖSTERGÖTLANDS LÄN</t>
        </is>
      </c>
      <c r="E6132" t="inlineStr">
        <is>
          <t>NORRKÖPING</t>
        </is>
      </c>
      <c r="F6132" t="inlineStr">
        <is>
          <t>Allmännings- och besparingsskogar</t>
        </is>
      </c>
      <c r="G6132" t="n">
        <v>12.4</v>
      </c>
      <c r="H6132" t="n">
        <v>0</v>
      </c>
      <c r="I6132" t="n">
        <v>0</v>
      </c>
      <c r="J6132" t="n">
        <v>0</v>
      </c>
      <c r="K6132" t="n">
        <v>0</v>
      </c>
      <c r="L6132" t="n">
        <v>0</v>
      </c>
      <c r="M6132" t="n">
        <v>0</v>
      </c>
      <c r="N6132" t="n">
        <v>0</v>
      </c>
      <c r="O6132" t="n">
        <v>0</v>
      </c>
      <c r="P6132" t="n">
        <v>0</v>
      </c>
      <c r="Q6132" t="n">
        <v>0</v>
      </c>
      <c r="R6132" s="2" t="inlineStr"/>
    </row>
    <row r="6133" ht="15" customHeight="1">
      <c r="A6133" t="inlineStr">
        <is>
          <t>A 17047-2025</t>
        </is>
      </c>
      <c r="B6133" s="1" t="n">
        <v>45755.59559027778</v>
      </c>
      <c r="C6133" s="1" t="n">
        <v>46093</v>
      </c>
      <c r="D6133" t="inlineStr">
        <is>
          <t>ÖSTERGÖTLANDS LÄN</t>
        </is>
      </c>
      <c r="E6133" t="inlineStr">
        <is>
          <t>KINDA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10872-2026</t>
        </is>
      </c>
      <c r="B6134" s="1" t="n">
        <v>46078.68979166666</v>
      </c>
      <c r="C6134" s="1" t="n">
        <v>46093</v>
      </c>
      <c r="D6134" t="inlineStr">
        <is>
          <t>ÖSTERGÖTLANDS LÄN</t>
        </is>
      </c>
      <c r="E6134" t="inlineStr">
        <is>
          <t>FINSPÅNG</t>
        </is>
      </c>
      <c r="F6134" t="inlineStr">
        <is>
          <t>Holmen skog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13560-2025</t>
        </is>
      </c>
      <c r="B6135" s="1" t="n">
        <v>45736</v>
      </c>
      <c r="C6135" s="1" t="n">
        <v>46093</v>
      </c>
      <c r="D6135" t="inlineStr">
        <is>
          <t>ÖSTERGÖTLANDS LÄN</t>
        </is>
      </c>
      <c r="E6135" t="inlineStr">
        <is>
          <t>MJÖLBY</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62155-2023</t>
        </is>
      </c>
      <c r="B6136" s="1" t="n">
        <v>45267</v>
      </c>
      <c r="C6136" s="1" t="n">
        <v>46093</v>
      </c>
      <c r="D6136" t="inlineStr">
        <is>
          <t>ÖSTERGÖTLANDS LÄN</t>
        </is>
      </c>
      <c r="E6136" t="inlineStr">
        <is>
          <t>FINSPÅNG</t>
        </is>
      </c>
      <c r="F6136" t="inlineStr">
        <is>
          <t>Holmen skog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34664-2024</t>
        </is>
      </c>
      <c r="B6137" s="1" t="n">
        <v>45526.49925925926</v>
      </c>
      <c r="C6137" s="1" t="n">
        <v>46093</v>
      </c>
      <c r="D6137" t="inlineStr">
        <is>
          <t>ÖSTERGÖTLANDS LÄN</t>
        </is>
      </c>
      <c r="E6137" t="inlineStr">
        <is>
          <t>MJÖLBY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2203-2026</t>
        </is>
      </c>
      <c r="B6138" s="1" t="n">
        <v>46036.48001157407</v>
      </c>
      <c r="C6138" s="1" t="n">
        <v>46093</v>
      </c>
      <c r="D6138" t="inlineStr">
        <is>
          <t>ÖSTERGÖTLANDS LÄN</t>
        </is>
      </c>
      <c r="E6138" t="inlineStr">
        <is>
          <t>BOXHOLM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50574-2024</t>
        </is>
      </c>
      <c r="B6139" s="1" t="n">
        <v>45601.60746527778</v>
      </c>
      <c r="C6139" s="1" t="n">
        <v>46093</v>
      </c>
      <c r="D6139" t="inlineStr">
        <is>
          <t>ÖSTERGÖTLANDS LÄN</t>
        </is>
      </c>
      <c r="E6139" t="inlineStr">
        <is>
          <t>SÖDERKÖPING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1784-2026</t>
        </is>
      </c>
      <c r="B6140" s="1" t="n">
        <v>46034.75418981481</v>
      </c>
      <c r="C6140" s="1" t="n">
        <v>46093</v>
      </c>
      <c r="D6140" t="inlineStr">
        <is>
          <t>ÖSTERGÖTLANDS LÄN</t>
        </is>
      </c>
      <c r="E6140" t="inlineStr">
        <is>
          <t>ÖDESHÖG</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27905-2024</t>
        </is>
      </c>
      <c r="B6141" s="1" t="n">
        <v>45475.93836805555</v>
      </c>
      <c r="C6141" s="1" t="n">
        <v>46093</v>
      </c>
      <c r="D6141" t="inlineStr">
        <is>
          <t>ÖSTERGÖTLANDS LÄN</t>
        </is>
      </c>
      <c r="E6141" t="inlineStr">
        <is>
          <t>YDRE</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9473-2024</t>
        </is>
      </c>
      <c r="B6142" s="1" t="n">
        <v>45359.55474537037</v>
      </c>
      <c r="C6142" s="1" t="n">
        <v>46093</v>
      </c>
      <c r="D6142" t="inlineStr">
        <is>
          <t>ÖSTERGÖTLANDS LÄN</t>
        </is>
      </c>
      <c r="E6142" t="inlineStr">
        <is>
          <t>LINKÖPING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2181-2026</t>
        </is>
      </c>
      <c r="B6143" s="1" t="n">
        <v>46036.45961805555</v>
      </c>
      <c r="C6143" s="1" t="n">
        <v>46093</v>
      </c>
      <c r="D6143" t="inlineStr">
        <is>
          <t>ÖSTERGÖTLANDS LÄN</t>
        </is>
      </c>
      <c r="E6143" t="inlineStr">
        <is>
          <t>FINSPÅNG</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2195-2026</t>
        </is>
      </c>
      <c r="B6144" s="1" t="n">
        <v>46036.47032407407</v>
      </c>
      <c r="C6144" s="1" t="n">
        <v>46093</v>
      </c>
      <c r="D6144" t="inlineStr">
        <is>
          <t>ÖSTERGÖTLANDS LÄN</t>
        </is>
      </c>
      <c r="E6144" t="inlineStr">
        <is>
          <t>FINSPÅNG</t>
        </is>
      </c>
      <c r="F6144" t="inlineStr">
        <is>
          <t>Holmen skog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2202-2026</t>
        </is>
      </c>
      <c r="B6145" s="1" t="n">
        <v>46036.47854166666</v>
      </c>
      <c r="C6145" s="1" t="n">
        <v>46093</v>
      </c>
      <c r="D6145" t="inlineStr">
        <is>
          <t>ÖSTERGÖTLANDS LÄN</t>
        </is>
      </c>
      <c r="E6145" t="inlineStr">
        <is>
          <t>SÖDERKÖPING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2031-2026</t>
        </is>
      </c>
      <c r="B6146" s="1" t="n">
        <v>46035.74182870371</v>
      </c>
      <c r="C6146" s="1" t="n">
        <v>46093</v>
      </c>
      <c r="D6146" t="inlineStr">
        <is>
          <t>ÖSTERGÖTLANDS LÄN</t>
        </is>
      </c>
      <c r="E6146" t="inlineStr">
        <is>
          <t>LINKÖPING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22425-2025</t>
        </is>
      </c>
      <c r="B6147" s="1" t="n">
        <v>45786.57274305556</v>
      </c>
      <c r="C6147" s="1" t="n">
        <v>46093</v>
      </c>
      <c r="D6147" t="inlineStr">
        <is>
          <t>ÖSTERGÖTLANDS LÄN</t>
        </is>
      </c>
      <c r="E6147" t="inlineStr">
        <is>
          <t>MOTALA</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35340-2024</t>
        </is>
      </c>
      <c r="B6148" s="1" t="n">
        <v>45530.92288194445</v>
      </c>
      <c r="C6148" s="1" t="n">
        <v>46093</v>
      </c>
      <c r="D6148" t="inlineStr">
        <is>
          <t>ÖSTERGÖTLANDS LÄN</t>
        </is>
      </c>
      <c r="E6148" t="inlineStr">
        <is>
          <t>FINSPÅNG</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31312-2024</t>
        </is>
      </c>
      <c r="B6149" s="1" t="n">
        <v>45504</v>
      </c>
      <c r="C6149" s="1" t="n">
        <v>46093</v>
      </c>
      <c r="D6149" t="inlineStr">
        <is>
          <t>ÖSTERGÖTLANDS LÄN</t>
        </is>
      </c>
      <c r="E6149" t="inlineStr">
        <is>
          <t>SÖDERKÖPING</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10797-2024</t>
        </is>
      </c>
      <c r="B6150" s="1" t="n">
        <v>45369.6190162037</v>
      </c>
      <c r="C6150" s="1" t="n">
        <v>46093</v>
      </c>
      <c r="D6150" t="inlineStr">
        <is>
          <t>ÖSTERGÖTLANDS LÄN</t>
        </is>
      </c>
      <c r="E6150" t="inlineStr">
        <is>
          <t>LINKÖPING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17046-2025</t>
        </is>
      </c>
      <c r="B6151" s="1" t="n">
        <v>45755.59457175926</v>
      </c>
      <c r="C6151" s="1" t="n">
        <v>46093</v>
      </c>
      <c r="D6151" t="inlineStr">
        <is>
          <t>ÖSTERGÖTLANDS LÄN</t>
        </is>
      </c>
      <c r="E6151" t="inlineStr">
        <is>
          <t>KINDA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9180-2025</t>
        </is>
      </c>
      <c r="B6152" s="1" t="n">
        <v>45714.42650462963</v>
      </c>
      <c r="C6152" s="1" t="n">
        <v>46093</v>
      </c>
      <c r="D6152" t="inlineStr">
        <is>
          <t>ÖSTERGÖTLANDS LÄN</t>
        </is>
      </c>
      <c r="E6152" t="inlineStr">
        <is>
          <t>YDRE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58289-2024</t>
        </is>
      </c>
      <c r="B6153" s="1" t="n">
        <v>45632.59153935185</v>
      </c>
      <c r="C6153" s="1" t="n">
        <v>46093</v>
      </c>
      <c r="D6153" t="inlineStr">
        <is>
          <t>ÖSTERGÖTLANDS LÄN</t>
        </is>
      </c>
      <c r="E6153" t="inlineStr">
        <is>
          <t>KINDA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22264-2025</t>
        </is>
      </c>
      <c r="B6154" s="1" t="n">
        <v>45785</v>
      </c>
      <c r="C6154" s="1" t="n">
        <v>46093</v>
      </c>
      <c r="D6154" t="inlineStr">
        <is>
          <t>ÖSTERGÖTLANDS LÄN</t>
        </is>
      </c>
      <c r="E6154" t="inlineStr">
        <is>
          <t>LINKÖPING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22044-2025</t>
        </is>
      </c>
      <c r="B6155" s="1" t="n">
        <v>45785.34126157407</v>
      </c>
      <c r="C6155" s="1" t="n">
        <v>46093</v>
      </c>
      <c r="D6155" t="inlineStr">
        <is>
          <t>ÖSTERGÖTLANDS LÄN</t>
        </is>
      </c>
      <c r="E6155" t="inlineStr">
        <is>
          <t>KINDA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2073-2026</t>
        </is>
      </c>
      <c r="B6156" s="1" t="n">
        <v>46036.3408449074</v>
      </c>
      <c r="C6156" s="1" t="n">
        <v>46093</v>
      </c>
      <c r="D6156" t="inlineStr">
        <is>
          <t>ÖSTERGÖTLANDS LÄN</t>
        </is>
      </c>
      <c r="E6156" t="inlineStr">
        <is>
          <t>MJÖLBY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57862-2023</t>
        </is>
      </c>
      <c r="B6157" s="1" t="n">
        <v>45247</v>
      </c>
      <c r="C6157" s="1" t="n">
        <v>46093</v>
      </c>
      <c r="D6157" t="inlineStr">
        <is>
          <t>ÖSTERGÖTLANDS LÄN</t>
        </is>
      </c>
      <c r="E6157" t="inlineStr">
        <is>
          <t>VALDEMARSVIK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10385-2026</t>
        </is>
      </c>
      <c r="B6158" s="1" t="n">
        <v>46077.27410879629</v>
      </c>
      <c r="C6158" s="1" t="n">
        <v>46093</v>
      </c>
      <c r="D6158" t="inlineStr">
        <is>
          <t>ÖSTERGÖTLANDS LÄN</t>
        </is>
      </c>
      <c r="E6158" t="inlineStr">
        <is>
          <t>YDRE</t>
        </is>
      </c>
      <c r="F6158" t="inlineStr">
        <is>
          <t>Övriga Aktiebolag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1785-2026</t>
        </is>
      </c>
      <c r="B6159" s="1" t="n">
        <v>46034.76097222222</v>
      </c>
      <c r="C6159" s="1" t="n">
        <v>46093</v>
      </c>
      <c r="D6159" t="inlineStr">
        <is>
          <t>ÖSTERGÖTLANDS LÄN</t>
        </is>
      </c>
      <c r="E6159" t="inlineStr">
        <is>
          <t>ÖDESHÖG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47484-2024</t>
        </is>
      </c>
      <c r="B6160" s="1" t="n">
        <v>45587.58498842592</v>
      </c>
      <c r="C6160" s="1" t="n">
        <v>46093</v>
      </c>
      <c r="D6160" t="inlineStr">
        <is>
          <t>ÖSTERGÖTLANDS LÄN</t>
        </is>
      </c>
      <c r="E6160" t="inlineStr">
        <is>
          <t>NORRKÖPING</t>
        </is>
      </c>
      <c r="F6160" t="inlineStr">
        <is>
          <t>Allmännings- och besparingsskogar</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1847-2026</t>
        </is>
      </c>
      <c r="B6161" s="1" t="n">
        <v>46035.40722222222</v>
      </c>
      <c r="C6161" s="1" t="n">
        <v>46093</v>
      </c>
      <c r="D6161" t="inlineStr">
        <is>
          <t>ÖSTERGÖTLANDS LÄN</t>
        </is>
      </c>
      <c r="E6161" t="inlineStr">
        <is>
          <t>ÅTVIDABERG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51728-2024</t>
        </is>
      </c>
      <c r="B6162" s="1" t="n">
        <v>45604</v>
      </c>
      <c r="C6162" s="1" t="n">
        <v>46093</v>
      </c>
      <c r="D6162" t="inlineStr">
        <is>
          <t>ÖSTERGÖTLANDS LÄN</t>
        </is>
      </c>
      <c r="E6162" t="inlineStr">
        <is>
          <t>MOTALA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11523-2025</t>
        </is>
      </c>
      <c r="B6163" s="1" t="n">
        <v>45727.27097222222</v>
      </c>
      <c r="C6163" s="1" t="n">
        <v>46093</v>
      </c>
      <c r="D6163" t="inlineStr">
        <is>
          <t>ÖSTERGÖTLANDS LÄN</t>
        </is>
      </c>
      <c r="E6163" t="inlineStr">
        <is>
          <t>FINSPÅNG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22806-2025</t>
        </is>
      </c>
      <c r="B6164" s="1" t="n">
        <v>45789.67461805556</v>
      </c>
      <c r="C6164" s="1" t="n">
        <v>46093</v>
      </c>
      <c r="D6164" t="inlineStr">
        <is>
          <t>ÖSTERGÖTLANDS LÄN</t>
        </is>
      </c>
      <c r="E6164" t="inlineStr">
        <is>
          <t>KINDA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1861-2026</t>
        </is>
      </c>
      <c r="B6165" s="1" t="n">
        <v>46035.44307870371</v>
      </c>
      <c r="C6165" s="1" t="n">
        <v>46093</v>
      </c>
      <c r="D6165" t="inlineStr">
        <is>
          <t>ÖSTERGÖTLANDS LÄN</t>
        </is>
      </c>
      <c r="E6165" t="inlineStr">
        <is>
          <t>ÅTVIDABERG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10575-2026</t>
        </is>
      </c>
      <c r="B6166" s="1" t="n">
        <v>46077.66243055555</v>
      </c>
      <c r="C6166" s="1" t="n">
        <v>46093</v>
      </c>
      <c r="D6166" t="inlineStr">
        <is>
          <t>ÖSTERGÖTLANDS LÄN</t>
        </is>
      </c>
      <c r="E6166" t="inlineStr">
        <is>
          <t>VALDEMARSVIK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23366-2024</t>
        </is>
      </c>
      <c r="B6167" s="1" t="n">
        <v>45453.54733796296</v>
      </c>
      <c r="C6167" s="1" t="n">
        <v>46093</v>
      </c>
      <c r="D6167" t="inlineStr">
        <is>
          <t>ÖSTERGÖTLANDS LÄN</t>
        </is>
      </c>
      <c r="E6167" t="inlineStr">
        <is>
          <t>NORRKÖPING</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23368-2024</t>
        </is>
      </c>
      <c r="B6168" s="1" t="n">
        <v>45453.55123842593</v>
      </c>
      <c r="C6168" s="1" t="n">
        <v>46093</v>
      </c>
      <c r="D6168" t="inlineStr">
        <is>
          <t>ÖSTERGÖTLANDS LÄN</t>
        </is>
      </c>
      <c r="E6168" t="inlineStr">
        <is>
          <t>NORRKÖPING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50749-2024</t>
        </is>
      </c>
      <c r="B6169" s="1" t="n">
        <v>45602.42363425926</v>
      </c>
      <c r="C6169" s="1" t="n">
        <v>46093</v>
      </c>
      <c r="D6169" t="inlineStr">
        <is>
          <t>ÖSTERGÖTLANDS LÄN</t>
        </is>
      </c>
      <c r="E6169" t="inlineStr">
        <is>
          <t>MOTALA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38045-2024</t>
        </is>
      </c>
      <c r="B6170" s="1" t="n">
        <v>45544.68758101852</v>
      </c>
      <c r="C6170" s="1" t="n">
        <v>46093</v>
      </c>
      <c r="D6170" t="inlineStr">
        <is>
          <t>ÖSTERGÖTLANDS LÄN</t>
        </is>
      </c>
      <c r="E6170" t="inlineStr">
        <is>
          <t>YDRE</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22918-2025</t>
        </is>
      </c>
      <c r="B6171" s="1" t="n">
        <v>45790.43162037037</v>
      </c>
      <c r="C6171" s="1" t="n">
        <v>46093</v>
      </c>
      <c r="D6171" t="inlineStr">
        <is>
          <t>ÖSTERGÖTLANDS LÄN</t>
        </is>
      </c>
      <c r="E6171" t="inlineStr">
        <is>
          <t>SÖDERKÖPING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1818-2026</t>
        </is>
      </c>
      <c r="B6172" s="1" t="n">
        <v>46035.35317129629</v>
      </c>
      <c r="C6172" s="1" t="n">
        <v>46093</v>
      </c>
      <c r="D6172" t="inlineStr">
        <is>
          <t>ÖSTERGÖTLANDS LÄN</t>
        </is>
      </c>
      <c r="E6172" t="inlineStr">
        <is>
          <t>KINDA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11149-2024</t>
        </is>
      </c>
      <c r="B6173" s="1" t="n">
        <v>45371</v>
      </c>
      <c r="C6173" s="1" t="n">
        <v>46093</v>
      </c>
      <c r="D6173" t="inlineStr">
        <is>
          <t>ÖSTERGÖTLANDS LÄN</t>
        </is>
      </c>
      <c r="E6173" t="inlineStr">
        <is>
          <t>FINSPÅNG</t>
        </is>
      </c>
      <c r="F6173" t="inlineStr">
        <is>
          <t>Kyrkan</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9997-2025</t>
        </is>
      </c>
      <c r="B6174" s="1" t="n">
        <v>45719.44469907408</v>
      </c>
      <c r="C6174" s="1" t="n">
        <v>46093</v>
      </c>
      <c r="D6174" t="inlineStr">
        <is>
          <t>ÖSTERGÖTLANDS LÄN</t>
        </is>
      </c>
      <c r="E6174" t="inlineStr">
        <is>
          <t>YDRE</t>
        </is>
      </c>
      <c r="F6174" t="inlineStr">
        <is>
          <t>Övriga Aktiebolag</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58678-2024</t>
        </is>
      </c>
      <c r="B6175" s="1" t="n">
        <v>45632</v>
      </c>
      <c r="C6175" s="1" t="n">
        <v>46093</v>
      </c>
      <c r="D6175" t="inlineStr">
        <is>
          <t>ÖSTERGÖTLANDS LÄN</t>
        </is>
      </c>
      <c r="E6175" t="inlineStr">
        <is>
          <t>MOTALA</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10510-2026</t>
        </is>
      </c>
      <c r="B6176" s="1" t="n">
        <v>46077</v>
      </c>
      <c r="C6176" s="1" t="n">
        <v>46093</v>
      </c>
      <c r="D6176" t="inlineStr">
        <is>
          <t>ÖSTERGÖTLANDS LÄN</t>
        </is>
      </c>
      <c r="E6176" t="inlineStr">
        <is>
          <t>MOTALA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1996-2026</t>
        </is>
      </c>
      <c r="B6177" s="1" t="n">
        <v>46035.6759375</v>
      </c>
      <c r="C6177" s="1" t="n">
        <v>46093</v>
      </c>
      <c r="D6177" t="inlineStr">
        <is>
          <t>ÖSTERGÖTLANDS LÄN</t>
        </is>
      </c>
      <c r="E6177" t="inlineStr">
        <is>
          <t>ÅTVIDABERG</t>
        </is>
      </c>
      <c r="G6177" t="n">
        <v>13.5</v>
      </c>
      <c r="H6177" t="n">
        <v>0</v>
      </c>
      <c r="I6177" t="n">
        <v>0</v>
      </c>
      <c r="J6177" t="n">
        <v>0</v>
      </c>
      <c r="K6177" t="n">
        <v>0</v>
      </c>
      <c r="L6177" t="n">
        <v>0</v>
      </c>
      <c r="M6177" t="n">
        <v>0</v>
      </c>
      <c r="N6177" t="n">
        <v>0</v>
      </c>
      <c r="O6177" t="n">
        <v>0</v>
      </c>
      <c r="P6177" t="n">
        <v>0</v>
      </c>
      <c r="Q6177" t="n">
        <v>0</v>
      </c>
      <c r="R6177" s="2" t="inlineStr"/>
    </row>
    <row r="6178" ht="15" customHeight="1">
      <c r="A6178" t="inlineStr">
        <is>
          <t>A 6859-2024</t>
        </is>
      </c>
      <c r="B6178" s="1" t="n">
        <v>45342</v>
      </c>
      <c r="C6178" s="1" t="n">
        <v>46093</v>
      </c>
      <c r="D6178" t="inlineStr">
        <is>
          <t>ÖSTERGÖTLANDS LÄN</t>
        </is>
      </c>
      <c r="E6178" t="inlineStr">
        <is>
          <t>LINKÖPING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22439-2025</t>
        </is>
      </c>
      <c r="B6179" s="1" t="n">
        <v>45786</v>
      </c>
      <c r="C6179" s="1" t="n">
        <v>46093</v>
      </c>
      <c r="D6179" t="inlineStr">
        <is>
          <t>ÖSTERGÖTLANDS LÄN</t>
        </is>
      </c>
      <c r="E6179" t="inlineStr">
        <is>
          <t>NORRKÖPING</t>
        </is>
      </c>
      <c r="F6179" t="inlineStr">
        <is>
          <t>Naturvårdsverket</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9729-2023</t>
        </is>
      </c>
      <c r="B6180" s="1" t="n">
        <v>44984</v>
      </c>
      <c r="C6180" s="1" t="n">
        <v>46093</v>
      </c>
      <c r="D6180" t="inlineStr">
        <is>
          <t>ÖSTERGÖTLANDS LÄN</t>
        </is>
      </c>
      <c r="E6180" t="inlineStr">
        <is>
          <t>SÖDERKÖPING</t>
        </is>
      </c>
      <c r="G6180" t="n">
        <v>13.8</v>
      </c>
      <c r="H6180" t="n">
        <v>0</v>
      </c>
      <c r="I6180" t="n">
        <v>0</v>
      </c>
      <c r="J6180" t="n">
        <v>0</v>
      </c>
      <c r="K6180" t="n">
        <v>0</v>
      </c>
      <c r="L6180" t="n">
        <v>0</v>
      </c>
      <c r="M6180" t="n">
        <v>0</v>
      </c>
      <c r="N6180" t="n">
        <v>0</v>
      </c>
      <c r="O6180" t="n">
        <v>0</v>
      </c>
      <c r="P6180" t="n">
        <v>0</v>
      </c>
      <c r="Q6180" t="n">
        <v>0</v>
      </c>
      <c r="R6180" s="2" t="inlineStr"/>
    </row>
    <row r="6181" ht="15" customHeight="1">
      <c r="A6181" t="inlineStr">
        <is>
          <t>A 22613-2025</t>
        </is>
      </c>
      <c r="B6181" s="1" t="n">
        <v>45789.42597222222</v>
      </c>
      <c r="C6181" s="1" t="n">
        <v>46093</v>
      </c>
      <c r="D6181" t="inlineStr">
        <is>
          <t>ÖSTERGÖTLANDS LÄN</t>
        </is>
      </c>
      <c r="E6181" t="inlineStr">
        <is>
          <t>NORRKÖPING</t>
        </is>
      </c>
      <c r="G6181" t="n">
        <v>7.5</v>
      </c>
      <c r="H6181" t="n">
        <v>0</v>
      </c>
      <c r="I6181" t="n">
        <v>0</v>
      </c>
      <c r="J6181" t="n">
        <v>0</v>
      </c>
      <c r="K6181" t="n">
        <v>0</v>
      </c>
      <c r="L6181" t="n">
        <v>0</v>
      </c>
      <c r="M6181" t="n">
        <v>0</v>
      </c>
      <c r="N6181" t="n">
        <v>0</v>
      </c>
      <c r="O6181" t="n">
        <v>0</v>
      </c>
      <c r="P6181" t="n">
        <v>0</v>
      </c>
      <c r="Q6181" t="n">
        <v>0</v>
      </c>
      <c r="R6181" s="2" t="inlineStr"/>
    </row>
    <row r="6182" ht="15" customHeight="1">
      <c r="A6182" t="inlineStr">
        <is>
          <t>A 38580-2024</t>
        </is>
      </c>
      <c r="B6182" s="1" t="n">
        <v>45546.64825231482</v>
      </c>
      <c r="C6182" s="1" t="n">
        <v>46093</v>
      </c>
      <c r="D6182" t="inlineStr">
        <is>
          <t>ÖSTERGÖTLANDS LÄN</t>
        </is>
      </c>
      <c r="E6182" t="inlineStr">
        <is>
          <t>LINKÖPING</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2841-2026</t>
        </is>
      </c>
      <c r="B6183" s="1" t="n">
        <v>46036</v>
      </c>
      <c r="C6183" s="1" t="n">
        <v>46093</v>
      </c>
      <c r="D6183" t="inlineStr">
        <is>
          <t>ÖSTERGÖTLANDS LÄN</t>
        </is>
      </c>
      <c r="E6183" t="inlineStr">
        <is>
          <t>NORRKÖPING</t>
        </is>
      </c>
      <c r="F6183" t="inlineStr">
        <is>
          <t>Allmännings- och besparingsskogar</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10479-2026</t>
        </is>
      </c>
      <c r="B6184" s="1" t="n">
        <v>46077.49231481482</v>
      </c>
      <c r="C6184" s="1" t="n">
        <v>46093</v>
      </c>
      <c r="D6184" t="inlineStr">
        <is>
          <t>ÖSTERGÖTLANDS LÄN</t>
        </is>
      </c>
      <c r="E6184" t="inlineStr">
        <is>
          <t>LINKÖPING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421-2022</t>
        </is>
      </c>
      <c r="B6185" s="1" t="n">
        <v>44565</v>
      </c>
      <c r="C6185" s="1" t="n">
        <v>46093</v>
      </c>
      <c r="D6185" t="inlineStr">
        <is>
          <t>ÖSTERGÖTLANDS LÄN</t>
        </is>
      </c>
      <c r="E6185" t="inlineStr">
        <is>
          <t>NORRKÖPING</t>
        </is>
      </c>
      <c r="F6185" t="inlineStr">
        <is>
          <t>Allmännings- och besparingsskogar</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34661-2024</t>
        </is>
      </c>
      <c r="B6186" s="1" t="n">
        <v>45526</v>
      </c>
      <c r="C6186" s="1" t="n">
        <v>46093</v>
      </c>
      <c r="D6186" t="inlineStr">
        <is>
          <t>ÖSTERGÖTLANDS LÄN</t>
        </is>
      </c>
      <c r="E6186" t="inlineStr">
        <is>
          <t>KINDA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2288-2024</t>
        </is>
      </c>
      <c r="B6187" s="1" t="n">
        <v>45310.41982638889</v>
      </c>
      <c r="C6187" s="1" t="n">
        <v>46093</v>
      </c>
      <c r="D6187" t="inlineStr">
        <is>
          <t>ÖSTERGÖTLANDS LÄN</t>
        </is>
      </c>
      <c r="E6187" t="inlineStr">
        <is>
          <t>NORRKÖPING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31315-2024</t>
        </is>
      </c>
      <c r="B6188" s="1" t="n">
        <v>45504</v>
      </c>
      <c r="C6188" s="1" t="n">
        <v>46093</v>
      </c>
      <c r="D6188" t="inlineStr">
        <is>
          <t>ÖSTERGÖTLANDS LÄN</t>
        </is>
      </c>
      <c r="E6188" t="inlineStr">
        <is>
          <t>SÖDERKÖPING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572-2025</t>
        </is>
      </c>
      <c r="B6189" s="1" t="n">
        <v>45664.56349537037</v>
      </c>
      <c r="C6189" s="1" t="n">
        <v>46093</v>
      </c>
      <c r="D6189" t="inlineStr">
        <is>
          <t>ÖSTERGÖTLANDS LÄN</t>
        </is>
      </c>
      <c r="E6189" t="inlineStr">
        <is>
          <t>LINKÖPING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22364-2025</t>
        </is>
      </c>
      <c r="B6190" s="1" t="n">
        <v>45786.46930555555</v>
      </c>
      <c r="C6190" s="1" t="n">
        <v>46093</v>
      </c>
      <c r="D6190" t="inlineStr">
        <is>
          <t>ÖSTERGÖTLANDS LÄN</t>
        </is>
      </c>
      <c r="E6190" t="inlineStr">
        <is>
          <t>LINKÖPING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10485-2026</t>
        </is>
      </c>
      <c r="B6191" s="1" t="n">
        <v>46077.5118287037</v>
      </c>
      <c r="C6191" s="1" t="n">
        <v>46093</v>
      </c>
      <c r="D6191" t="inlineStr">
        <is>
          <t>ÖSTERGÖTLANDS LÄN</t>
        </is>
      </c>
      <c r="E6191" t="inlineStr">
        <is>
          <t>FINSPÅNG</t>
        </is>
      </c>
      <c r="F6191" t="inlineStr">
        <is>
          <t>Kyrkan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44287-2024</t>
        </is>
      </c>
      <c r="B6192" s="1" t="n">
        <v>45573.50582175926</v>
      </c>
      <c r="C6192" s="1" t="n">
        <v>46093</v>
      </c>
      <c r="D6192" t="inlineStr">
        <is>
          <t>ÖSTERGÖTLANDS LÄN</t>
        </is>
      </c>
      <c r="E6192" t="inlineStr">
        <is>
          <t>LINKÖPING</t>
        </is>
      </c>
      <c r="G6192" t="n">
        <v>12.7</v>
      </c>
      <c r="H6192" t="n">
        <v>0</v>
      </c>
      <c r="I6192" t="n">
        <v>0</v>
      </c>
      <c r="J6192" t="n">
        <v>0</v>
      </c>
      <c r="K6192" t="n">
        <v>0</v>
      </c>
      <c r="L6192" t="n">
        <v>0</v>
      </c>
      <c r="M6192" t="n">
        <v>0</v>
      </c>
      <c r="N6192" t="n">
        <v>0</v>
      </c>
      <c r="O6192" t="n">
        <v>0</v>
      </c>
      <c r="P6192" t="n">
        <v>0</v>
      </c>
      <c r="Q6192" t="n">
        <v>0</v>
      </c>
      <c r="R6192" s="2" t="inlineStr"/>
    </row>
    <row r="6193" ht="15" customHeight="1">
      <c r="A6193" t="inlineStr">
        <is>
          <t>A 11033-2026</t>
        </is>
      </c>
      <c r="B6193" s="1" t="n">
        <v>46079.57361111111</v>
      </c>
      <c r="C6193" s="1" t="n">
        <v>46093</v>
      </c>
      <c r="D6193" t="inlineStr">
        <is>
          <t>ÖSTERGÖTLANDS LÄN</t>
        </is>
      </c>
      <c r="E6193" t="inlineStr">
        <is>
          <t>LINKÖPING</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260-2026</t>
        </is>
      </c>
      <c r="B6194" s="1" t="n">
        <v>46027.44552083333</v>
      </c>
      <c r="C6194" s="1" t="n">
        <v>46093</v>
      </c>
      <c r="D6194" t="inlineStr">
        <is>
          <t>ÖSTERGÖTLANDS LÄN</t>
        </is>
      </c>
      <c r="E6194" t="inlineStr">
        <is>
          <t>VALDEMARSVIK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22881-2025</t>
        </is>
      </c>
      <c r="B6195" s="1" t="n">
        <v>45790</v>
      </c>
      <c r="C6195" s="1" t="n">
        <v>46093</v>
      </c>
      <c r="D6195" t="inlineStr">
        <is>
          <t>ÖSTERGÖTLANDS LÄN</t>
        </is>
      </c>
      <c r="E6195" t="inlineStr">
        <is>
          <t>NORRKÖPING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11064-2026</t>
        </is>
      </c>
      <c r="B6196" s="1" t="n">
        <v>46079.6046875</v>
      </c>
      <c r="C6196" s="1" t="n">
        <v>46093</v>
      </c>
      <c r="D6196" t="inlineStr">
        <is>
          <t>ÖSTERGÖTLANDS LÄN</t>
        </is>
      </c>
      <c r="E6196" t="inlineStr">
        <is>
          <t>MJÖLBY</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50818-2023</t>
        </is>
      </c>
      <c r="B6197" s="1" t="n">
        <v>45217</v>
      </c>
      <c r="C6197" s="1" t="n">
        <v>46093</v>
      </c>
      <c r="D6197" t="inlineStr">
        <is>
          <t>ÖSTERGÖTLANDS LÄN</t>
        </is>
      </c>
      <c r="E6197" t="inlineStr">
        <is>
          <t>ÖDESHÖG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11183-2026</t>
        </is>
      </c>
      <c r="B6198" s="1" t="n">
        <v>46080.39516203704</v>
      </c>
      <c r="C6198" s="1" t="n">
        <v>46093</v>
      </c>
      <c r="D6198" t="inlineStr">
        <is>
          <t>ÖSTERGÖTLANDS LÄN</t>
        </is>
      </c>
      <c r="E6198" t="inlineStr">
        <is>
          <t>KINDA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22804-2025</t>
        </is>
      </c>
      <c r="B6199" s="1" t="n">
        <v>45789.67196759259</v>
      </c>
      <c r="C6199" s="1" t="n">
        <v>46093</v>
      </c>
      <c r="D6199" t="inlineStr">
        <is>
          <t>ÖSTERGÖTLANDS LÄN</t>
        </is>
      </c>
      <c r="E6199" t="inlineStr">
        <is>
          <t>KINDA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11036-2026</t>
        </is>
      </c>
      <c r="B6200" s="1" t="n">
        <v>46079.57836805555</v>
      </c>
      <c r="C6200" s="1" t="n">
        <v>46093</v>
      </c>
      <c r="D6200" t="inlineStr">
        <is>
          <t>ÖSTERGÖTLANDS LÄN</t>
        </is>
      </c>
      <c r="E6200" t="inlineStr">
        <is>
          <t>LINKÖPING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2484-2026</t>
        </is>
      </c>
      <c r="B6201" s="1" t="n">
        <v>46037.38564814815</v>
      </c>
      <c r="C6201" s="1" t="n">
        <v>46093</v>
      </c>
      <c r="D6201" t="inlineStr">
        <is>
          <t>ÖSTERGÖTLANDS LÄN</t>
        </is>
      </c>
      <c r="E6201" t="inlineStr">
        <is>
          <t>NORRKÖPING</t>
        </is>
      </c>
      <c r="F6201" t="inlineStr">
        <is>
          <t>Holmen skog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11244-2026</t>
        </is>
      </c>
      <c r="B6202" s="1" t="n">
        <v>46080.53275462963</v>
      </c>
      <c r="C6202" s="1" t="n">
        <v>46093</v>
      </c>
      <c r="D6202" t="inlineStr">
        <is>
          <t>ÖSTERGÖTLANDS LÄN</t>
        </is>
      </c>
      <c r="E6202" t="inlineStr">
        <is>
          <t>FINSPÅNG</t>
        </is>
      </c>
      <c r="F6202" t="inlineStr">
        <is>
          <t>Holmen skog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3045-2026</t>
        </is>
      </c>
      <c r="B6203" s="1" t="n">
        <v>46038.74047453704</v>
      </c>
      <c r="C6203" s="1" t="n">
        <v>46093</v>
      </c>
      <c r="D6203" t="inlineStr">
        <is>
          <t>ÖSTERGÖTLANDS LÄN</t>
        </is>
      </c>
      <c r="E6203" t="inlineStr">
        <is>
          <t>LINKÖPING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23114-2025</t>
        </is>
      </c>
      <c r="B6204" s="1" t="n">
        <v>45791.36858796296</v>
      </c>
      <c r="C6204" s="1" t="n">
        <v>46093</v>
      </c>
      <c r="D6204" t="inlineStr">
        <is>
          <t>ÖSTERGÖTLANDS LÄN</t>
        </is>
      </c>
      <c r="E6204" t="inlineStr">
        <is>
          <t>MJÖLBY</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23181-2025</t>
        </is>
      </c>
      <c r="B6205" s="1" t="n">
        <v>45791.4412037037</v>
      </c>
      <c r="C6205" s="1" t="n">
        <v>46093</v>
      </c>
      <c r="D6205" t="inlineStr">
        <is>
          <t>ÖSTERGÖTLANDS LÄN</t>
        </is>
      </c>
      <c r="E6205" t="inlineStr">
        <is>
          <t>MOTALA</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2832-2026</t>
        </is>
      </c>
      <c r="B6206" s="1" t="n">
        <v>46038.4565162037</v>
      </c>
      <c r="C6206" s="1" t="n">
        <v>46093</v>
      </c>
      <c r="D6206" t="inlineStr">
        <is>
          <t>ÖSTERGÖTLANDS LÄN</t>
        </is>
      </c>
      <c r="E6206" t="inlineStr">
        <is>
          <t>NORRKÖPING</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2934-2026</t>
        </is>
      </c>
      <c r="B6207" s="1" t="n">
        <v>46038.58539351852</v>
      </c>
      <c r="C6207" s="1" t="n">
        <v>46093</v>
      </c>
      <c r="D6207" t="inlineStr">
        <is>
          <t>ÖSTERGÖTLANDS LÄN</t>
        </is>
      </c>
      <c r="E6207" t="inlineStr">
        <is>
          <t>NORRKÖPING</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11031-2026</t>
        </is>
      </c>
      <c r="B6208" s="1" t="n">
        <v>46079.5712037037</v>
      </c>
      <c r="C6208" s="1" t="n">
        <v>46093</v>
      </c>
      <c r="D6208" t="inlineStr">
        <is>
          <t>ÖSTERGÖTLANDS LÄN</t>
        </is>
      </c>
      <c r="E6208" t="inlineStr">
        <is>
          <t>NORRKÖPING</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11145-2026</t>
        </is>
      </c>
      <c r="B6209" s="1" t="n">
        <v>46080.21711805555</v>
      </c>
      <c r="C6209" s="1" t="n">
        <v>46093</v>
      </c>
      <c r="D6209" t="inlineStr">
        <is>
          <t>ÖSTERGÖTLANDS LÄN</t>
        </is>
      </c>
      <c r="E6209" t="inlineStr">
        <is>
          <t>MOTALA</t>
        </is>
      </c>
      <c r="F6209" t="inlineStr">
        <is>
          <t>Kyrkan</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11211-2026</t>
        </is>
      </c>
      <c r="B6210" s="1" t="n">
        <v>46080.46263888889</v>
      </c>
      <c r="C6210" s="1" t="n">
        <v>46093</v>
      </c>
      <c r="D6210" t="inlineStr">
        <is>
          <t>ÖSTERGÖTLANDS LÄN</t>
        </is>
      </c>
      <c r="E6210" t="inlineStr">
        <is>
          <t>FINSPÅNG</t>
        </is>
      </c>
      <c r="F6210" t="inlineStr">
        <is>
          <t>Holmen skog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11005-2026</t>
        </is>
      </c>
      <c r="B6211" s="1" t="n">
        <v>46079.50762731482</v>
      </c>
      <c r="C6211" s="1" t="n">
        <v>46093</v>
      </c>
      <c r="D6211" t="inlineStr">
        <is>
          <t>ÖSTERGÖTLANDS LÄN</t>
        </is>
      </c>
      <c r="E6211" t="inlineStr">
        <is>
          <t>SÖDERKÖPING</t>
        </is>
      </c>
      <c r="F6211" t="inlineStr">
        <is>
          <t>Kyrkan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11057-2026</t>
        </is>
      </c>
      <c r="B6212" s="1" t="n">
        <v>46079.59515046296</v>
      </c>
      <c r="C6212" s="1" t="n">
        <v>46093</v>
      </c>
      <c r="D6212" t="inlineStr">
        <is>
          <t>ÖSTERGÖTLANDS LÄN</t>
        </is>
      </c>
      <c r="E6212" t="inlineStr">
        <is>
          <t>LINKÖPING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22749-2025</t>
        </is>
      </c>
      <c r="B6213" s="1" t="n">
        <v>45789.60962962963</v>
      </c>
      <c r="C6213" s="1" t="n">
        <v>46093</v>
      </c>
      <c r="D6213" t="inlineStr">
        <is>
          <t>ÖSTERGÖTLANDS LÄN</t>
        </is>
      </c>
      <c r="E6213" t="inlineStr">
        <is>
          <t>YDRE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11146-2026</t>
        </is>
      </c>
      <c r="B6214" s="1" t="n">
        <v>46080.22765046296</v>
      </c>
      <c r="C6214" s="1" t="n">
        <v>46093</v>
      </c>
      <c r="D6214" t="inlineStr">
        <is>
          <t>ÖSTERGÖTLANDS LÄN</t>
        </is>
      </c>
      <c r="E6214" t="inlineStr">
        <is>
          <t>FINSPÅNG</t>
        </is>
      </c>
      <c r="F6214" t="inlineStr">
        <is>
          <t>Kyrkan</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11318-2026</t>
        </is>
      </c>
      <c r="B6215" s="1" t="n">
        <v>46080.68768518518</v>
      </c>
      <c r="C6215" s="1" t="n">
        <v>46093</v>
      </c>
      <c r="D6215" t="inlineStr">
        <is>
          <t>ÖSTERGÖTLANDS LÄN</t>
        </is>
      </c>
      <c r="E6215" t="inlineStr">
        <is>
          <t>MOTALA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11320-2026</t>
        </is>
      </c>
      <c r="B6216" s="1" t="n">
        <v>46080.69315972222</v>
      </c>
      <c r="C6216" s="1" t="n">
        <v>46093</v>
      </c>
      <c r="D6216" t="inlineStr">
        <is>
          <t>ÖSTERGÖTLANDS LÄN</t>
        </is>
      </c>
      <c r="E6216" t="inlineStr">
        <is>
          <t>MOTALA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11319-2026</t>
        </is>
      </c>
      <c r="B6217" s="1" t="n">
        <v>46080.69086805556</v>
      </c>
      <c r="C6217" s="1" t="n">
        <v>46093</v>
      </c>
      <c r="D6217" t="inlineStr">
        <is>
          <t>ÖSTERGÖTLANDS LÄN</t>
        </is>
      </c>
      <c r="E6217" t="inlineStr">
        <is>
          <t>MOTALA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23437-2025</t>
        </is>
      </c>
      <c r="B6218" s="1" t="n">
        <v>45792.37238425926</v>
      </c>
      <c r="C6218" s="1" t="n">
        <v>46093</v>
      </c>
      <c r="D6218" t="inlineStr">
        <is>
          <t>ÖSTERGÖTLANDS LÄN</t>
        </is>
      </c>
      <c r="E6218" t="inlineStr">
        <is>
          <t>KINDA</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11041-2026</t>
        </is>
      </c>
      <c r="B6219" s="1" t="n">
        <v>46079.58229166667</v>
      </c>
      <c r="C6219" s="1" t="n">
        <v>46093</v>
      </c>
      <c r="D6219" t="inlineStr">
        <is>
          <t>ÖSTERGÖTLANDS LÄN</t>
        </is>
      </c>
      <c r="E6219" t="inlineStr">
        <is>
          <t>NORRKÖPING</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29312-2024</t>
        </is>
      </c>
      <c r="B6220" s="1" t="n">
        <v>45483</v>
      </c>
      <c r="C6220" s="1" t="n">
        <v>46093</v>
      </c>
      <c r="D6220" t="inlineStr">
        <is>
          <t>ÖSTERGÖTLANDS LÄN</t>
        </is>
      </c>
      <c r="E6220" t="inlineStr">
        <is>
          <t>LINKÖPING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11315-2026</t>
        </is>
      </c>
      <c r="B6221" s="1" t="n">
        <v>46080.68115740741</v>
      </c>
      <c r="C6221" s="1" t="n">
        <v>46093</v>
      </c>
      <c r="D6221" t="inlineStr">
        <is>
          <t>ÖSTERGÖTLANDS LÄN</t>
        </is>
      </c>
      <c r="E6221" t="inlineStr">
        <is>
          <t>MOTALA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11317-2026</t>
        </is>
      </c>
      <c r="B6222" s="1" t="n">
        <v>46080.68550925926</v>
      </c>
      <c r="C6222" s="1" t="n">
        <v>46093</v>
      </c>
      <c r="D6222" t="inlineStr">
        <is>
          <t>ÖSTERGÖTLANDS LÄN</t>
        </is>
      </c>
      <c r="E6222" t="inlineStr">
        <is>
          <t>MOTALA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13690-2024</t>
        </is>
      </c>
      <c r="B6223" s="1" t="n">
        <v>45390.5737037037</v>
      </c>
      <c r="C6223" s="1" t="n">
        <v>46093</v>
      </c>
      <c r="D6223" t="inlineStr">
        <is>
          <t>ÖSTERGÖTLANDS LÄN</t>
        </is>
      </c>
      <c r="E6223" t="inlineStr">
        <is>
          <t>MOTALA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23451-2025</t>
        </is>
      </c>
      <c r="B6224" s="1" t="n">
        <v>45792.41533564815</v>
      </c>
      <c r="C6224" s="1" t="n">
        <v>46093</v>
      </c>
      <c r="D6224" t="inlineStr">
        <is>
          <t>ÖSTERGÖTLANDS LÄN</t>
        </is>
      </c>
      <c r="E6224" t="inlineStr">
        <is>
          <t>SÖDERKÖPING</t>
        </is>
      </c>
      <c r="G6224" t="n">
        <v>12.2</v>
      </c>
      <c r="H6224" t="n">
        <v>0</v>
      </c>
      <c r="I6224" t="n">
        <v>0</v>
      </c>
      <c r="J6224" t="n">
        <v>0</v>
      </c>
      <c r="K6224" t="n">
        <v>0</v>
      </c>
      <c r="L6224" t="n">
        <v>0</v>
      </c>
      <c r="M6224" t="n">
        <v>0</v>
      </c>
      <c r="N6224" t="n">
        <v>0</v>
      </c>
      <c r="O6224" t="n">
        <v>0</v>
      </c>
      <c r="P6224" t="n">
        <v>0</v>
      </c>
      <c r="Q6224" t="n">
        <v>0</v>
      </c>
      <c r="R6224" s="2" t="inlineStr"/>
    </row>
    <row r="6225" ht="15" customHeight="1">
      <c r="A6225" t="inlineStr">
        <is>
          <t>A 3044-2026</t>
        </is>
      </c>
      <c r="B6225" s="1" t="n">
        <v>46038.73855324074</v>
      </c>
      <c r="C6225" s="1" t="n">
        <v>46093</v>
      </c>
      <c r="D6225" t="inlineStr">
        <is>
          <t>ÖSTERGÖTLANDS LÄN</t>
        </is>
      </c>
      <c r="E6225" t="inlineStr">
        <is>
          <t>LINKÖPING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7612-2026</t>
        </is>
      </c>
      <c r="B6226" s="1" t="n">
        <v>46062.32478009259</v>
      </c>
      <c r="C6226" s="1" t="n">
        <v>46093</v>
      </c>
      <c r="D6226" t="inlineStr">
        <is>
          <t>ÖSTERGÖTLANDS LÄN</t>
        </is>
      </c>
      <c r="E6226" t="inlineStr">
        <is>
          <t>MOTALA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10414-2024</t>
        </is>
      </c>
      <c r="B6227" s="1" t="n">
        <v>45365.70960648148</v>
      </c>
      <c r="C6227" s="1" t="n">
        <v>46093</v>
      </c>
      <c r="D6227" t="inlineStr">
        <is>
          <t>ÖSTERGÖTLANDS LÄN</t>
        </is>
      </c>
      <c r="E6227" t="inlineStr">
        <is>
          <t>YDRE</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11063-2026</t>
        </is>
      </c>
      <c r="B6228" s="1" t="n">
        <v>46079.601875</v>
      </c>
      <c r="C6228" s="1" t="n">
        <v>46093</v>
      </c>
      <c r="D6228" t="inlineStr">
        <is>
          <t>ÖSTERGÖTLANDS LÄN</t>
        </is>
      </c>
      <c r="E6228" t="inlineStr">
        <is>
          <t>FINSPÅNG</t>
        </is>
      </c>
      <c r="F6228" t="inlineStr">
        <is>
          <t>Holmen skog AB</t>
        </is>
      </c>
      <c r="G6228" t="n">
        <v>11.8</v>
      </c>
      <c r="H6228" t="n">
        <v>0</v>
      </c>
      <c r="I6228" t="n">
        <v>0</v>
      </c>
      <c r="J6228" t="n">
        <v>0</v>
      </c>
      <c r="K6228" t="n">
        <v>0</v>
      </c>
      <c r="L6228" t="n">
        <v>0</v>
      </c>
      <c r="M6228" t="n">
        <v>0</v>
      </c>
      <c r="N6228" t="n">
        <v>0</v>
      </c>
      <c r="O6228" t="n">
        <v>0</v>
      </c>
      <c r="P6228" t="n">
        <v>0</v>
      </c>
      <c r="Q6228" t="n">
        <v>0</v>
      </c>
      <c r="R6228" s="2" t="inlineStr"/>
    </row>
    <row r="6229" ht="15" customHeight="1">
      <c r="A6229" t="inlineStr">
        <is>
          <t>A 2749-2024</t>
        </is>
      </c>
      <c r="B6229" s="1" t="n">
        <v>45314.580625</v>
      </c>
      <c r="C6229" s="1" t="n">
        <v>46093</v>
      </c>
      <c r="D6229" t="inlineStr">
        <is>
          <t>ÖSTERGÖTLANDS LÄN</t>
        </is>
      </c>
      <c r="E6229" t="inlineStr">
        <is>
          <t>MJÖLBY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23452-2025</t>
        </is>
      </c>
      <c r="B6230" s="1" t="n">
        <v>45792.42109953704</v>
      </c>
      <c r="C6230" s="1" t="n">
        <v>46093</v>
      </c>
      <c r="D6230" t="inlineStr">
        <is>
          <t>ÖSTERGÖTLANDS LÄN</t>
        </is>
      </c>
      <c r="E6230" t="inlineStr">
        <is>
          <t>NORRKÖPING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23372-2025</t>
        </is>
      </c>
      <c r="B6231" s="1" t="n">
        <v>45791</v>
      </c>
      <c r="C6231" s="1" t="n">
        <v>46093</v>
      </c>
      <c r="D6231" t="inlineStr">
        <is>
          <t>ÖSTERGÖTLANDS LÄN</t>
        </is>
      </c>
      <c r="E6231" t="inlineStr">
        <is>
          <t>KINDA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2745-2026</t>
        </is>
      </c>
      <c r="B6232" s="1" t="n">
        <v>46038.31065972222</v>
      </c>
      <c r="C6232" s="1" t="n">
        <v>46093</v>
      </c>
      <c r="D6232" t="inlineStr">
        <is>
          <t>ÖSTERGÖTLANDS LÄN</t>
        </is>
      </c>
      <c r="E6232" t="inlineStr">
        <is>
          <t>YDRE</t>
        </is>
      </c>
      <c r="F6232" t="inlineStr">
        <is>
          <t>Övriga Aktiebolag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23440-2025</t>
        </is>
      </c>
      <c r="B6233" s="1" t="n">
        <v>45792.37668981482</v>
      </c>
      <c r="C6233" s="1" t="n">
        <v>46093</v>
      </c>
      <c r="D6233" t="inlineStr">
        <is>
          <t>ÖSTERGÖTLANDS LÄN</t>
        </is>
      </c>
      <c r="E6233" t="inlineStr">
        <is>
          <t>FINSPÅNG</t>
        </is>
      </c>
      <c r="F6233" t="inlineStr">
        <is>
          <t>Holmen skog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11231-2026</t>
        </is>
      </c>
      <c r="B6234" s="1" t="n">
        <v>46080.49003472222</v>
      </c>
      <c r="C6234" s="1" t="n">
        <v>46093</v>
      </c>
      <c r="D6234" t="inlineStr">
        <is>
          <t>ÖSTERGÖTLANDS LÄN</t>
        </is>
      </c>
      <c r="E6234" t="inlineStr">
        <is>
          <t>KINDA</t>
        </is>
      </c>
      <c r="F6234" t="inlineStr">
        <is>
          <t>Kommuner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23456-2025</t>
        </is>
      </c>
      <c r="B6235" s="1" t="n">
        <v>45792.42542824074</v>
      </c>
      <c r="C6235" s="1" t="n">
        <v>46093</v>
      </c>
      <c r="D6235" t="inlineStr">
        <is>
          <t>ÖSTERGÖTLANDS LÄN</t>
        </is>
      </c>
      <c r="E6235" t="inlineStr">
        <is>
          <t>NORRKÖPING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11169-2026</t>
        </is>
      </c>
      <c r="B6236" s="1" t="n">
        <v>46080.37020833333</v>
      </c>
      <c r="C6236" s="1" t="n">
        <v>46093</v>
      </c>
      <c r="D6236" t="inlineStr">
        <is>
          <t>ÖSTERGÖTLANDS LÄN</t>
        </is>
      </c>
      <c r="E6236" t="inlineStr">
        <is>
          <t>LINKÖPING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11251-2026</t>
        </is>
      </c>
      <c r="B6237" s="1" t="n">
        <v>46080.54304398148</v>
      </c>
      <c r="C6237" s="1" t="n">
        <v>46093</v>
      </c>
      <c r="D6237" t="inlineStr">
        <is>
          <t>ÖSTERGÖTLANDS LÄN</t>
        </is>
      </c>
      <c r="E6237" t="inlineStr">
        <is>
          <t>FINSPÅNG</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11304-2026</t>
        </is>
      </c>
      <c r="B6238" s="1" t="n">
        <v>46080.63650462963</v>
      </c>
      <c r="C6238" s="1" t="n">
        <v>46093</v>
      </c>
      <c r="D6238" t="inlineStr">
        <is>
          <t>ÖSTERGÖTLANDS LÄN</t>
        </is>
      </c>
      <c r="E6238" t="inlineStr">
        <is>
          <t>BOXHOLM</t>
        </is>
      </c>
      <c r="F6238" t="inlineStr">
        <is>
          <t>Allmännings- och besparingsskogar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3043-2026</t>
        </is>
      </c>
      <c r="B6239" s="1" t="n">
        <v>46038.73675925926</v>
      </c>
      <c r="C6239" s="1" t="n">
        <v>46093</v>
      </c>
      <c r="D6239" t="inlineStr">
        <is>
          <t>ÖSTERGÖTLANDS LÄN</t>
        </is>
      </c>
      <c r="E6239" t="inlineStr">
        <is>
          <t>LINKÖPING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51648-2023</t>
        </is>
      </c>
      <c r="B6240" s="1" t="n">
        <v>45222</v>
      </c>
      <c r="C6240" s="1" t="n">
        <v>46093</v>
      </c>
      <c r="D6240" t="inlineStr">
        <is>
          <t>ÖSTERGÖTLANDS LÄN</t>
        </is>
      </c>
      <c r="E6240" t="inlineStr">
        <is>
          <t>MOTALA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2816-2026</t>
        </is>
      </c>
      <c r="B6241" s="1" t="n">
        <v>46038</v>
      </c>
      <c r="C6241" s="1" t="n">
        <v>46093</v>
      </c>
      <c r="D6241" t="inlineStr">
        <is>
          <t>ÖSTERGÖTLANDS LÄN</t>
        </is>
      </c>
      <c r="E6241" t="inlineStr">
        <is>
          <t>SÖDERKÖPING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23120-2025</t>
        </is>
      </c>
      <c r="B6242" s="1" t="n">
        <v>45791.37481481482</v>
      </c>
      <c r="C6242" s="1" t="n">
        <v>46093</v>
      </c>
      <c r="D6242" t="inlineStr">
        <is>
          <t>ÖSTERGÖTLANDS LÄN</t>
        </is>
      </c>
      <c r="E6242" t="inlineStr">
        <is>
          <t>LINKÖPING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57284-2024</t>
        </is>
      </c>
      <c r="B6243" s="1" t="n">
        <v>45629.58258101852</v>
      </c>
      <c r="C6243" s="1" t="n">
        <v>46093</v>
      </c>
      <c r="D6243" t="inlineStr">
        <is>
          <t>ÖSTERGÖTLANDS LÄN</t>
        </is>
      </c>
      <c r="E6243" t="inlineStr">
        <is>
          <t>MJÖLBY</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7358-2026</t>
        </is>
      </c>
      <c r="B6244" s="1" t="n">
        <v>46058.70769675926</v>
      </c>
      <c r="C6244" s="1" t="n">
        <v>46093</v>
      </c>
      <c r="D6244" t="inlineStr">
        <is>
          <t>ÖSTERGÖTLANDS LÄN</t>
        </is>
      </c>
      <c r="E6244" t="inlineStr">
        <is>
          <t>MOTALA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3046-2026</t>
        </is>
      </c>
      <c r="B6245" s="1" t="n">
        <v>46038.74182870371</v>
      </c>
      <c r="C6245" s="1" t="n">
        <v>46093</v>
      </c>
      <c r="D6245" t="inlineStr">
        <is>
          <t>ÖSTERGÖTLANDS LÄN</t>
        </is>
      </c>
      <c r="E6245" t="inlineStr">
        <is>
          <t>LINKÖPING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6277-2026</t>
        </is>
      </c>
      <c r="B6246" s="1" t="n">
        <v>46055.5268287037</v>
      </c>
      <c r="C6246" s="1" t="n">
        <v>46093</v>
      </c>
      <c r="D6246" t="inlineStr">
        <is>
          <t>ÖSTERGÖTLANDS LÄN</t>
        </is>
      </c>
      <c r="E6246" t="inlineStr">
        <is>
          <t>MOTALA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11248-2026</t>
        </is>
      </c>
      <c r="B6247" s="1" t="n">
        <v>46080.53869212963</v>
      </c>
      <c r="C6247" s="1" t="n">
        <v>46093</v>
      </c>
      <c r="D6247" t="inlineStr">
        <is>
          <t>ÖSTERGÖTLANDS LÄN</t>
        </is>
      </c>
      <c r="E6247" t="inlineStr">
        <is>
          <t>FINSPÅNG</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11126-2026</t>
        </is>
      </c>
      <c r="B6248" s="1" t="n">
        <v>46079.69081018519</v>
      </c>
      <c r="C6248" s="1" t="n">
        <v>46093</v>
      </c>
      <c r="D6248" t="inlineStr">
        <is>
          <t>ÖSTERGÖTLANDS LÄN</t>
        </is>
      </c>
      <c r="E6248" t="inlineStr">
        <is>
          <t>NORRKÖPING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2439-2026</t>
        </is>
      </c>
      <c r="B6249" s="1" t="n">
        <v>46036.91364583333</v>
      </c>
      <c r="C6249" s="1" t="n">
        <v>46093</v>
      </c>
      <c r="D6249" t="inlineStr">
        <is>
          <t>ÖSTERGÖTLANDS LÄN</t>
        </is>
      </c>
      <c r="E6249" t="inlineStr">
        <is>
          <t>YDRE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2491-2026</t>
        </is>
      </c>
      <c r="B6250" s="1" t="n">
        <v>46037.39449074074</v>
      </c>
      <c r="C6250" s="1" t="n">
        <v>46093</v>
      </c>
      <c r="D6250" t="inlineStr">
        <is>
          <t>ÖSTERGÖTLANDS LÄN</t>
        </is>
      </c>
      <c r="E6250" t="inlineStr">
        <is>
          <t>NORRKÖPING</t>
        </is>
      </c>
      <c r="F6250" t="inlineStr">
        <is>
          <t>Holmen skog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23576-2025</t>
        </is>
      </c>
      <c r="B6251" s="1" t="n">
        <v>45792.62280092593</v>
      </c>
      <c r="C6251" s="1" t="n">
        <v>46093</v>
      </c>
      <c r="D6251" t="inlineStr">
        <is>
          <t>ÖSTERGÖTLANDS LÄN</t>
        </is>
      </c>
      <c r="E6251" t="inlineStr">
        <is>
          <t>VALDEMARSVIK</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1074-2025</t>
        </is>
      </c>
      <c r="B6252" s="1" t="n">
        <v>45666.60127314815</v>
      </c>
      <c r="C6252" s="1" t="n">
        <v>46093</v>
      </c>
      <c r="D6252" t="inlineStr">
        <is>
          <t>ÖSTERGÖTLANDS LÄN</t>
        </is>
      </c>
      <c r="E6252" t="inlineStr">
        <is>
          <t>MOTALA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3018-2025</t>
        </is>
      </c>
      <c r="B6253" s="1" t="n">
        <v>45678.57503472222</v>
      </c>
      <c r="C6253" s="1" t="n">
        <v>46093</v>
      </c>
      <c r="D6253" t="inlineStr">
        <is>
          <t>ÖSTERGÖTLANDS LÄN</t>
        </is>
      </c>
      <c r="E6253" t="inlineStr">
        <is>
          <t>NORRKÖPING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23912-2025</t>
        </is>
      </c>
      <c r="B6254" s="1" t="n">
        <v>45794.82583333334</v>
      </c>
      <c r="C6254" s="1" t="n">
        <v>46093</v>
      </c>
      <c r="D6254" t="inlineStr">
        <is>
          <t>ÖSTERGÖTLANDS LÄN</t>
        </is>
      </c>
      <c r="E6254" t="inlineStr">
        <is>
          <t>NORRKÖPING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23811-2025</t>
        </is>
      </c>
      <c r="B6255" s="1" t="n">
        <v>45793.57041666667</v>
      </c>
      <c r="C6255" s="1" t="n">
        <v>46093</v>
      </c>
      <c r="D6255" t="inlineStr">
        <is>
          <t>ÖSTERGÖTLANDS LÄN</t>
        </is>
      </c>
      <c r="E6255" t="inlineStr">
        <is>
          <t>VALDEMARSVIK</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23672-2025</t>
        </is>
      </c>
      <c r="B6256" s="1" t="n">
        <v>45793.29298611111</v>
      </c>
      <c r="C6256" s="1" t="n">
        <v>46093</v>
      </c>
      <c r="D6256" t="inlineStr">
        <is>
          <t>ÖSTERGÖTLANDS LÄN</t>
        </is>
      </c>
      <c r="E6256" t="inlineStr">
        <is>
          <t>VALDEMARSVIK</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23699-2025</t>
        </is>
      </c>
      <c r="B6257" s="1" t="n">
        <v>45793.35515046296</v>
      </c>
      <c r="C6257" s="1" t="n">
        <v>46093</v>
      </c>
      <c r="D6257" t="inlineStr">
        <is>
          <t>ÖSTERGÖTLANDS LÄN</t>
        </is>
      </c>
      <c r="E6257" t="inlineStr">
        <is>
          <t>SÖDERKÖPING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2026-2024</t>
        </is>
      </c>
      <c r="B6258" s="1" t="n">
        <v>45308.75856481482</v>
      </c>
      <c r="C6258" s="1" t="n">
        <v>46093</v>
      </c>
      <c r="D6258" t="inlineStr">
        <is>
          <t>ÖSTERGÖTLANDS LÄN</t>
        </is>
      </c>
      <c r="E6258" t="inlineStr">
        <is>
          <t>ÅTVIDABERG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23909-2025</t>
        </is>
      </c>
      <c r="B6259" s="1" t="n">
        <v>45794.81975694445</v>
      </c>
      <c r="C6259" s="1" t="n">
        <v>46093</v>
      </c>
      <c r="D6259" t="inlineStr">
        <is>
          <t>ÖSTERGÖTLANDS LÄN</t>
        </is>
      </c>
      <c r="E6259" t="inlineStr">
        <is>
          <t>NORRKÖPING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24033-2025</t>
        </is>
      </c>
      <c r="B6260" s="1" t="n">
        <v>45796.47868055556</v>
      </c>
      <c r="C6260" s="1" t="n">
        <v>46093</v>
      </c>
      <c r="D6260" t="inlineStr">
        <is>
          <t>ÖSTERGÖTLANDS LÄN</t>
        </is>
      </c>
      <c r="E6260" t="inlineStr">
        <is>
          <t>ÖDESHÖG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24035-2025</t>
        </is>
      </c>
      <c r="B6261" s="1" t="n">
        <v>45796.4834837963</v>
      </c>
      <c r="C6261" s="1" t="n">
        <v>46093</v>
      </c>
      <c r="D6261" t="inlineStr">
        <is>
          <t>ÖSTERGÖTLANDS LÄN</t>
        </is>
      </c>
      <c r="E6261" t="inlineStr">
        <is>
          <t>ÖDESHÖG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11394-2026</t>
        </is>
      </c>
      <c r="B6262" s="1" t="n">
        <v>46083.43511574074</v>
      </c>
      <c r="C6262" s="1" t="n">
        <v>46093</v>
      </c>
      <c r="D6262" t="inlineStr">
        <is>
          <t>ÖSTERGÖTLANDS LÄN</t>
        </is>
      </c>
      <c r="E6262" t="inlineStr">
        <is>
          <t>MOTALA</t>
        </is>
      </c>
      <c r="F6262" t="inlineStr">
        <is>
          <t>Sveaskog</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11593-2026</t>
        </is>
      </c>
      <c r="B6263" s="1" t="n">
        <v>46084.42061342593</v>
      </c>
      <c r="C6263" s="1" t="n">
        <v>46093</v>
      </c>
      <c r="D6263" t="inlineStr">
        <is>
          <t>ÖSTERGÖTLANDS LÄN</t>
        </is>
      </c>
      <c r="E6263" t="inlineStr">
        <is>
          <t>ÅTVIDABERG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24095-2025</t>
        </is>
      </c>
      <c r="B6264" s="1" t="n">
        <v>45796.57399305556</v>
      </c>
      <c r="C6264" s="1" t="n">
        <v>46093</v>
      </c>
      <c r="D6264" t="inlineStr">
        <is>
          <t>ÖSTERGÖTLANDS LÄN</t>
        </is>
      </c>
      <c r="E6264" t="inlineStr">
        <is>
          <t>ÅTVIDABERG</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24130-2025</t>
        </is>
      </c>
      <c r="B6265" s="1" t="n">
        <v>45796.63424768519</v>
      </c>
      <c r="C6265" s="1" t="n">
        <v>46093</v>
      </c>
      <c r="D6265" t="inlineStr">
        <is>
          <t>ÖSTERGÖTLANDS LÄN</t>
        </is>
      </c>
      <c r="E6265" t="inlineStr">
        <is>
          <t>KINDA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24137-2025</t>
        </is>
      </c>
      <c r="B6266" s="1" t="n">
        <v>45796.64030092592</v>
      </c>
      <c r="C6266" s="1" t="n">
        <v>46093</v>
      </c>
      <c r="D6266" t="inlineStr">
        <is>
          <t>ÖSTERGÖTLANDS LÄN</t>
        </is>
      </c>
      <c r="E6266" t="inlineStr">
        <is>
          <t>YDRE</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3499-2026</t>
        </is>
      </c>
      <c r="B6267" s="1" t="n">
        <v>46042.57427083333</v>
      </c>
      <c r="C6267" s="1" t="n">
        <v>46093</v>
      </c>
      <c r="D6267" t="inlineStr">
        <is>
          <t>ÖSTERGÖTLANDS LÄN</t>
        </is>
      </c>
      <c r="E6267" t="inlineStr">
        <is>
          <t>NORRKÖPING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3504-2026</t>
        </is>
      </c>
      <c r="B6268" s="1" t="n">
        <v>46042.58023148148</v>
      </c>
      <c r="C6268" s="1" t="n">
        <v>46093</v>
      </c>
      <c r="D6268" t="inlineStr">
        <is>
          <t>ÖSTERGÖTLANDS LÄN</t>
        </is>
      </c>
      <c r="E6268" t="inlineStr">
        <is>
          <t>NORRKÖPING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3462-2026</t>
        </is>
      </c>
      <c r="B6269" s="1" t="n">
        <v>46042.51780092593</v>
      </c>
      <c r="C6269" s="1" t="n">
        <v>46093</v>
      </c>
      <c r="D6269" t="inlineStr">
        <is>
          <t>ÖSTERGÖTLANDS LÄN</t>
        </is>
      </c>
      <c r="E6269" t="inlineStr">
        <is>
          <t>NORRKÖPING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3463-2026</t>
        </is>
      </c>
      <c r="B6270" s="1" t="n">
        <v>46042.51780092593</v>
      </c>
      <c r="C6270" s="1" t="n">
        <v>46093</v>
      </c>
      <c r="D6270" t="inlineStr">
        <is>
          <t>ÖSTERGÖTLANDS LÄN</t>
        </is>
      </c>
      <c r="E6270" t="inlineStr">
        <is>
          <t>NORRKÖPING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48699-2024</t>
        </is>
      </c>
      <c r="B6271" s="1" t="n">
        <v>45593.52091435185</v>
      </c>
      <c r="C6271" s="1" t="n">
        <v>46093</v>
      </c>
      <c r="D6271" t="inlineStr">
        <is>
          <t>ÖSTERGÖTLANDS LÄN</t>
        </is>
      </c>
      <c r="E6271" t="inlineStr">
        <is>
          <t>LINKÖPING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10764-2026</t>
        </is>
      </c>
      <c r="B6272" s="1" t="n">
        <v>46078</v>
      </c>
      <c r="C6272" s="1" t="n">
        <v>46093</v>
      </c>
      <c r="D6272" t="inlineStr">
        <is>
          <t>ÖSTERGÖTLANDS LÄN</t>
        </is>
      </c>
      <c r="E6272" t="inlineStr">
        <is>
          <t>LINKÖPING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23695-2025</t>
        </is>
      </c>
      <c r="B6273" s="1" t="n">
        <v>45793.35023148148</v>
      </c>
      <c r="C6273" s="1" t="n">
        <v>46093</v>
      </c>
      <c r="D6273" t="inlineStr">
        <is>
          <t>ÖSTERGÖTLANDS LÄN</t>
        </is>
      </c>
      <c r="E6273" t="inlineStr">
        <is>
          <t>SÖDERKÖPING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31675-2023</t>
        </is>
      </c>
      <c r="B6274" s="1" t="n">
        <v>45117</v>
      </c>
      <c r="C6274" s="1" t="n">
        <v>46093</v>
      </c>
      <c r="D6274" t="inlineStr">
        <is>
          <t>ÖSTERGÖTLANDS LÄN</t>
        </is>
      </c>
      <c r="E6274" t="inlineStr">
        <is>
          <t>BOXHOLM</t>
        </is>
      </c>
      <c r="F6274" t="inlineStr">
        <is>
          <t>Övriga Aktiebolag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24049-2025</t>
        </is>
      </c>
      <c r="B6275" s="1" t="n">
        <v>45796.49842592593</v>
      </c>
      <c r="C6275" s="1" t="n">
        <v>46093</v>
      </c>
      <c r="D6275" t="inlineStr">
        <is>
          <t>ÖSTERGÖTLANDS LÄN</t>
        </is>
      </c>
      <c r="E6275" t="inlineStr">
        <is>
          <t>NORRKÖPING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24009-2025</t>
        </is>
      </c>
      <c r="B6276" s="1" t="n">
        <v>45796.4444212963</v>
      </c>
      <c r="C6276" s="1" t="n">
        <v>46093</v>
      </c>
      <c r="D6276" t="inlineStr">
        <is>
          <t>ÖSTERGÖTLANDS LÄN</t>
        </is>
      </c>
      <c r="E6276" t="inlineStr">
        <is>
          <t>FINSPÅNG</t>
        </is>
      </c>
      <c r="F6276" t="inlineStr">
        <is>
          <t>Naturvårdsverket</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11752-2026</t>
        </is>
      </c>
      <c r="B6277" s="1" t="n">
        <v>46084.67293981482</v>
      </c>
      <c r="C6277" s="1" t="n">
        <v>46093</v>
      </c>
      <c r="D6277" t="inlineStr">
        <is>
          <t>ÖSTERGÖTLANDS LÄN</t>
        </is>
      </c>
      <c r="E6277" t="inlineStr">
        <is>
          <t>ÅTVIDABERG</t>
        </is>
      </c>
      <c r="F6277" t="inlineStr">
        <is>
          <t>Kyrkan</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57506-2024</t>
        </is>
      </c>
      <c r="B6278" s="1" t="n">
        <v>45629</v>
      </c>
      <c r="C6278" s="1" t="n">
        <v>46093</v>
      </c>
      <c r="D6278" t="inlineStr">
        <is>
          <t>ÖSTERGÖTLANDS LÄN</t>
        </is>
      </c>
      <c r="E6278" t="inlineStr">
        <is>
          <t>MOTALA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11616-2026</t>
        </is>
      </c>
      <c r="B6279" s="1" t="n">
        <v>46084.45364583333</v>
      </c>
      <c r="C6279" s="1" t="n">
        <v>46093</v>
      </c>
      <c r="D6279" t="inlineStr">
        <is>
          <t>ÖSTERGÖTLANDS LÄN</t>
        </is>
      </c>
      <c r="E6279" t="inlineStr">
        <is>
          <t>SÖDERKÖPING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11619-2026</t>
        </is>
      </c>
      <c r="B6280" s="1" t="n">
        <v>46084.46113425926</v>
      </c>
      <c r="C6280" s="1" t="n">
        <v>46093</v>
      </c>
      <c r="D6280" t="inlineStr">
        <is>
          <t>ÖSTERGÖTLANDS LÄN</t>
        </is>
      </c>
      <c r="E6280" t="inlineStr">
        <is>
          <t>SÖDERKÖPING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3338-2026</t>
        </is>
      </c>
      <c r="B6281" s="1" t="n">
        <v>46041.8458912037</v>
      </c>
      <c r="C6281" s="1" t="n">
        <v>46093</v>
      </c>
      <c r="D6281" t="inlineStr">
        <is>
          <t>ÖSTERGÖTLANDS LÄN</t>
        </is>
      </c>
      <c r="E6281" t="inlineStr">
        <is>
          <t>MOTALA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11738-2026</t>
        </is>
      </c>
      <c r="B6282" s="1" t="n">
        <v>46084.65067129629</v>
      </c>
      <c r="C6282" s="1" t="n">
        <v>46093</v>
      </c>
      <c r="D6282" t="inlineStr">
        <is>
          <t>ÖSTERGÖTLANDS LÄN</t>
        </is>
      </c>
      <c r="E6282" t="inlineStr">
        <is>
          <t>ÅTVIDABERG</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3511-2026</t>
        </is>
      </c>
      <c r="B6283" s="1" t="n">
        <v>46042.58653935185</v>
      </c>
      <c r="C6283" s="1" t="n">
        <v>46093</v>
      </c>
      <c r="D6283" t="inlineStr">
        <is>
          <t>ÖSTERGÖTLANDS LÄN</t>
        </is>
      </c>
      <c r="E6283" t="inlineStr">
        <is>
          <t>NORRKÖPING</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11728-2026</t>
        </is>
      </c>
      <c r="B6284" s="1" t="n">
        <v>46084.63537037037</v>
      </c>
      <c r="C6284" s="1" t="n">
        <v>46093</v>
      </c>
      <c r="D6284" t="inlineStr">
        <is>
          <t>ÖSTERGÖTLANDS LÄN</t>
        </is>
      </c>
      <c r="E6284" t="inlineStr">
        <is>
          <t>ÅTVIDABERG</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23991-2025</t>
        </is>
      </c>
      <c r="B6285" s="1" t="n">
        <v>45796.40332175926</v>
      </c>
      <c r="C6285" s="1" t="n">
        <v>46093</v>
      </c>
      <c r="D6285" t="inlineStr">
        <is>
          <t>ÖSTERGÖTLANDS LÄN</t>
        </is>
      </c>
      <c r="E6285" t="inlineStr">
        <is>
          <t>ÅTVIDABERG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23757-2025</t>
        </is>
      </c>
      <c r="B6286" s="1" t="n">
        <v>45793.46055555555</v>
      </c>
      <c r="C6286" s="1" t="n">
        <v>46093</v>
      </c>
      <c r="D6286" t="inlineStr">
        <is>
          <t>ÖSTERGÖTLANDS LÄN</t>
        </is>
      </c>
      <c r="E6286" t="inlineStr">
        <is>
          <t>MOTALA</t>
        </is>
      </c>
      <c r="F6286" t="inlineStr">
        <is>
          <t>Allmännings- och besparingsskogar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23834-2025</t>
        </is>
      </c>
      <c r="B6287" s="1" t="n">
        <v>45793.60377314815</v>
      </c>
      <c r="C6287" s="1" t="n">
        <v>46093</v>
      </c>
      <c r="D6287" t="inlineStr">
        <is>
          <t>ÖSTERGÖTLANDS LÄN</t>
        </is>
      </c>
      <c r="E6287" t="inlineStr">
        <is>
          <t>VALDEMARSVIK</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23954-2025</t>
        </is>
      </c>
      <c r="B6288" s="1" t="n">
        <v>45796.36326388889</v>
      </c>
      <c r="C6288" s="1" t="n">
        <v>46093</v>
      </c>
      <c r="D6288" t="inlineStr">
        <is>
          <t>ÖSTERGÖTLANDS LÄN</t>
        </is>
      </c>
      <c r="E6288" t="inlineStr">
        <is>
          <t>NORRKÖPING</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24021-2025</t>
        </is>
      </c>
      <c r="B6289" s="1" t="n">
        <v>45796.45342592592</v>
      </c>
      <c r="C6289" s="1" t="n">
        <v>46093</v>
      </c>
      <c r="D6289" t="inlineStr">
        <is>
          <t>ÖSTERGÖTLANDS LÄN</t>
        </is>
      </c>
      <c r="E6289" t="inlineStr">
        <is>
          <t>FINSPÅNG</t>
        </is>
      </c>
      <c r="F6289" t="inlineStr">
        <is>
          <t>Naturvårdsverket</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23673-2025</t>
        </is>
      </c>
      <c r="B6290" s="1" t="n">
        <v>45793.29696759259</v>
      </c>
      <c r="C6290" s="1" t="n">
        <v>46093</v>
      </c>
      <c r="D6290" t="inlineStr">
        <is>
          <t>ÖSTERGÖTLANDS LÄN</t>
        </is>
      </c>
      <c r="E6290" t="inlineStr">
        <is>
          <t>VALDEMARSVIK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3062-2026</t>
        </is>
      </c>
      <c r="B6291" s="1" t="n">
        <v>46040.39981481482</v>
      </c>
      <c r="C6291" s="1" t="n">
        <v>46093</v>
      </c>
      <c r="D6291" t="inlineStr">
        <is>
          <t>ÖSTERGÖTLANDS LÄN</t>
        </is>
      </c>
      <c r="E6291" t="inlineStr">
        <is>
          <t>FINSPÅNG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60669-2024</t>
        </is>
      </c>
      <c r="B6292" s="1" t="n">
        <v>45644.45380787037</v>
      </c>
      <c r="C6292" s="1" t="n">
        <v>46093</v>
      </c>
      <c r="D6292" t="inlineStr">
        <is>
          <t>ÖSTERGÖTLANDS LÄN</t>
        </is>
      </c>
      <c r="E6292" t="inlineStr">
        <is>
          <t>MOTALA</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24133-2025</t>
        </is>
      </c>
      <c r="B6293" s="1" t="n">
        <v>45796.63584490741</v>
      </c>
      <c r="C6293" s="1" t="n">
        <v>46093</v>
      </c>
      <c r="D6293" t="inlineStr">
        <is>
          <t>ÖSTERGÖTLANDS LÄN</t>
        </is>
      </c>
      <c r="E6293" t="inlineStr">
        <is>
          <t>KINDA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24140-2025</t>
        </is>
      </c>
      <c r="B6294" s="1" t="n">
        <v>45796.64222222222</v>
      </c>
      <c r="C6294" s="1" t="n">
        <v>46093</v>
      </c>
      <c r="D6294" t="inlineStr">
        <is>
          <t>ÖSTERGÖTLANDS LÄN</t>
        </is>
      </c>
      <c r="E6294" t="inlineStr">
        <is>
          <t>YDRE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24059-2025</t>
        </is>
      </c>
      <c r="B6295" s="1" t="n">
        <v>45796.51148148148</v>
      </c>
      <c r="C6295" s="1" t="n">
        <v>46093</v>
      </c>
      <c r="D6295" t="inlineStr">
        <is>
          <t>ÖSTERGÖTLANDS LÄN</t>
        </is>
      </c>
      <c r="E6295" t="inlineStr">
        <is>
          <t>BOXHOLM</t>
        </is>
      </c>
      <c r="F6295" t="inlineStr">
        <is>
          <t>Kyrkan</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13911-2025</t>
        </is>
      </c>
      <c r="B6296" s="1" t="n">
        <v>45737.64784722222</v>
      </c>
      <c r="C6296" s="1" t="n">
        <v>46093</v>
      </c>
      <c r="D6296" t="inlineStr">
        <is>
          <t>ÖSTERGÖTLANDS LÄN</t>
        </is>
      </c>
      <c r="E6296" t="inlineStr">
        <is>
          <t>LINKÖPING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60800-2023</t>
        </is>
      </c>
      <c r="B6297" s="1" t="n">
        <v>45259</v>
      </c>
      <c r="C6297" s="1" t="n">
        <v>46093</v>
      </c>
      <c r="D6297" t="inlineStr">
        <is>
          <t>ÖSTERGÖTLANDS LÄN</t>
        </is>
      </c>
      <c r="E6297" t="inlineStr">
        <is>
          <t>NORRKÖPING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3340-2026</t>
        </is>
      </c>
      <c r="B6298" s="1" t="n">
        <v>46041.85267361111</v>
      </c>
      <c r="C6298" s="1" t="n">
        <v>46093</v>
      </c>
      <c r="D6298" t="inlineStr">
        <is>
          <t>ÖSTERGÖTLANDS LÄN</t>
        </is>
      </c>
      <c r="E6298" t="inlineStr">
        <is>
          <t>MOTALA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3063-2026</t>
        </is>
      </c>
      <c r="B6299" s="1" t="n">
        <v>46040.41307870371</v>
      </c>
      <c r="C6299" s="1" t="n">
        <v>46093</v>
      </c>
      <c r="D6299" t="inlineStr">
        <is>
          <t>ÖSTERGÖTLANDS LÄN</t>
        </is>
      </c>
      <c r="E6299" t="inlineStr">
        <is>
          <t>FINSPÅNG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23819-2025</t>
        </is>
      </c>
      <c r="B6300" s="1" t="n">
        <v>45793.58547453704</v>
      </c>
      <c r="C6300" s="1" t="n">
        <v>46093</v>
      </c>
      <c r="D6300" t="inlineStr">
        <is>
          <t>ÖSTERGÖTLANDS LÄN</t>
        </is>
      </c>
      <c r="E6300" t="inlineStr">
        <is>
          <t>VALDEMARSVIK</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23768-2025</t>
        </is>
      </c>
      <c r="B6301" s="1" t="n">
        <v>45793.47493055555</v>
      </c>
      <c r="C6301" s="1" t="n">
        <v>46093</v>
      </c>
      <c r="D6301" t="inlineStr">
        <is>
          <t>ÖSTERGÖTLANDS LÄN</t>
        </is>
      </c>
      <c r="E6301" t="inlineStr">
        <is>
          <t>LINKÖPING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23760-2025</t>
        </is>
      </c>
      <c r="B6302" s="1" t="n">
        <v>45793.46824074074</v>
      </c>
      <c r="C6302" s="1" t="n">
        <v>46093</v>
      </c>
      <c r="D6302" t="inlineStr">
        <is>
          <t>ÖSTERGÖTLANDS LÄN</t>
        </is>
      </c>
      <c r="E6302" t="inlineStr">
        <is>
          <t>YDRE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1871-2025</t>
        </is>
      </c>
      <c r="B6303" s="1" t="n">
        <v>45671.6171875</v>
      </c>
      <c r="C6303" s="1" t="n">
        <v>46093</v>
      </c>
      <c r="D6303" t="inlineStr">
        <is>
          <t>ÖSTERGÖTLANDS LÄN</t>
        </is>
      </c>
      <c r="E6303" t="inlineStr">
        <is>
          <t>ÅTVIDABERG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21336-2025</t>
        </is>
      </c>
      <c r="B6304" s="1" t="n">
        <v>45782.37634259259</v>
      </c>
      <c r="C6304" s="1" t="n">
        <v>46093</v>
      </c>
      <c r="D6304" t="inlineStr">
        <is>
          <t>ÖSTERGÖTLANDS LÄN</t>
        </is>
      </c>
      <c r="E6304" t="inlineStr">
        <is>
          <t>ÖDESHÖG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59885-2023</t>
        </is>
      </c>
      <c r="B6305" s="1" t="n">
        <v>45257</v>
      </c>
      <c r="C6305" s="1" t="n">
        <v>46093</v>
      </c>
      <c r="D6305" t="inlineStr">
        <is>
          <t>ÖSTERGÖTLANDS LÄN</t>
        </is>
      </c>
      <c r="E6305" t="inlineStr">
        <is>
          <t>SÖDERKÖPING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57681-2024</t>
        </is>
      </c>
      <c r="B6306" s="1" t="n">
        <v>45630</v>
      </c>
      <c r="C6306" s="1" t="n">
        <v>46093</v>
      </c>
      <c r="D6306" t="inlineStr">
        <is>
          <t>ÖSTERGÖTLANDS LÄN</t>
        </is>
      </c>
      <c r="E6306" t="inlineStr">
        <is>
          <t>MOTALA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3217-2026</t>
        </is>
      </c>
      <c r="B6307" s="1" t="n">
        <v>46041.50924768519</v>
      </c>
      <c r="C6307" s="1" t="n">
        <v>46093</v>
      </c>
      <c r="D6307" t="inlineStr">
        <is>
          <t>ÖSTERGÖTLANDS LÄN</t>
        </is>
      </c>
      <c r="E6307" t="inlineStr">
        <is>
          <t>KINDA</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11457-2026</t>
        </is>
      </c>
      <c r="B6308" s="1" t="n">
        <v>46083.56559027778</v>
      </c>
      <c r="C6308" s="1" t="n">
        <v>46093</v>
      </c>
      <c r="D6308" t="inlineStr">
        <is>
          <t>ÖSTERGÖTLANDS LÄN</t>
        </is>
      </c>
      <c r="E6308" t="inlineStr">
        <is>
          <t>ÅTVIDABERG</t>
        </is>
      </c>
      <c r="F6308" t="inlineStr">
        <is>
          <t>Holmen skog AB</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24151-2025</t>
        </is>
      </c>
      <c r="B6309" s="1" t="n">
        <v>45796.65553240741</v>
      </c>
      <c r="C6309" s="1" t="n">
        <v>46093</v>
      </c>
      <c r="D6309" t="inlineStr">
        <is>
          <t>ÖSTERGÖTLANDS LÄN</t>
        </is>
      </c>
      <c r="E6309" t="inlineStr">
        <is>
          <t>ÅTVIDABERG</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24163-2025</t>
        </is>
      </c>
      <c r="B6310" s="1" t="n">
        <v>45796.67018518518</v>
      </c>
      <c r="C6310" s="1" t="n">
        <v>46093</v>
      </c>
      <c r="D6310" t="inlineStr">
        <is>
          <t>ÖSTERGÖTLANDS LÄN</t>
        </is>
      </c>
      <c r="E6310" t="inlineStr">
        <is>
          <t>ÅTVIDABERG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24128-2025</t>
        </is>
      </c>
      <c r="B6311" s="1" t="n">
        <v>45796.63180555555</v>
      </c>
      <c r="C6311" s="1" t="n">
        <v>46093</v>
      </c>
      <c r="D6311" t="inlineStr">
        <is>
          <t>ÖSTERGÖTLANDS LÄN</t>
        </is>
      </c>
      <c r="E6311" t="inlineStr">
        <is>
          <t>KINDA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11410-2026</t>
        </is>
      </c>
      <c r="B6312" s="1" t="n">
        <v>46083.45966435185</v>
      </c>
      <c r="C6312" s="1" t="n">
        <v>46093</v>
      </c>
      <c r="D6312" t="inlineStr">
        <is>
          <t>ÖSTERGÖTLANDS LÄN</t>
        </is>
      </c>
      <c r="E6312" t="inlineStr">
        <is>
          <t>ÅTVIDABERG</t>
        </is>
      </c>
      <c r="F6312" t="inlineStr">
        <is>
          <t>Holmen skog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3169-2024</t>
        </is>
      </c>
      <c r="B6313" s="1" t="n">
        <v>45316.62950231481</v>
      </c>
      <c r="C6313" s="1" t="n">
        <v>46093</v>
      </c>
      <c r="D6313" t="inlineStr">
        <is>
          <t>ÖSTERGÖTLANDS LÄN</t>
        </is>
      </c>
      <c r="E6313" t="inlineStr">
        <is>
          <t>FINSPÅNG</t>
        </is>
      </c>
      <c r="F6313" t="inlineStr">
        <is>
          <t>Övriga Aktiebolag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4979-2025</t>
        </is>
      </c>
      <c r="B6314" s="1" t="n">
        <v>45689</v>
      </c>
      <c r="C6314" s="1" t="n">
        <v>46093</v>
      </c>
      <c r="D6314" t="inlineStr">
        <is>
          <t>ÖSTERGÖTLANDS LÄN</t>
        </is>
      </c>
      <c r="E6314" t="inlineStr">
        <is>
          <t>MOTALA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38881-2024</t>
        </is>
      </c>
      <c r="B6315" s="1" t="n">
        <v>45547.65758101852</v>
      </c>
      <c r="C6315" s="1" t="n">
        <v>46093</v>
      </c>
      <c r="D6315" t="inlineStr">
        <is>
          <t>ÖSTERGÖTLANDS LÄN</t>
        </is>
      </c>
      <c r="E6315" t="inlineStr">
        <is>
          <t>MOTALA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24482-2025</t>
        </is>
      </c>
      <c r="B6316" s="1" t="n">
        <v>45798.38162037037</v>
      </c>
      <c r="C6316" s="1" t="n">
        <v>46093</v>
      </c>
      <c r="D6316" t="inlineStr">
        <is>
          <t>ÖSTERGÖTLANDS LÄN</t>
        </is>
      </c>
      <c r="E6316" t="inlineStr">
        <is>
          <t>MOTALA</t>
        </is>
      </c>
      <c r="F6316" t="inlineStr">
        <is>
          <t>Sveaskog</t>
        </is>
      </c>
      <c r="G6316" t="n">
        <v>12.5</v>
      </c>
      <c r="H6316" t="n">
        <v>0</v>
      </c>
      <c r="I6316" t="n">
        <v>0</v>
      </c>
      <c r="J6316" t="n">
        <v>0</v>
      </c>
      <c r="K6316" t="n">
        <v>0</v>
      </c>
      <c r="L6316" t="n">
        <v>0</v>
      </c>
      <c r="M6316" t="n">
        <v>0</v>
      </c>
      <c r="N6316" t="n">
        <v>0</v>
      </c>
      <c r="O6316" t="n">
        <v>0</v>
      </c>
      <c r="P6316" t="n">
        <v>0</v>
      </c>
      <c r="Q6316" t="n">
        <v>0</v>
      </c>
      <c r="R6316" s="2" t="inlineStr"/>
    </row>
    <row r="6317" ht="15" customHeight="1">
      <c r="A6317" t="inlineStr">
        <is>
          <t>A 11714-2026</t>
        </is>
      </c>
      <c r="B6317" s="1" t="n">
        <v>46084.62407407408</v>
      </c>
      <c r="C6317" s="1" t="n">
        <v>46093</v>
      </c>
      <c r="D6317" t="inlineStr">
        <is>
          <t>ÖSTERGÖTLANDS LÄN</t>
        </is>
      </c>
      <c r="E6317" t="inlineStr">
        <is>
          <t>NORRKÖPING</t>
        </is>
      </c>
      <c r="F6317" t="inlineStr">
        <is>
          <t>Holmen skog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24375-2025</t>
        </is>
      </c>
      <c r="B6318" s="1" t="n">
        <v>45797.61721064815</v>
      </c>
      <c r="C6318" s="1" t="n">
        <v>46093</v>
      </c>
      <c r="D6318" t="inlineStr">
        <is>
          <t>ÖSTERGÖTLANDS LÄN</t>
        </is>
      </c>
      <c r="E6318" t="inlineStr">
        <is>
          <t>VALDEMARSVIK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24448-2025</t>
        </is>
      </c>
      <c r="B6319" s="1" t="n">
        <v>45798.33824074074</v>
      </c>
      <c r="C6319" s="1" t="n">
        <v>46093</v>
      </c>
      <c r="D6319" t="inlineStr">
        <is>
          <t>ÖSTERGÖTLANDS LÄN</t>
        </is>
      </c>
      <c r="E6319" t="inlineStr">
        <is>
          <t>KINDA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24468-2025</t>
        </is>
      </c>
      <c r="B6320" s="1" t="n">
        <v>45798.36552083334</v>
      </c>
      <c r="C6320" s="1" t="n">
        <v>46093</v>
      </c>
      <c r="D6320" t="inlineStr">
        <is>
          <t>ÖSTERGÖTLANDS LÄN</t>
        </is>
      </c>
      <c r="E6320" t="inlineStr">
        <is>
          <t>MOTALA</t>
        </is>
      </c>
      <c r="F6320" t="inlineStr">
        <is>
          <t>Sveaskog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24484-2025</t>
        </is>
      </c>
      <c r="B6321" s="1" t="n">
        <v>45798.38299768518</v>
      </c>
      <c r="C6321" s="1" t="n">
        <v>46093</v>
      </c>
      <c r="D6321" t="inlineStr">
        <is>
          <t>ÖSTERGÖTLANDS LÄN</t>
        </is>
      </c>
      <c r="E6321" t="inlineStr">
        <is>
          <t>MOTALA</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24446-2025</t>
        </is>
      </c>
      <c r="B6322" s="1" t="n">
        <v>45798.33460648148</v>
      </c>
      <c r="C6322" s="1" t="n">
        <v>46093</v>
      </c>
      <c r="D6322" t="inlineStr">
        <is>
          <t>ÖSTERGÖTLANDS LÄN</t>
        </is>
      </c>
      <c r="E6322" t="inlineStr">
        <is>
          <t>KINDA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11493-2025</t>
        </is>
      </c>
      <c r="B6323" s="1" t="n">
        <v>45726.72484953704</v>
      </c>
      <c r="C6323" s="1" t="n">
        <v>46093</v>
      </c>
      <c r="D6323" t="inlineStr">
        <is>
          <t>ÖSTERGÖTLANDS LÄN</t>
        </is>
      </c>
      <c r="E6323" t="inlineStr">
        <is>
          <t>YDRE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24684-2025</t>
        </is>
      </c>
      <c r="B6324" s="1" t="n">
        <v>45798.66228009259</v>
      </c>
      <c r="C6324" s="1" t="n">
        <v>46093</v>
      </c>
      <c r="D6324" t="inlineStr">
        <is>
          <t>ÖSTERGÖTLANDS LÄN</t>
        </is>
      </c>
      <c r="E6324" t="inlineStr">
        <is>
          <t>NORRKÖPING</t>
        </is>
      </c>
      <c r="F6324" t="inlineStr">
        <is>
          <t>Holmen skog AB</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11404-2026</t>
        </is>
      </c>
      <c r="B6325" s="1" t="n">
        <v>46083.45348379629</v>
      </c>
      <c r="C6325" s="1" t="n">
        <v>46093</v>
      </c>
      <c r="D6325" t="inlineStr">
        <is>
          <t>ÖSTERGÖTLANDS LÄN</t>
        </is>
      </c>
      <c r="E6325" t="inlineStr">
        <is>
          <t>MOTALA</t>
        </is>
      </c>
      <c r="F6325" t="inlineStr">
        <is>
          <t>Sveaskog</t>
        </is>
      </c>
      <c r="G6325" t="n">
        <v>9.199999999999999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24310-2025</t>
        </is>
      </c>
      <c r="B6326" s="1" t="n">
        <v>45797.5184375</v>
      </c>
      <c r="C6326" s="1" t="n">
        <v>46093</v>
      </c>
      <c r="D6326" t="inlineStr">
        <is>
          <t>ÖSTERGÖTLANDS LÄN</t>
        </is>
      </c>
      <c r="E6326" t="inlineStr">
        <is>
          <t>FINSPÅNG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11693-2026</t>
        </is>
      </c>
      <c r="B6327" s="1" t="n">
        <v>46084.60141203704</v>
      </c>
      <c r="C6327" s="1" t="n">
        <v>46093</v>
      </c>
      <c r="D6327" t="inlineStr">
        <is>
          <t>ÖSTERGÖTLANDS LÄN</t>
        </is>
      </c>
      <c r="E6327" t="inlineStr">
        <is>
          <t>NORRKÖPING</t>
        </is>
      </c>
      <c r="F6327" t="inlineStr">
        <is>
          <t>Allmännings- och besparingsskogar</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24335-2025</t>
        </is>
      </c>
      <c r="B6328" s="1" t="n">
        <v>45797.57333333333</v>
      </c>
      <c r="C6328" s="1" t="n">
        <v>46093</v>
      </c>
      <c r="D6328" t="inlineStr">
        <is>
          <t>ÖSTERGÖTLANDS LÄN</t>
        </is>
      </c>
      <c r="E6328" t="inlineStr">
        <is>
          <t>SÖDERKÖPING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24485-2025</t>
        </is>
      </c>
      <c r="B6329" s="1" t="n">
        <v>45798.38446759259</v>
      </c>
      <c r="C6329" s="1" t="n">
        <v>46093</v>
      </c>
      <c r="D6329" t="inlineStr">
        <is>
          <t>ÖSTERGÖTLANDS LÄN</t>
        </is>
      </c>
      <c r="E6329" t="inlineStr">
        <is>
          <t>MOTALA</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24519-2025</t>
        </is>
      </c>
      <c r="B6330" s="1" t="n">
        <v>45798.41673611111</v>
      </c>
      <c r="C6330" s="1" t="n">
        <v>46093</v>
      </c>
      <c r="D6330" t="inlineStr">
        <is>
          <t>ÖSTERGÖTLANDS LÄN</t>
        </is>
      </c>
      <c r="E6330" t="inlineStr">
        <is>
          <t>MJÖLBY</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3186-2026</t>
        </is>
      </c>
      <c r="B6331" s="1" t="n">
        <v>46041.45574074074</v>
      </c>
      <c r="C6331" s="1" t="n">
        <v>46093</v>
      </c>
      <c r="D6331" t="inlineStr">
        <is>
          <t>ÖSTERGÖTLANDS LÄN</t>
        </is>
      </c>
      <c r="E6331" t="inlineStr">
        <is>
          <t>NORRKÖPING</t>
        </is>
      </c>
      <c r="F6331" t="inlineStr">
        <is>
          <t>Kommuner</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11597-2026</t>
        </is>
      </c>
      <c r="B6332" s="1" t="n">
        <v>46084.42578703703</v>
      </c>
      <c r="C6332" s="1" t="n">
        <v>46093</v>
      </c>
      <c r="D6332" t="inlineStr">
        <is>
          <t>ÖSTERGÖTLANDS LÄN</t>
        </is>
      </c>
      <c r="E6332" t="inlineStr">
        <is>
          <t>ÅTVIDABERG</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24570-2025</t>
        </is>
      </c>
      <c r="B6333" s="1" t="n">
        <v>45798</v>
      </c>
      <c r="C6333" s="1" t="n">
        <v>46093</v>
      </c>
      <c r="D6333" t="inlineStr">
        <is>
          <t>ÖSTERGÖTLANDS LÄN</t>
        </is>
      </c>
      <c r="E6333" t="inlineStr">
        <is>
          <t>FINSPÅNG</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24328-2025</t>
        </is>
      </c>
      <c r="B6334" s="1" t="n">
        <v>45797.5658912037</v>
      </c>
      <c r="C6334" s="1" t="n">
        <v>46093</v>
      </c>
      <c r="D6334" t="inlineStr">
        <is>
          <t>ÖSTERGÖTLANDS LÄN</t>
        </is>
      </c>
      <c r="E6334" t="inlineStr">
        <is>
          <t>FINSPÅNG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3710-2026</t>
        </is>
      </c>
      <c r="B6335" s="1" t="n">
        <v>46043.47976851852</v>
      </c>
      <c r="C6335" s="1" t="n">
        <v>46093</v>
      </c>
      <c r="D6335" t="inlineStr">
        <is>
          <t>ÖSTERGÖTLANDS LÄN</t>
        </is>
      </c>
      <c r="E6335" t="inlineStr">
        <is>
          <t>ÅTVIDABERG</t>
        </is>
      </c>
      <c r="F6335" t="inlineStr">
        <is>
          <t>Övriga Aktiebolag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24363-2025</t>
        </is>
      </c>
      <c r="B6336" s="1" t="n">
        <v>45797.60138888889</v>
      </c>
      <c r="C6336" s="1" t="n">
        <v>46093</v>
      </c>
      <c r="D6336" t="inlineStr">
        <is>
          <t>ÖSTERGÖTLANDS LÄN</t>
        </is>
      </c>
      <c r="E6336" t="inlineStr">
        <is>
          <t>FINSPÅNG</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24376-2025</t>
        </is>
      </c>
      <c r="B6337" s="1" t="n">
        <v>45797</v>
      </c>
      <c r="C6337" s="1" t="n">
        <v>46093</v>
      </c>
      <c r="D6337" t="inlineStr">
        <is>
          <t>ÖSTERGÖTLANDS LÄN</t>
        </is>
      </c>
      <c r="E6337" t="inlineStr">
        <is>
          <t>FINSPÅNG</t>
        </is>
      </c>
      <c r="F6337" t="inlineStr">
        <is>
          <t>Holmen skog AB</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4005-2026</t>
        </is>
      </c>
      <c r="B6338" s="1" t="n">
        <v>46044.3990625</v>
      </c>
      <c r="C6338" s="1" t="n">
        <v>46093</v>
      </c>
      <c r="D6338" t="inlineStr">
        <is>
          <t>ÖSTERGÖTLANDS LÄN</t>
        </is>
      </c>
      <c r="E6338" t="inlineStr">
        <is>
          <t>BOXHOLM</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24246-2025</t>
        </is>
      </c>
      <c r="B6339" s="1" t="n">
        <v>45797.39876157408</v>
      </c>
      <c r="C6339" s="1" t="n">
        <v>46093</v>
      </c>
      <c r="D6339" t="inlineStr">
        <is>
          <t>ÖSTERGÖTLANDS LÄN</t>
        </is>
      </c>
      <c r="E6339" t="inlineStr">
        <is>
          <t>NORRKÖPING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24344-2025</t>
        </is>
      </c>
      <c r="B6340" s="1" t="n">
        <v>45797.57797453704</v>
      </c>
      <c r="C6340" s="1" t="n">
        <v>46093</v>
      </c>
      <c r="D6340" t="inlineStr">
        <is>
          <t>ÖSTERGÖTLANDS LÄN</t>
        </is>
      </c>
      <c r="E6340" t="inlineStr">
        <is>
          <t>SÖDERKÖPING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24582-2025</t>
        </is>
      </c>
      <c r="B6341" s="1" t="n">
        <v>45797</v>
      </c>
      <c r="C6341" s="1" t="n">
        <v>46093</v>
      </c>
      <c r="D6341" t="inlineStr">
        <is>
          <t>ÖSTERGÖTLANDS LÄN</t>
        </is>
      </c>
      <c r="E6341" t="inlineStr">
        <is>
          <t>BOXHOLM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24345-2025</t>
        </is>
      </c>
      <c r="B6342" s="1" t="n">
        <v>45797.58002314815</v>
      </c>
      <c r="C6342" s="1" t="n">
        <v>46093</v>
      </c>
      <c r="D6342" t="inlineStr">
        <is>
          <t>ÖSTERGÖTLANDS LÄN</t>
        </is>
      </c>
      <c r="E6342" t="inlineStr">
        <is>
          <t>SÖDERKÖPING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24349-2025</t>
        </is>
      </c>
      <c r="B6343" s="1" t="n">
        <v>45797.58252314815</v>
      </c>
      <c r="C6343" s="1" t="n">
        <v>46093</v>
      </c>
      <c r="D6343" t="inlineStr">
        <is>
          <t>ÖSTERGÖTLANDS LÄN</t>
        </is>
      </c>
      <c r="E6343" t="inlineStr">
        <is>
          <t>SÖDERKÖPING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7131-2025</t>
        </is>
      </c>
      <c r="B6344" s="1" t="n">
        <v>45702.36035879629</v>
      </c>
      <c r="C6344" s="1" t="n">
        <v>46093</v>
      </c>
      <c r="D6344" t="inlineStr">
        <is>
          <t>ÖSTERGÖTLANDS LÄN</t>
        </is>
      </c>
      <c r="E6344" t="inlineStr">
        <is>
          <t>FINSPÅNG</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24354-2025</t>
        </is>
      </c>
      <c r="B6345" s="1" t="n">
        <v>45797.59006944444</v>
      </c>
      <c r="C6345" s="1" t="n">
        <v>46093</v>
      </c>
      <c r="D6345" t="inlineStr">
        <is>
          <t>ÖSTERGÖTLANDS LÄN</t>
        </is>
      </c>
      <c r="E6345" t="inlineStr">
        <is>
          <t>SÖDERKÖPING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24367-2025</t>
        </is>
      </c>
      <c r="B6346" s="1" t="n">
        <v>45797.60491898148</v>
      </c>
      <c r="C6346" s="1" t="n">
        <v>46093</v>
      </c>
      <c r="D6346" t="inlineStr">
        <is>
          <t>ÖSTERGÖTLANDS LÄN</t>
        </is>
      </c>
      <c r="E6346" t="inlineStr">
        <is>
          <t>VALDEMARSVIK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3941-2026</t>
        </is>
      </c>
      <c r="B6347" s="1" t="n">
        <v>46043.90125</v>
      </c>
      <c r="C6347" s="1" t="n">
        <v>46093</v>
      </c>
      <c r="D6347" t="inlineStr">
        <is>
          <t>ÖSTERGÖTLANDS LÄN</t>
        </is>
      </c>
      <c r="E6347" t="inlineStr">
        <is>
          <t>FINSPÅNG</t>
        </is>
      </c>
      <c r="F6347" t="inlineStr">
        <is>
          <t>Övriga Aktiebolag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24470-2025</t>
        </is>
      </c>
      <c r="B6348" s="1" t="n">
        <v>45798.36651620371</v>
      </c>
      <c r="C6348" s="1" t="n">
        <v>46093</v>
      </c>
      <c r="D6348" t="inlineStr">
        <is>
          <t>ÖSTERGÖTLANDS LÄN</t>
        </is>
      </c>
      <c r="E6348" t="inlineStr">
        <is>
          <t>MOTALA</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3914-2026</t>
        </is>
      </c>
      <c r="B6349" s="1" t="n">
        <v>46043.72383101852</v>
      </c>
      <c r="C6349" s="1" t="n">
        <v>46093</v>
      </c>
      <c r="D6349" t="inlineStr">
        <is>
          <t>ÖSTERGÖTLANDS LÄN</t>
        </is>
      </c>
      <c r="E6349" t="inlineStr">
        <is>
          <t>ÅTVIDABERG</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11891-2026</t>
        </is>
      </c>
      <c r="B6350" s="1" t="n">
        <v>46085.5197800926</v>
      </c>
      <c r="C6350" s="1" t="n">
        <v>46093</v>
      </c>
      <c r="D6350" t="inlineStr">
        <is>
          <t>ÖSTERGÖTLANDS LÄN</t>
        </is>
      </c>
      <c r="E6350" t="inlineStr">
        <is>
          <t>LINKÖPING</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24555-2025</t>
        </is>
      </c>
      <c r="B6351" s="1" t="n">
        <v>45798.45043981481</v>
      </c>
      <c r="C6351" s="1" t="n">
        <v>46093</v>
      </c>
      <c r="D6351" t="inlineStr">
        <is>
          <t>ÖSTERGÖTLANDS LÄN</t>
        </is>
      </c>
      <c r="E6351" t="inlineStr">
        <is>
          <t>NORRKÖPING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24476-2025</t>
        </is>
      </c>
      <c r="B6352" s="1" t="n">
        <v>45798.3758912037</v>
      </c>
      <c r="C6352" s="1" t="n">
        <v>46093</v>
      </c>
      <c r="D6352" t="inlineStr">
        <is>
          <t>ÖSTERGÖTLANDS LÄN</t>
        </is>
      </c>
      <c r="E6352" t="inlineStr">
        <is>
          <t>MOTALA</t>
        </is>
      </c>
      <c r="F6352" t="inlineStr">
        <is>
          <t>Sveaskog</t>
        </is>
      </c>
      <c r="G6352" t="n">
        <v>6.6</v>
      </c>
      <c r="H6352" t="n">
        <v>0</v>
      </c>
      <c r="I6352" t="n">
        <v>0</v>
      </c>
      <c r="J6352" t="n">
        <v>0</v>
      </c>
      <c r="K6352" t="n">
        <v>0</v>
      </c>
      <c r="L6352" t="n">
        <v>0</v>
      </c>
      <c r="M6352" t="n">
        <v>0</v>
      </c>
      <c r="N6352" t="n">
        <v>0</v>
      </c>
      <c r="O6352" t="n">
        <v>0</v>
      </c>
      <c r="P6352" t="n">
        <v>0</v>
      </c>
      <c r="Q6352" t="n">
        <v>0</v>
      </c>
      <c r="R6352" s="2" t="inlineStr"/>
    </row>
    <row r="6353" ht="15" customHeight="1">
      <c r="A6353" t="inlineStr">
        <is>
          <t>A 24493-2025</t>
        </is>
      </c>
      <c r="B6353" s="1" t="n">
        <v>45798.38623842593</v>
      </c>
      <c r="C6353" s="1" t="n">
        <v>46093</v>
      </c>
      <c r="D6353" t="inlineStr">
        <is>
          <t>ÖSTERGÖTLANDS LÄN</t>
        </is>
      </c>
      <c r="E6353" t="inlineStr">
        <is>
          <t>MOTALA</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24499-2025</t>
        </is>
      </c>
      <c r="B6354" s="1" t="n">
        <v>45798.39575231481</v>
      </c>
      <c r="C6354" s="1" t="n">
        <v>46093</v>
      </c>
      <c r="D6354" t="inlineStr">
        <is>
          <t>ÖSTERGÖTLANDS LÄN</t>
        </is>
      </c>
      <c r="E6354" t="inlineStr">
        <is>
          <t>MJÖLBY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4170-2026</t>
        </is>
      </c>
      <c r="B6355" s="1" t="n">
        <v>46044.67179398148</v>
      </c>
      <c r="C6355" s="1" t="n">
        <v>46093</v>
      </c>
      <c r="D6355" t="inlineStr">
        <is>
          <t>ÖSTERGÖTLANDS LÄN</t>
        </is>
      </c>
      <c r="E6355" t="inlineStr">
        <is>
          <t>YDRE</t>
        </is>
      </c>
      <c r="F6355" t="inlineStr">
        <is>
          <t>Övriga Aktiebolag</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3866-2026</t>
        </is>
      </c>
      <c r="B6356" s="1" t="n">
        <v>46043.63300925926</v>
      </c>
      <c r="C6356" s="1" t="n">
        <v>46093</v>
      </c>
      <c r="D6356" t="inlineStr">
        <is>
          <t>ÖSTERGÖTLANDS LÄN</t>
        </is>
      </c>
      <c r="E6356" t="inlineStr">
        <is>
          <t>NORRKÖPING</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24325-2025</t>
        </is>
      </c>
      <c r="B6357" s="1" t="n">
        <v>45797</v>
      </c>
      <c r="C6357" s="1" t="n">
        <v>46093</v>
      </c>
      <c r="D6357" t="inlineStr">
        <is>
          <t>ÖSTERGÖTLANDS LÄN</t>
        </is>
      </c>
      <c r="E6357" t="inlineStr">
        <is>
          <t>BOXHOLM</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24355-2025</t>
        </is>
      </c>
      <c r="B6358" s="1" t="n">
        <v>45797</v>
      </c>
      <c r="C6358" s="1" t="n">
        <v>46093</v>
      </c>
      <c r="D6358" t="inlineStr">
        <is>
          <t>ÖSTERGÖTLANDS LÄN</t>
        </is>
      </c>
      <c r="E6358" t="inlineStr">
        <is>
          <t>SÖDERKÖPING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24371-2025</t>
        </is>
      </c>
      <c r="B6359" s="1" t="n">
        <v>45797.60896990741</v>
      </c>
      <c r="C6359" s="1" t="n">
        <v>46093</v>
      </c>
      <c r="D6359" t="inlineStr">
        <is>
          <t>ÖSTERGÖTLANDS LÄN</t>
        </is>
      </c>
      <c r="E6359" t="inlineStr">
        <is>
          <t>VALDEMARSVIK</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3739-2026</t>
        </is>
      </c>
      <c r="B6360" s="1" t="n">
        <v>46043.53034722222</v>
      </c>
      <c r="C6360" s="1" t="n">
        <v>46093</v>
      </c>
      <c r="D6360" t="inlineStr">
        <is>
          <t>ÖSTERGÖTLANDS LÄN</t>
        </is>
      </c>
      <c r="E6360" t="inlineStr">
        <is>
          <t>ÅTVIDABERG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11839-2026</t>
        </is>
      </c>
      <c r="B6361" s="1" t="n">
        <v>46085.44180555556</v>
      </c>
      <c r="C6361" s="1" t="n">
        <v>46093</v>
      </c>
      <c r="D6361" t="inlineStr">
        <is>
          <t>ÖSTERGÖTLANDS LÄN</t>
        </is>
      </c>
      <c r="E6361" t="inlineStr">
        <is>
          <t>FINSPÅNG</t>
        </is>
      </c>
      <c r="F6361" t="inlineStr">
        <is>
          <t>Holmen skog AB</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2336-2024</t>
        </is>
      </c>
      <c r="B6362" s="1" t="n">
        <v>45310.56167824074</v>
      </c>
      <c r="C6362" s="1" t="n">
        <v>46093</v>
      </c>
      <c r="D6362" t="inlineStr">
        <is>
          <t>ÖSTERGÖTLANDS LÄN</t>
        </is>
      </c>
      <c r="E6362" t="inlineStr">
        <is>
          <t>VALDEMARSVIK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25306-2025</t>
        </is>
      </c>
      <c r="B6363" s="1" t="n">
        <v>45800.57334490741</v>
      </c>
      <c r="C6363" s="1" t="n">
        <v>46093</v>
      </c>
      <c r="D6363" t="inlineStr">
        <is>
          <t>ÖSTERGÖTLANDS LÄN</t>
        </is>
      </c>
      <c r="E6363" t="inlineStr">
        <is>
          <t>FINSPÅNG</t>
        </is>
      </c>
      <c r="F6363" t="inlineStr">
        <is>
          <t>Naturvårdsverket</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42514-2024</t>
        </is>
      </c>
      <c r="B6364" s="1" t="n">
        <v>45565.5381712963</v>
      </c>
      <c r="C6364" s="1" t="n">
        <v>46093</v>
      </c>
      <c r="D6364" t="inlineStr">
        <is>
          <t>ÖSTERGÖTLANDS LÄN</t>
        </is>
      </c>
      <c r="E6364" t="inlineStr">
        <is>
          <t>NORRKÖPING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11807-2026</t>
        </is>
      </c>
      <c r="B6365" s="1" t="n">
        <v>46085.36393518518</v>
      </c>
      <c r="C6365" s="1" t="n">
        <v>46093</v>
      </c>
      <c r="D6365" t="inlineStr">
        <is>
          <t>ÖSTERGÖTLANDS LÄN</t>
        </is>
      </c>
      <c r="E6365" t="inlineStr">
        <is>
          <t>FINSPÅNG</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11813-2026</t>
        </is>
      </c>
      <c r="B6366" s="1" t="n">
        <v>46085.38008101852</v>
      </c>
      <c r="C6366" s="1" t="n">
        <v>46093</v>
      </c>
      <c r="D6366" t="inlineStr">
        <is>
          <t>ÖSTERGÖTLANDS LÄN</t>
        </is>
      </c>
      <c r="E6366" t="inlineStr">
        <is>
          <t>FINSPÅNG</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11888-2026</t>
        </is>
      </c>
      <c r="B6367" s="1" t="n">
        <v>46085.51813657407</v>
      </c>
      <c r="C6367" s="1" t="n">
        <v>46093</v>
      </c>
      <c r="D6367" t="inlineStr">
        <is>
          <t>ÖSTERGÖTLANDS LÄN</t>
        </is>
      </c>
      <c r="E6367" t="inlineStr">
        <is>
          <t>LINKÖPING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11814-2026</t>
        </is>
      </c>
      <c r="B6368" s="1" t="n">
        <v>46085.38189814815</v>
      </c>
      <c r="C6368" s="1" t="n">
        <v>46093</v>
      </c>
      <c r="D6368" t="inlineStr">
        <is>
          <t>ÖSTERGÖTLANDS LÄN</t>
        </is>
      </c>
      <c r="E6368" t="inlineStr">
        <is>
          <t>FINSPÅNG</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3867-2026</t>
        </is>
      </c>
      <c r="B6369" s="1" t="n">
        <v>46043.63504629629</v>
      </c>
      <c r="C6369" s="1" t="n">
        <v>46093</v>
      </c>
      <c r="D6369" t="inlineStr">
        <is>
          <t>ÖSTERGÖTLANDS LÄN</t>
        </is>
      </c>
      <c r="E6369" t="inlineStr">
        <is>
          <t>NORRKÖPING</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3949-2026</t>
        </is>
      </c>
      <c r="B6370" s="1" t="n">
        <v>46044.29256944444</v>
      </c>
      <c r="C6370" s="1" t="n">
        <v>46093</v>
      </c>
      <c r="D6370" t="inlineStr">
        <is>
          <t>ÖSTERGÖTLANDS LÄN</t>
        </is>
      </c>
      <c r="E6370" t="inlineStr">
        <is>
          <t>ÅTVIDABERG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16582-2024</t>
        </is>
      </c>
      <c r="B6371" s="1" t="n">
        <v>45408</v>
      </c>
      <c r="C6371" s="1" t="n">
        <v>46093</v>
      </c>
      <c r="D6371" t="inlineStr">
        <is>
          <t>ÖSTERGÖTLANDS LÄN</t>
        </is>
      </c>
      <c r="E6371" t="inlineStr">
        <is>
          <t>NORRKÖPING</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12068-2026</t>
        </is>
      </c>
      <c r="B6372" s="1" t="n">
        <v>46086.41307870371</v>
      </c>
      <c r="C6372" s="1" t="n">
        <v>46093</v>
      </c>
      <c r="D6372" t="inlineStr">
        <is>
          <t>ÖSTERGÖTLANDS LÄN</t>
        </is>
      </c>
      <c r="E6372" t="inlineStr">
        <is>
          <t>ÅTVIDABERG</t>
        </is>
      </c>
      <c r="F6372" t="inlineStr">
        <is>
          <t>Holmen skog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25272-2025</t>
        </is>
      </c>
      <c r="B6373" s="1" t="n">
        <v>45800</v>
      </c>
      <c r="C6373" s="1" t="n">
        <v>46093</v>
      </c>
      <c r="D6373" t="inlineStr">
        <is>
          <t>ÖSTERGÖTLANDS LÄN</t>
        </is>
      </c>
      <c r="E6373" t="inlineStr">
        <is>
          <t>FINSPÅNG</t>
        </is>
      </c>
      <c r="F6373" t="inlineStr">
        <is>
          <t>Naturvårdsverket</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3763-2026</t>
        </is>
      </c>
      <c r="B6374" s="1" t="n">
        <v>46043</v>
      </c>
      <c r="C6374" s="1" t="n">
        <v>46093</v>
      </c>
      <c r="D6374" t="inlineStr">
        <is>
          <t>ÖSTERGÖTLANDS LÄN</t>
        </is>
      </c>
      <c r="E6374" t="inlineStr">
        <is>
          <t>ÅTVIDABERG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3770-2026</t>
        </is>
      </c>
      <c r="B6375" s="1" t="n">
        <v>46043</v>
      </c>
      <c r="C6375" s="1" t="n">
        <v>46093</v>
      </c>
      <c r="D6375" t="inlineStr">
        <is>
          <t>ÖSTERGÖTLANDS LÄN</t>
        </is>
      </c>
      <c r="E6375" t="inlineStr">
        <is>
          <t>ÅTVIDABERG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40068-2024</t>
        </is>
      </c>
      <c r="B6376" s="1" t="n">
        <v>45554.28857638889</v>
      </c>
      <c r="C6376" s="1" t="n">
        <v>46093</v>
      </c>
      <c r="D6376" t="inlineStr">
        <is>
          <t>ÖSTERGÖTLANDS LÄN</t>
        </is>
      </c>
      <c r="E6376" t="inlineStr">
        <is>
          <t>NORRKÖPING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44280-2024</t>
        </is>
      </c>
      <c r="B6377" s="1" t="n">
        <v>45573.49461805556</v>
      </c>
      <c r="C6377" s="1" t="n">
        <v>46093</v>
      </c>
      <c r="D6377" t="inlineStr">
        <is>
          <t>ÖSTERGÖTLANDS LÄN</t>
        </is>
      </c>
      <c r="E6377" t="inlineStr">
        <is>
          <t>LINKÖPING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24774-2025</t>
        </is>
      </c>
      <c r="B6378" s="1" t="n">
        <v>45799</v>
      </c>
      <c r="C6378" s="1" t="n">
        <v>46093</v>
      </c>
      <c r="D6378" t="inlineStr">
        <is>
          <t>ÖSTERGÖTLANDS LÄN</t>
        </is>
      </c>
      <c r="E6378" t="inlineStr">
        <is>
          <t>KINDA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3752-2026</t>
        </is>
      </c>
      <c r="B6379" s="1" t="n">
        <v>46043.54976851852</v>
      </c>
      <c r="C6379" s="1" t="n">
        <v>46093</v>
      </c>
      <c r="D6379" t="inlineStr">
        <is>
          <t>ÖSTERGÖTLANDS LÄN</t>
        </is>
      </c>
      <c r="E6379" t="inlineStr">
        <is>
          <t>KINDA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24754-2025</t>
        </is>
      </c>
      <c r="B6380" s="1" t="n">
        <v>45799.36881944445</v>
      </c>
      <c r="C6380" s="1" t="n">
        <v>46093</v>
      </c>
      <c r="D6380" t="inlineStr">
        <is>
          <t>ÖSTERGÖTLANDS LÄN</t>
        </is>
      </c>
      <c r="E6380" t="inlineStr">
        <is>
          <t>KINDA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3832-2026</t>
        </is>
      </c>
      <c r="B6381" s="1" t="n">
        <v>46043.58969907407</v>
      </c>
      <c r="C6381" s="1" t="n">
        <v>46093</v>
      </c>
      <c r="D6381" t="inlineStr">
        <is>
          <t>ÖSTERGÖTLANDS LÄN</t>
        </is>
      </c>
      <c r="E6381" t="inlineStr">
        <is>
          <t>ÅTVIDABERG</t>
        </is>
      </c>
      <c r="F6381" t="inlineStr">
        <is>
          <t>Övriga Aktiebolag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3849-2026</t>
        </is>
      </c>
      <c r="B6382" s="1" t="n">
        <v>46043.6057175926</v>
      </c>
      <c r="C6382" s="1" t="n">
        <v>46093</v>
      </c>
      <c r="D6382" t="inlineStr">
        <is>
          <t>ÖSTERGÖTLANDS LÄN</t>
        </is>
      </c>
      <c r="E6382" t="inlineStr">
        <is>
          <t>KINDA</t>
        </is>
      </c>
      <c r="F6382" t="inlineStr">
        <is>
          <t>Kommuner</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3861-2026</t>
        </is>
      </c>
      <c r="B6383" s="1" t="n">
        <v>46043.62521990741</v>
      </c>
      <c r="C6383" s="1" t="n">
        <v>46093</v>
      </c>
      <c r="D6383" t="inlineStr">
        <is>
          <t>ÖSTERGÖTLANDS LÄN</t>
        </is>
      </c>
      <c r="E6383" t="inlineStr">
        <is>
          <t>NORRKÖPING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11922-2026</t>
        </is>
      </c>
      <c r="B6384" s="1" t="n">
        <v>46085.571875</v>
      </c>
      <c r="C6384" s="1" t="n">
        <v>46093</v>
      </c>
      <c r="D6384" t="inlineStr">
        <is>
          <t>ÖSTERGÖTLANDS LÄN</t>
        </is>
      </c>
      <c r="E6384" t="inlineStr">
        <is>
          <t>KINDA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12090-2026</t>
        </is>
      </c>
      <c r="B6385" s="1" t="n">
        <v>46086.46682870371</v>
      </c>
      <c r="C6385" s="1" t="n">
        <v>46093</v>
      </c>
      <c r="D6385" t="inlineStr">
        <is>
          <t>ÖSTERGÖTLANDS LÄN</t>
        </is>
      </c>
      <c r="E6385" t="inlineStr">
        <is>
          <t>ÅTVIDABERG</t>
        </is>
      </c>
      <c r="F6385" t="inlineStr">
        <is>
          <t>Holmen skog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25075-2025</t>
        </is>
      </c>
      <c r="B6386" s="1" t="n">
        <v>45799.86152777778</v>
      </c>
      <c r="C6386" s="1" t="n">
        <v>46093</v>
      </c>
      <c r="D6386" t="inlineStr">
        <is>
          <t>ÖSTERGÖTLANDS LÄN</t>
        </is>
      </c>
      <c r="E6386" t="inlineStr">
        <is>
          <t>ÅTVIDABERG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25342-2025</t>
        </is>
      </c>
      <c r="B6387" s="1" t="n">
        <v>45800</v>
      </c>
      <c r="C6387" s="1" t="n">
        <v>46093</v>
      </c>
      <c r="D6387" t="inlineStr">
        <is>
          <t>ÖSTERGÖTLANDS LÄN</t>
        </is>
      </c>
      <c r="E6387" t="inlineStr">
        <is>
          <t>FINSPÅNG</t>
        </is>
      </c>
      <c r="F6387" t="inlineStr">
        <is>
          <t>Naturvårdsverket</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4224-2025</t>
        </is>
      </c>
      <c r="B6388" s="1" t="n">
        <v>45685</v>
      </c>
      <c r="C6388" s="1" t="n">
        <v>46093</v>
      </c>
      <c r="D6388" t="inlineStr">
        <is>
          <t>ÖSTERGÖTLANDS LÄN</t>
        </is>
      </c>
      <c r="E6388" t="inlineStr">
        <is>
          <t>SÖDERKÖPING</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10770-2025</t>
        </is>
      </c>
      <c r="B6389" s="1" t="n">
        <v>45722.46946759259</v>
      </c>
      <c r="C6389" s="1" t="n">
        <v>46093</v>
      </c>
      <c r="D6389" t="inlineStr">
        <is>
          <t>ÖSTERGÖTLANDS LÄN</t>
        </is>
      </c>
      <c r="E6389" t="inlineStr">
        <is>
          <t>NORRKÖPING</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3950-2026</t>
        </is>
      </c>
      <c r="B6390" s="1" t="n">
        <v>46044.29564814815</v>
      </c>
      <c r="C6390" s="1" t="n">
        <v>46093</v>
      </c>
      <c r="D6390" t="inlineStr">
        <is>
          <t>ÖSTERGÖTLANDS LÄN</t>
        </is>
      </c>
      <c r="E6390" t="inlineStr">
        <is>
          <t>ÅTVIDABERG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25319-2025</t>
        </is>
      </c>
      <c r="B6391" s="1" t="n">
        <v>45800.58203703703</v>
      </c>
      <c r="C6391" s="1" t="n">
        <v>46093</v>
      </c>
      <c r="D6391" t="inlineStr">
        <is>
          <t>ÖSTERGÖTLANDS LÄN</t>
        </is>
      </c>
      <c r="E6391" t="inlineStr">
        <is>
          <t>FINSPÅNG</t>
        </is>
      </c>
      <c r="F6391" t="inlineStr">
        <is>
          <t>Naturvårdsverket</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25937-2024</t>
        </is>
      </c>
      <c r="B6392" s="1" t="n">
        <v>45467</v>
      </c>
      <c r="C6392" s="1" t="n">
        <v>46093</v>
      </c>
      <c r="D6392" t="inlineStr">
        <is>
          <t>ÖSTERGÖTLANDS LÄN</t>
        </is>
      </c>
      <c r="E6392" t="inlineStr">
        <is>
          <t>BOXHOLM</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3729-2026</t>
        </is>
      </c>
      <c r="B6393" s="1" t="n">
        <v>46043.50650462963</v>
      </c>
      <c r="C6393" s="1" t="n">
        <v>46093</v>
      </c>
      <c r="D6393" t="inlineStr">
        <is>
          <t>ÖSTERGÖTLANDS LÄN</t>
        </is>
      </c>
      <c r="E6393" t="inlineStr">
        <is>
          <t>ÅTVIDABERG</t>
        </is>
      </c>
      <c r="F6393" t="inlineStr">
        <is>
          <t>Övriga Aktiebolag</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3910-2026</t>
        </is>
      </c>
      <c r="B6394" s="1" t="n">
        <v>46043.71197916667</v>
      </c>
      <c r="C6394" s="1" t="n">
        <v>46093</v>
      </c>
      <c r="D6394" t="inlineStr">
        <is>
          <t>ÖSTERGÖTLANDS LÄN</t>
        </is>
      </c>
      <c r="E6394" t="inlineStr">
        <is>
          <t>ÅTVIDABERG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3911-2026</t>
        </is>
      </c>
      <c r="B6395" s="1" t="n">
        <v>46043.71537037037</v>
      </c>
      <c r="C6395" s="1" t="n">
        <v>46093</v>
      </c>
      <c r="D6395" t="inlineStr">
        <is>
          <t>ÖSTERGÖTLANDS LÄN</t>
        </is>
      </c>
      <c r="E6395" t="inlineStr">
        <is>
          <t>ÅTVIDABERG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3917-2026</t>
        </is>
      </c>
      <c r="B6396" s="1" t="n">
        <v>46043.73894675926</v>
      </c>
      <c r="C6396" s="1" t="n">
        <v>46093</v>
      </c>
      <c r="D6396" t="inlineStr">
        <is>
          <t>ÖSTERGÖTLANDS LÄN</t>
        </is>
      </c>
      <c r="E6396" t="inlineStr">
        <is>
          <t>ÅTVIDABERG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25419-2025</t>
        </is>
      </c>
      <c r="B6397" s="1" t="n">
        <v>45800.68248842593</v>
      </c>
      <c r="C6397" s="1" t="n">
        <v>46093</v>
      </c>
      <c r="D6397" t="inlineStr">
        <is>
          <t>ÖSTERGÖTLANDS LÄN</t>
        </is>
      </c>
      <c r="E6397" t="inlineStr">
        <is>
          <t>ÅTVIDABERG</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3942-2026</t>
        </is>
      </c>
      <c r="B6398" s="1" t="n">
        <v>46043.92414351852</v>
      </c>
      <c r="C6398" s="1" t="n">
        <v>46093</v>
      </c>
      <c r="D6398" t="inlineStr">
        <is>
          <t>ÖSTERGÖTLANDS LÄN</t>
        </is>
      </c>
      <c r="E6398" t="inlineStr">
        <is>
          <t>FINSPÅNG</t>
        </is>
      </c>
      <c r="F6398" t="inlineStr">
        <is>
          <t>Övriga Aktiebolag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25087-2025</t>
        </is>
      </c>
      <c r="B6399" s="1" t="n">
        <v>45800.29532407408</v>
      </c>
      <c r="C6399" s="1" t="n">
        <v>46093</v>
      </c>
      <c r="D6399" t="inlineStr">
        <is>
          <t>ÖSTERGÖTLANDS LÄN</t>
        </is>
      </c>
      <c r="E6399" t="inlineStr">
        <is>
          <t>VALDEMARSVIK</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4249-2026</t>
        </is>
      </c>
      <c r="B6400" s="1" t="n">
        <v>46045.31988425926</v>
      </c>
      <c r="C6400" s="1" t="n">
        <v>46093</v>
      </c>
      <c r="D6400" t="inlineStr">
        <is>
          <t>ÖSTERGÖTLANDS LÄN</t>
        </is>
      </c>
      <c r="E6400" t="inlineStr">
        <is>
          <t>YDRE</t>
        </is>
      </c>
      <c r="F6400" t="inlineStr">
        <is>
          <t>Sveaskog</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4251-2026</t>
        </is>
      </c>
      <c r="B6401" s="1" t="n">
        <v>46045.32553240741</v>
      </c>
      <c r="C6401" s="1" t="n">
        <v>46093</v>
      </c>
      <c r="D6401" t="inlineStr">
        <is>
          <t>ÖSTERGÖTLANDS LÄN</t>
        </is>
      </c>
      <c r="E6401" t="inlineStr">
        <is>
          <t>YDRE</t>
        </is>
      </c>
      <c r="F6401" t="inlineStr">
        <is>
          <t>Sveaskog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12255-2026</t>
        </is>
      </c>
      <c r="B6402" s="1" t="n">
        <v>46087.46630787037</v>
      </c>
      <c r="C6402" s="1" t="n">
        <v>46093</v>
      </c>
      <c r="D6402" t="inlineStr">
        <is>
          <t>ÖSTERGÖTLANDS LÄN</t>
        </is>
      </c>
      <c r="E6402" t="inlineStr">
        <is>
          <t>LINKÖPING</t>
        </is>
      </c>
      <c r="F6402" t="inlineStr">
        <is>
          <t>Övriga Aktiebolag</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11702-2026</t>
        </is>
      </c>
      <c r="B6403" s="1" t="n">
        <v>46084</v>
      </c>
      <c r="C6403" s="1" t="n">
        <v>46093</v>
      </c>
      <c r="D6403" t="inlineStr">
        <is>
          <t>ÖSTERGÖTLANDS LÄN</t>
        </is>
      </c>
      <c r="E6403" t="inlineStr">
        <is>
          <t>NORRKÖPING</t>
        </is>
      </c>
      <c r="F6403" t="inlineStr">
        <is>
          <t>Allmännings- och besparingsskogar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25645-2025</t>
        </is>
      </c>
      <c r="B6404" s="1" t="n">
        <v>45803.60685185185</v>
      </c>
      <c r="C6404" s="1" t="n">
        <v>46093</v>
      </c>
      <c r="D6404" t="inlineStr">
        <is>
          <t>ÖSTERGÖTLANDS LÄN</t>
        </is>
      </c>
      <c r="E6404" t="inlineStr">
        <is>
          <t>VALDEMARSVIK</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18740-2025</t>
        </is>
      </c>
      <c r="B6405" s="1" t="n">
        <v>45763.71474537037</v>
      </c>
      <c r="C6405" s="1" t="n">
        <v>46093</v>
      </c>
      <c r="D6405" t="inlineStr">
        <is>
          <t>ÖSTERGÖTLANDS LÄN</t>
        </is>
      </c>
      <c r="E6405" t="inlineStr">
        <is>
          <t>MJÖLBY</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6188-2026</t>
        </is>
      </c>
      <c r="B6406" s="1" t="n">
        <v>46055.3728125</v>
      </c>
      <c r="C6406" s="1" t="n">
        <v>46093</v>
      </c>
      <c r="D6406" t="inlineStr">
        <is>
          <t>ÖSTERGÖTLANDS LÄN</t>
        </is>
      </c>
      <c r="E6406" t="inlineStr">
        <is>
          <t>MOTALA</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25546-2025</t>
        </is>
      </c>
      <c r="B6407" s="1" t="n">
        <v>45803.43815972222</v>
      </c>
      <c r="C6407" s="1" t="n">
        <v>46093</v>
      </c>
      <c r="D6407" t="inlineStr">
        <is>
          <t>ÖSTERGÖTLANDS LÄN</t>
        </is>
      </c>
      <c r="E6407" t="inlineStr">
        <is>
          <t>NORRKÖPING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11184-2026</t>
        </is>
      </c>
      <c r="B6408" s="1" t="n">
        <v>46080</v>
      </c>
      <c r="C6408" s="1" t="n">
        <v>46093</v>
      </c>
      <c r="D6408" t="inlineStr">
        <is>
          <t>ÖSTERGÖTLANDS LÄN</t>
        </is>
      </c>
      <c r="E6408" t="inlineStr">
        <is>
          <t>KINDA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4594-2026</t>
        </is>
      </c>
      <c r="B6409" s="1" t="n">
        <v>46048.34472222222</v>
      </c>
      <c r="C6409" s="1" t="n">
        <v>46093</v>
      </c>
      <c r="D6409" t="inlineStr">
        <is>
          <t>ÖSTERGÖTLANDS LÄN</t>
        </is>
      </c>
      <c r="E6409" t="inlineStr">
        <is>
          <t>ÅTVIDABERG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25949-2025</t>
        </is>
      </c>
      <c r="B6410" s="1" t="n">
        <v>45804.59579861111</v>
      </c>
      <c r="C6410" s="1" t="n">
        <v>46093</v>
      </c>
      <c r="D6410" t="inlineStr">
        <is>
          <t>ÖSTERGÖTLANDS LÄN</t>
        </is>
      </c>
      <c r="E6410" t="inlineStr">
        <is>
          <t>NORRKÖPING</t>
        </is>
      </c>
      <c r="F6410" t="inlineStr">
        <is>
          <t>Kommuner</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4585-2026</t>
        </is>
      </c>
      <c r="B6411" s="1" t="n">
        <v>46048.33707175926</v>
      </c>
      <c r="C6411" s="1" t="n">
        <v>46093</v>
      </c>
      <c r="D6411" t="inlineStr">
        <is>
          <t>ÖSTERGÖTLANDS LÄN</t>
        </is>
      </c>
      <c r="E6411" t="inlineStr">
        <is>
          <t>ÅTVIDABERG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25996-2025</t>
        </is>
      </c>
      <c r="B6412" s="1" t="n">
        <v>45804.65851851852</v>
      </c>
      <c r="C6412" s="1" t="n">
        <v>46093</v>
      </c>
      <c r="D6412" t="inlineStr">
        <is>
          <t>ÖSTERGÖTLANDS LÄN</t>
        </is>
      </c>
      <c r="E6412" t="inlineStr">
        <is>
          <t>LINKÖPING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25600-2025</t>
        </is>
      </c>
      <c r="B6413" s="1" t="n">
        <v>45803.54116898148</v>
      </c>
      <c r="C6413" s="1" t="n">
        <v>46093</v>
      </c>
      <c r="D6413" t="inlineStr">
        <is>
          <t>ÖSTERGÖTLANDS LÄN</t>
        </is>
      </c>
      <c r="E6413" t="inlineStr">
        <is>
          <t>MOTALA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11245-2026</t>
        </is>
      </c>
      <c r="B6414" s="1" t="n">
        <v>46080</v>
      </c>
      <c r="C6414" s="1" t="n">
        <v>46093</v>
      </c>
      <c r="D6414" t="inlineStr">
        <is>
          <t>ÖSTERGÖTLANDS LÄN</t>
        </is>
      </c>
      <c r="E6414" t="inlineStr">
        <is>
          <t>NORRKÖPING</t>
        </is>
      </c>
      <c r="F6414" t="inlineStr">
        <is>
          <t>Allmännings- och besparingsskogar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5300-2025</t>
        </is>
      </c>
      <c r="B6415" s="1" t="n">
        <v>45692</v>
      </c>
      <c r="C6415" s="1" t="n">
        <v>46093</v>
      </c>
      <c r="D6415" t="inlineStr">
        <is>
          <t>ÖSTERGÖTLANDS LÄN</t>
        </is>
      </c>
      <c r="E6415" t="inlineStr">
        <is>
          <t>SÖDERKÖPING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11865-2026</t>
        </is>
      </c>
      <c r="B6416" s="1" t="n">
        <v>46085</v>
      </c>
      <c r="C6416" s="1" t="n">
        <v>46093</v>
      </c>
      <c r="D6416" t="inlineStr">
        <is>
          <t>ÖSTERGÖTLANDS LÄN</t>
        </is>
      </c>
      <c r="E6416" t="inlineStr">
        <is>
          <t>ÅTVIDABERG</t>
        </is>
      </c>
      <c r="G6416" t="n">
        <v>14.3</v>
      </c>
      <c r="H6416" t="n">
        <v>0</v>
      </c>
      <c r="I6416" t="n">
        <v>0</v>
      </c>
      <c r="J6416" t="n">
        <v>0</v>
      </c>
      <c r="K6416" t="n">
        <v>0</v>
      </c>
      <c r="L6416" t="n">
        <v>0</v>
      </c>
      <c r="M6416" t="n">
        <v>0</v>
      </c>
      <c r="N6416" t="n">
        <v>0</v>
      </c>
      <c r="O6416" t="n">
        <v>0</v>
      </c>
      <c r="P6416" t="n">
        <v>0</v>
      </c>
      <c r="Q6416" t="n">
        <v>0</v>
      </c>
      <c r="R6416" s="2" t="inlineStr"/>
    </row>
    <row r="6417" ht="15" customHeight="1">
      <c r="A6417" t="inlineStr">
        <is>
          <t>A 12584-2026</t>
        </is>
      </c>
      <c r="B6417" s="1" t="n">
        <v>46090.6808912037</v>
      </c>
      <c r="C6417" s="1" t="n">
        <v>46093</v>
      </c>
      <c r="D6417" t="inlineStr">
        <is>
          <t>ÖSTERGÖTLANDS LÄN</t>
        </is>
      </c>
      <c r="E6417" t="inlineStr">
        <is>
          <t>NORRKÖPING</t>
        </is>
      </c>
      <c r="F6417" t="inlineStr">
        <is>
          <t>Holmen skog AB</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4761-2026</t>
        </is>
      </c>
      <c r="B6418" s="1" t="n">
        <v>46048.53760416667</v>
      </c>
      <c r="C6418" s="1" t="n">
        <v>46093</v>
      </c>
      <c r="D6418" t="inlineStr">
        <is>
          <t>ÖSTERGÖTLANDS LÄN</t>
        </is>
      </c>
      <c r="E6418" t="inlineStr">
        <is>
          <t>MOTALA</t>
        </is>
      </c>
      <c r="F6418" t="inlineStr">
        <is>
          <t>Sveaskog</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18474-2025</t>
        </is>
      </c>
      <c r="B6419" s="1" t="n">
        <v>45762.76337962963</v>
      </c>
      <c r="C6419" s="1" t="n">
        <v>46093</v>
      </c>
      <c r="D6419" t="inlineStr">
        <is>
          <t>ÖSTERGÖTLANDS LÄN</t>
        </is>
      </c>
      <c r="E6419" t="inlineStr">
        <is>
          <t>NORRKÖPING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4215-2026</t>
        </is>
      </c>
      <c r="B6420" s="1" t="n">
        <v>46044.76925925926</v>
      </c>
      <c r="C6420" s="1" t="n">
        <v>46093</v>
      </c>
      <c r="D6420" t="inlineStr">
        <is>
          <t>ÖSTERGÖTLANDS LÄN</t>
        </is>
      </c>
      <c r="E6420" t="inlineStr">
        <is>
          <t>FINSPÅNG</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25930-2025</t>
        </is>
      </c>
      <c r="B6421" s="1" t="n">
        <v>45804.57940972222</v>
      </c>
      <c r="C6421" s="1" t="n">
        <v>46093</v>
      </c>
      <c r="D6421" t="inlineStr">
        <is>
          <t>ÖSTERGÖTLANDS LÄN</t>
        </is>
      </c>
      <c r="E6421" t="inlineStr">
        <is>
          <t>ÅTVIDABERG</t>
        </is>
      </c>
      <c r="F6421" t="inlineStr">
        <is>
          <t>Övriga Aktiebolag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26002-2025</t>
        </is>
      </c>
      <c r="B6422" s="1" t="n">
        <v>45804.66534722222</v>
      </c>
      <c r="C6422" s="1" t="n">
        <v>46093</v>
      </c>
      <c r="D6422" t="inlineStr">
        <is>
          <t>ÖSTERGÖTLANDS LÄN</t>
        </is>
      </c>
      <c r="E6422" t="inlineStr">
        <is>
          <t>LINKÖPING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12393-2026</t>
        </is>
      </c>
      <c r="B6423" s="1" t="n">
        <v>46090.38334490741</v>
      </c>
      <c r="C6423" s="1" t="n">
        <v>46093</v>
      </c>
      <c r="D6423" t="inlineStr">
        <is>
          <t>ÖSTERGÖTLANDS LÄN</t>
        </is>
      </c>
      <c r="E6423" t="inlineStr">
        <is>
          <t>ÅTVIDABERG</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8698-2026</t>
        </is>
      </c>
      <c r="B6424" s="1" t="n">
        <v>46066.45733796297</v>
      </c>
      <c r="C6424" s="1" t="n">
        <v>46093</v>
      </c>
      <c r="D6424" t="inlineStr">
        <is>
          <t>ÖSTERGÖTLANDS LÄN</t>
        </is>
      </c>
      <c r="E6424" t="inlineStr">
        <is>
          <t>MOTALA</t>
        </is>
      </c>
      <c r="F6424" t="inlineStr">
        <is>
          <t>Sveaskog</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61957-2022</t>
        </is>
      </c>
      <c r="B6425" s="1" t="n">
        <v>44918.34216435185</v>
      </c>
      <c r="C6425" s="1" t="n">
        <v>46093</v>
      </c>
      <c r="D6425" t="inlineStr">
        <is>
          <t>ÖSTERGÖTLANDS LÄN</t>
        </is>
      </c>
      <c r="E6425" t="inlineStr">
        <is>
          <t>KINDA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4401-2026</t>
        </is>
      </c>
      <c r="B6426" s="1" t="n">
        <v>46045.58934027778</v>
      </c>
      <c r="C6426" s="1" t="n">
        <v>46093</v>
      </c>
      <c r="D6426" t="inlineStr">
        <is>
          <t>ÖSTERGÖTLANDS LÄN</t>
        </is>
      </c>
      <c r="E6426" t="inlineStr">
        <is>
          <t>ÅTVIDABERG</t>
        </is>
      </c>
      <c r="F6426" t="inlineStr">
        <is>
          <t>Övriga Aktiebolag</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4850-2026</t>
        </is>
      </c>
      <c r="B6427" s="1" t="n">
        <v>46048.6265162037</v>
      </c>
      <c r="C6427" s="1" t="n">
        <v>46093</v>
      </c>
      <c r="D6427" t="inlineStr">
        <is>
          <t>ÖSTERGÖTLANDS LÄN</t>
        </is>
      </c>
      <c r="E6427" t="inlineStr">
        <is>
          <t>FINSPÅNG</t>
        </is>
      </c>
      <c r="F6427" t="inlineStr">
        <is>
          <t>Holmen skog AB</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4864-2026</t>
        </is>
      </c>
      <c r="B6428" s="1" t="n">
        <v>46048.64240740741</v>
      </c>
      <c r="C6428" s="1" t="n">
        <v>46093</v>
      </c>
      <c r="D6428" t="inlineStr">
        <is>
          <t>ÖSTERGÖTLANDS LÄN</t>
        </is>
      </c>
      <c r="E6428" t="inlineStr">
        <is>
          <t>FINSPÅNG</t>
        </is>
      </c>
      <c r="F6428" t="inlineStr">
        <is>
          <t>Holmen skog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4756-2026</t>
        </is>
      </c>
      <c r="B6429" s="1" t="n">
        <v>46048.53270833333</v>
      </c>
      <c r="C6429" s="1" t="n">
        <v>46093</v>
      </c>
      <c r="D6429" t="inlineStr">
        <is>
          <t>ÖSTERGÖTLANDS LÄN</t>
        </is>
      </c>
      <c r="E6429" t="inlineStr">
        <is>
          <t>MOTALA</t>
        </is>
      </c>
      <c r="F6429" t="inlineStr">
        <is>
          <t>Sveaskog</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4759-2026</t>
        </is>
      </c>
      <c r="B6430" s="1" t="n">
        <v>46048.53619212963</v>
      </c>
      <c r="C6430" s="1" t="n">
        <v>46093</v>
      </c>
      <c r="D6430" t="inlineStr">
        <is>
          <t>ÖSTERGÖTLANDS LÄN</t>
        </is>
      </c>
      <c r="E6430" t="inlineStr">
        <is>
          <t>MOTALA</t>
        </is>
      </c>
      <c r="F6430" t="inlineStr">
        <is>
          <t>Sveaskog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4331-2026</t>
        </is>
      </c>
      <c r="B6431" s="1" t="n">
        <v>46045.48028935185</v>
      </c>
      <c r="C6431" s="1" t="n">
        <v>46093</v>
      </c>
      <c r="D6431" t="inlineStr">
        <is>
          <t>ÖSTERGÖTLANDS LÄN</t>
        </is>
      </c>
      <c r="E6431" t="inlineStr">
        <is>
          <t>KINDA</t>
        </is>
      </c>
      <c r="F6431" t="inlineStr">
        <is>
          <t>Övriga Aktiebolag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4680-2026</t>
        </is>
      </c>
      <c r="B6432" s="1" t="n">
        <v>46048.42853009259</v>
      </c>
      <c r="C6432" s="1" t="n">
        <v>46093</v>
      </c>
      <c r="D6432" t="inlineStr">
        <is>
          <t>ÖSTERGÖTLANDS LÄN</t>
        </is>
      </c>
      <c r="E6432" t="inlineStr">
        <is>
          <t>ÅTVIDABERG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38886-2024</t>
        </is>
      </c>
      <c r="B6433" s="1" t="n">
        <v>45547.66443287037</v>
      </c>
      <c r="C6433" s="1" t="n">
        <v>46093</v>
      </c>
      <c r="D6433" t="inlineStr">
        <is>
          <t>ÖSTERGÖTLANDS LÄN</t>
        </is>
      </c>
      <c r="E6433" t="inlineStr">
        <is>
          <t>LINKÖPING</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7852-2026</t>
        </is>
      </c>
      <c r="B6434" s="1" t="n">
        <v>46062</v>
      </c>
      <c r="C6434" s="1" t="n">
        <v>46093</v>
      </c>
      <c r="D6434" t="inlineStr">
        <is>
          <t>ÖSTERGÖTLANDS LÄN</t>
        </is>
      </c>
      <c r="E6434" t="inlineStr">
        <is>
          <t>SÖDERKÖPING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9381-2026</t>
        </is>
      </c>
      <c r="B6435" s="1" t="n">
        <v>46071.30873842593</v>
      </c>
      <c r="C6435" s="1" t="n">
        <v>46093</v>
      </c>
      <c r="D6435" t="inlineStr">
        <is>
          <t>ÖSTERGÖTLANDS LÄN</t>
        </is>
      </c>
      <c r="E6435" t="inlineStr">
        <is>
          <t>YDRE</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12482-2026</t>
        </is>
      </c>
      <c r="B6436" s="1" t="n">
        <v>46090.56292824074</v>
      </c>
      <c r="C6436" s="1" t="n">
        <v>46093</v>
      </c>
      <c r="D6436" t="inlineStr">
        <is>
          <t>ÖSTERGÖTLANDS LÄN</t>
        </is>
      </c>
      <c r="E6436" t="inlineStr">
        <is>
          <t>LINKÖPING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12486-2026</t>
        </is>
      </c>
      <c r="B6437" s="1" t="n">
        <v>46090.56501157407</v>
      </c>
      <c r="C6437" s="1" t="n">
        <v>46093</v>
      </c>
      <c r="D6437" t="inlineStr">
        <is>
          <t>ÖSTERGÖTLANDS LÄN</t>
        </is>
      </c>
      <c r="E6437" t="inlineStr">
        <is>
          <t>LINKÖPING</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26355-2025</t>
        </is>
      </c>
      <c r="B6438" s="1" t="n">
        <v>45805.86400462963</v>
      </c>
      <c r="C6438" s="1" t="n">
        <v>46093</v>
      </c>
      <c r="D6438" t="inlineStr">
        <is>
          <t>ÖSTERGÖTLANDS LÄN</t>
        </is>
      </c>
      <c r="E6438" t="inlineStr">
        <is>
          <t>FINSPÅNG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26273-2025</t>
        </is>
      </c>
      <c r="B6439" s="1" t="n">
        <v>45805.60137731482</v>
      </c>
      <c r="C6439" s="1" t="n">
        <v>46093</v>
      </c>
      <c r="D6439" t="inlineStr">
        <is>
          <t>ÖSTERGÖTLANDS LÄN</t>
        </is>
      </c>
      <c r="E6439" t="inlineStr">
        <is>
          <t>MOTALA</t>
        </is>
      </c>
      <c r="F6439" t="inlineStr">
        <is>
          <t>Sveaskog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26280-2025</t>
        </is>
      </c>
      <c r="B6440" s="1" t="n">
        <v>45805.60756944444</v>
      </c>
      <c r="C6440" s="1" t="n">
        <v>46093</v>
      </c>
      <c r="D6440" t="inlineStr">
        <is>
          <t>ÖSTERGÖTLANDS LÄN</t>
        </is>
      </c>
      <c r="E6440" t="inlineStr">
        <is>
          <t>MOTALA</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26281-2025</t>
        </is>
      </c>
      <c r="B6441" s="1" t="n">
        <v>45805.60854166667</v>
      </c>
      <c r="C6441" s="1" t="n">
        <v>46093</v>
      </c>
      <c r="D6441" t="inlineStr">
        <is>
          <t>ÖSTERGÖTLANDS LÄN</t>
        </is>
      </c>
      <c r="E6441" t="inlineStr">
        <is>
          <t>MOTALA</t>
        </is>
      </c>
      <c r="F6441" t="inlineStr">
        <is>
          <t>Sveaskog</t>
        </is>
      </c>
      <c r="G6441" t="n">
        <v>17.3</v>
      </c>
      <c r="H6441" t="n">
        <v>0</v>
      </c>
      <c r="I6441" t="n">
        <v>0</v>
      </c>
      <c r="J6441" t="n">
        <v>0</v>
      </c>
      <c r="K6441" t="n">
        <v>0</v>
      </c>
      <c r="L6441" t="n">
        <v>0</v>
      </c>
      <c r="M6441" t="n">
        <v>0</v>
      </c>
      <c r="N6441" t="n">
        <v>0</v>
      </c>
      <c r="O6441" t="n">
        <v>0</v>
      </c>
      <c r="P6441" t="n">
        <v>0</v>
      </c>
      <c r="Q6441" t="n">
        <v>0</v>
      </c>
      <c r="R6441" s="2" t="inlineStr"/>
    </row>
    <row r="6442" ht="15" customHeight="1">
      <c r="A6442" t="inlineStr">
        <is>
          <t>A 26351-2025</t>
        </is>
      </c>
      <c r="B6442" s="1" t="n">
        <v>45805.8593287037</v>
      </c>
      <c r="C6442" s="1" t="n">
        <v>46093</v>
      </c>
      <c r="D6442" t="inlineStr">
        <is>
          <t>ÖSTERGÖTLANDS LÄN</t>
        </is>
      </c>
      <c r="E6442" t="inlineStr">
        <is>
          <t>FINSPÅNG</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11850-2026</t>
        </is>
      </c>
      <c r="B6443" s="1" t="n">
        <v>46085</v>
      </c>
      <c r="C6443" s="1" t="n">
        <v>46093</v>
      </c>
      <c r="D6443" t="inlineStr">
        <is>
          <t>ÖSTERGÖTLANDS LÄN</t>
        </is>
      </c>
      <c r="E6443" t="inlineStr">
        <is>
          <t>BOXHOLM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26282-2025</t>
        </is>
      </c>
      <c r="B6444" s="1" t="n">
        <v>45805.60946759259</v>
      </c>
      <c r="C6444" s="1" t="n">
        <v>46093</v>
      </c>
      <c r="D6444" t="inlineStr">
        <is>
          <t>ÖSTERGÖTLANDS LÄN</t>
        </is>
      </c>
      <c r="E6444" t="inlineStr">
        <is>
          <t>MOTALA</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4400-2026</t>
        </is>
      </c>
      <c r="B6445" s="1" t="n">
        <v>46045.58835648148</v>
      </c>
      <c r="C6445" s="1" t="n">
        <v>46093</v>
      </c>
      <c r="D6445" t="inlineStr">
        <is>
          <t>ÖSTERGÖTLANDS LÄN</t>
        </is>
      </c>
      <c r="E6445" t="inlineStr">
        <is>
          <t>ÅTVIDABERG</t>
        </is>
      </c>
      <c r="F6445" t="inlineStr">
        <is>
          <t>Övriga Aktiebolag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12251-2026</t>
        </is>
      </c>
      <c r="B6446" s="1" t="n">
        <v>46087.45278935185</v>
      </c>
      <c r="C6446" s="1" t="n">
        <v>46093</v>
      </c>
      <c r="D6446" t="inlineStr">
        <is>
          <t>ÖSTERGÖTLANDS LÄN</t>
        </is>
      </c>
      <c r="E6446" t="inlineStr">
        <is>
          <t>LINKÖPING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12279-2026</t>
        </is>
      </c>
      <c r="B6447" s="1" t="n">
        <v>46087</v>
      </c>
      <c r="C6447" s="1" t="n">
        <v>46093</v>
      </c>
      <c r="D6447" t="inlineStr">
        <is>
          <t>ÖSTERGÖTLANDS LÄN</t>
        </is>
      </c>
      <c r="E6447" t="inlineStr">
        <is>
          <t>NORRKÖPING</t>
        </is>
      </c>
      <c r="F6447" t="inlineStr">
        <is>
          <t>Allmännings- och besparingsskogar</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4355-2026</t>
        </is>
      </c>
      <c r="B6448" s="1" t="n">
        <v>46045.53561342593</v>
      </c>
      <c r="C6448" s="1" t="n">
        <v>46093</v>
      </c>
      <c r="D6448" t="inlineStr">
        <is>
          <t>ÖSTERGÖTLANDS LÄN</t>
        </is>
      </c>
      <c r="E6448" t="inlineStr">
        <is>
          <t>ÅTVIDABERG</t>
        </is>
      </c>
      <c r="F6448" t="inlineStr">
        <is>
          <t>Övriga Aktiebolag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4837-2026</t>
        </is>
      </c>
      <c r="B6449" s="1" t="n">
        <v>46048.61173611111</v>
      </c>
      <c r="C6449" s="1" t="n">
        <v>46093</v>
      </c>
      <c r="D6449" t="inlineStr">
        <is>
          <t>ÖSTERGÖTLANDS LÄN</t>
        </is>
      </c>
      <c r="E6449" t="inlineStr">
        <is>
          <t>MJÖLBY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4853-2026</t>
        </is>
      </c>
      <c r="B6450" s="1" t="n">
        <v>46048.63337962963</v>
      </c>
      <c r="C6450" s="1" t="n">
        <v>46093</v>
      </c>
      <c r="D6450" t="inlineStr">
        <is>
          <t>ÖSTERGÖTLANDS LÄN</t>
        </is>
      </c>
      <c r="E6450" t="inlineStr">
        <is>
          <t>FINSPÅNG</t>
        </is>
      </c>
      <c r="F6450" t="inlineStr">
        <is>
          <t>Holmen skog AB</t>
        </is>
      </c>
      <c r="G6450" t="n">
        <v>16.1</v>
      </c>
      <c r="H6450" t="n">
        <v>0</v>
      </c>
      <c r="I6450" t="n">
        <v>0</v>
      </c>
      <c r="J6450" t="n">
        <v>0</v>
      </c>
      <c r="K6450" t="n">
        <v>0</v>
      </c>
      <c r="L6450" t="n">
        <v>0</v>
      </c>
      <c r="M6450" t="n">
        <v>0</v>
      </c>
      <c r="N6450" t="n">
        <v>0</v>
      </c>
      <c r="O6450" t="n">
        <v>0</v>
      </c>
      <c r="P6450" t="n">
        <v>0</v>
      </c>
      <c r="Q6450" t="n">
        <v>0</v>
      </c>
      <c r="R6450" s="2" t="inlineStr"/>
    </row>
    <row r="6451" ht="15" customHeight="1">
      <c r="A6451" t="inlineStr">
        <is>
          <t>A 54444-2021</t>
        </is>
      </c>
      <c r="B6451" s="1" t="n">
        <v>44473</v>
      </c>
      <c r="C6451" s="1" t="n">
        <v>46093</v>
      </c>
      <c r="D6451" t="inlineStr">
        <is>
          <t>ÖSTERGÖTLANDS LÄN</t>
        </is>
      </c>
      <c r="E6451" t="inlineStr">
        <is>
          <t>MJÖLBY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26648-2025</t>
        </is>
      </c>
      <c r="B6452" s="1" t="n">
        <v>45809</v>
      </c>
      <c r="C6452" s="1" t="n">
        <v>46093</v>
      </c>
      <c r="D6452" t="inlineStr">
        <is>
          <t>ÖSTERGÖTLANDS LÄN</t>
        </is>
      </c>
      <c r="E6452" t="inlineStr">
        <is>
          <t>BOXHOLM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4521-2026</t>
        </is>
      </c>
      <c r="B6453" s="1" t="n">
        <v>46046.43328703703</v>
      </c>
      <c r="C6453" s="1" t="n">
        <v>46093</v>
      </c>
      <c r="D6453" t="inlineStr">
        <is>
          <t>ÖSTERGÖTLANDS LÄN</t>
        </is>
      </c>
      <c r="E6453" t="inlineStr">
        <is>
          <t>NORRKÖPING</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4571-2026</t>
        </is>
      </c>
      <c r="B6454" s="1" t="n">
        <v>46048.27512731482</v>
      </c>
      <c r="C6454" s="1" t="n">
        <v>46093</v>
      </c>
      <c r="D6454" t="inlineStr">
        <is>
          <t>ÖSTERGÖTLANDS LÄN</t>
        </is>
      </c>
      <c r="E6454" t="inlineStr">
        <is>
          <t>BOXHOLM</t>
        </is>
      </c>
      <c r="F6454" t="inlineStr">
        <is>
          <t>Övriga Aktiebolag</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2033-2023</t>
        </is>
      </c>
      <c r="B6455" s="1" t="n">
        <v>44939</v>
      </c>
      <c r="C6455" s="1" t="n">
        <v>46093</v>
      </c>
      <c r="D6455" t="inlineStr">
        <is>
          <t>ÖSTERGÖTLANDS LÄN</t>
        </is>
      </c>
      <c r="E6455" t="inlineStr">
        <is>
          <t>SÖDERKÖPING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5176-2026</t>
        </is>
      </c>
      <c r="B6456" s="1" t="n">
        <v>46048</v>
      </c>
      <c r="C6456" s="1" t="n">
        <v>46093</v>
      </c>
      <c r="D6456" t="inlineStr">
        <is>
          <t>ÖSTERGÖTLANDS LÄN</t>
        </is>
      </c>
      <c r="E6456" t="inlineStr">
        <is>
          <t>NORRKÖPING</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5466-2026</t>
        </is>
      </c>
      <c r="B6457" s="1" t="n">
        <v>46048</v>
      </c>
      <c r="C6457" s="1" t="n">
        <v>46093</v>
      </c>
      <c r="D6457" t="inlineStr">
        <is>
          <t>ÖSTERGÖTLANDS LÄN</t>
        </is>
      </c>
      <c r="E6457" t="inlineStr">
        <is>
          <t>NORRKÖPING</t>
        </is>
      </c>
      <c r="F6457" t="inlineStr">
        <is>
          <t>Allmännings- och besparingsskogar</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4852-2026</t>
        </is>
      </c>
      <c r="B6458" s="1" t="n">
        <v>46048.63101851852</v>
      </c>
      <c r="C6458" s="1" t="n">
        <v>46093</v>
      </c>
      <c r="D6458" t="inlineStr">
        <is>
          <t>ÖSTERGÖTLANDS LÄN</t>
        </is>
      </c>
      <c r="E6458" t="inlineStr">
        <is>
          <t>MJÖLBY</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4240-2026</t>
        </is>
      </c>
      <c r="B6459" s="1" t="n">
        <v>46045.25947916666</v>
      </c>
      <c r="C6459" s="1" t="n">
        <v>46093</v>
      </c>
      <c r="D6459" t="inlineStr">
        <is>
          <t>ÖSTERGÖTLANDS LÄN</t>
        </is>
      </c>
      <c r="E6459" t="inlineStr">
        <is>
          <t>YDRE</t>
        </is>
      </c>
      <c r="F6459" t="inlineStr">
        <is>
          <t>Övriga Aktiebolag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4469-2026</t>
        </is>
      </c>
      <c r="B6460" s="1" t="n">
        <v>46045.65662037037</v>
      </c>
      <c r="C6460" s="1" t="n">
        <v>46093</v>
      </c>
      <c r="D6460" t="inlineStr">
        <is>
          <t>ÖSTERGÖTLANDS LÄN</t>
        </is>
      </c>
      <c r="E6460" t="inlineStr">
        <is>
          <t>LINKÖPING</t>
        </is>
      </c>
      <c r="F6460" t="inlineStr">
        <is>
          <t>Övriga Aktiebolag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4522-2026</t>
        </is>
      </c>
      <c r="B6461" s="1" t="n">
        <v>46046.43557870371</v>
      </c>
      <c r="C6461" s="1" t="n">
        <v>46093</v>
      </c>
      <c r="D6461" t="inlineStr">
        <is>
          <t>ÖSTERGÖTLANDS LÄN</t>
        </is>
      </c>
      <c r="E6461" t="inlineStr">
        <is>
          <t>NORRKÖPING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12254-2026</t>
        </is>
      </c>
      <c r="B6462" s="1" t="n">
        <v>46087.46196759259</v>
      </c>
      <c r="C6462" s="1" t="n">
        <v>46093</v>
      </c>
      <c r="D6462" t="inlineStr">
        <is>
          <t>ÖSTERGÖTLANDS LÄN</t>
        </is>
      </c>
      <c r="E6462" t="inlineStr">
        <is>
          <t>LINKÖPING</t>
        </is>
      </c>
      <c r="G6462" t="n">
        <v>10.4</v>
      </c>
      <c r="H6462" t="n">
        <v>0</v>
      </c>
      <c r="I6462" t="n">
        <v>0</v>
      </c>
      <c r="J6462" t="n">
        <v>0</v>
      </c>
      <c r="K6462" t="n">
        <v>0</v>
      </c>
      <c r="L6462" t="n">
        <v>0</v>
      </c>
      <c r="M6462" t="n">
        <v>0</v>
      </c>
      <c r="N6462" t="n">
        <v>0</v>
      </c>
      <c r="O6462" t="n">
        <v>0</v>
      </c>
      <c r="P6462" t="n">
        <v>0</v>
      </c>
      <c r="Q6462" t="n">
        <v>0</v>
      </c>
      <c r="R6462" s="2" t="inlineStr"/>
    </row>
    <row r="6463" ht="15" customHeight="1">
      <c r="A6463" t="inlineStr">
        <is>
          <t>A 10834-2024</t>
        </is>
      </c>
      <c r="B6463" s="1" t="n">
        <v>45369</v>
      </c>
      <c r="C6463" s="1" t="n">
        <v>46093</v>
      </c>
      <c r="D6463" t="inlineStr">
        <is>
          <t>ÖSTERGÖTLANDS LÄN</t>
        </is>
      </c>
      <c r="E6463" t="inlineStr">
        <is>
          <t>NORRKÖPING</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12247-2026</t>
        </is>
      </c>
      <c r="B6464" s="1" t="n">
        <v>46087.44436342592</v>
      </c>
      <c r="C6464" s="1" t="n">
        <v>46093</v>
      </c>
      <c r="D6464" t="inlineStr">
        <is>
          <t>ÖSTERGÖTLANDS LÄN</t>
        </is>
      </c>
      <c r="E6464" t="inlineStr">
        <is>
          <t>LINKÖPING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8781-2026</t>
        </is>
      </c>
      <c r="B6465" s="1" t="n">
        <v>46066.58233796297</v>
      </c>
      <c r="C6465" s="1" t="n">
        <v>46093</v>
      </c>
      <c r="D6465" t="inlineStr">
        <is>
          <t>ÖSTERGÖTLANDS LÄN</t>
        </is>
      </c>
      <c r="E6465" t="inlineStr">
        <is>
          <t>MOTALA</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55867-2023</t>
        </is>
      </c>
      <c r="B6466" s="1" t="n">
        <v>45239.70010416667</v>
      </c>
      <c r="C6466" s="1" t="n">
        <v>46093</v>
      </c>
      <c r="D6466" t="inlineStr">
        <is>
          <t>ÖSTERGÖTLANDS LÄN</t>
        </is>
      </c>
      <c r="E6466" t="inlineStr">
        <is>
          <t>YDRE</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26643-2025</t>
        </is>
      </c>
      <c r="B6467" s="1" t="n">
        <v>45809</v>
      </c>
      <c r="C6467" s="1" t="n">
        <v>46093</v>
      </c>
      <c r="D6467" t="inlineStr">
        <is>
          <t>ÖSTERGÖTLANDS LÄN</t>
        </is>
      </c>
      <c r="E6467" t="inlineStr">
        <is>
          <t>BOXHOLM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4313-2026</t>
        </is>
      </c>
      <c r="B6468" s="1" t="n">
        <v>46045.44604166667</v>
      </c>
      <c r="C6468" s="1" t="n">
        <v>46093</v>
      </c>
      <c r="D6468" t="inlineStr">
        <is>
          <t>ÖSTERGÖTLANDS LÄN</t>
        </is>
      </c>
      <c r="E6468" t="inlineStr">
        <is>
          <t>ÅTVIDABERG</t>
        </is>
      </c>
      <c r="F6468" t="inlineStr">
        <is>
          <t>Övriga Aktiebolag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4317-2026</t>
        </is>
      </c>
      <c r="B6469" s="1" t="n">
        <v>46045.44877314815</v>
      </c>
      <c r="C6469" s="1" t="n">
        <v>46093</v>
      </c>
      <c r="D6469" t="inlineStr">
        <is>
          <t>ÖSTERGÖTLANDS LÄN</t>
        </is>
      </c>
      <c r="E6469" t="inlineStr">
        <is>
          <t>NORRKÖPING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26851-2025</t>
        </is>
      </c>
      <c r="B6470" s="1" t="n">
        <v>45810.67283564815</v>
      </c>
      <c r="C6470" s="1" t="n">
        <v>46093</v>
      </c>
      <c r="D6470" t="inlineStr">
        <is>
          <t>ÖSTERGÖTLANDS LÄN</t>
        </is>
      </c>
      <c r="E6470" t="inlineStr">
        <is>
          <t>FINSPÅNG</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5411-2026</t>
        </is>
      </c>
      <c r="B6471" s="1" t="n">
        <v>46050.52995370371</v>
      </c>
      <c r="C6471" s="1" t="n">
        <v>46093</v>
      </c>
      <c r="D6471" t="inlineStr">
        <is>
          <t>ÖSTERGÖTLANDS LÄN</t>
        </is>
      </c>
      <c r="E6471" t="inlineStr">
        <is>
          <t>MOTALA</t>
        </is>
      </c>
      <c r="F6471" t="inlineStr">
        <is>
          <t>Sveaskog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5427-2026</t>
        </is>
      </c>
      <c r="B6472" s="1" t="n">
        <v>46050.54965277778</v>
      </c>
      <c r="C6472" s="1" t="n">
        <v>46093</v>
      </c>
      <c r="D6472" t="inlineStr">
        <is>
          <t>ÖSTERGÖTLANDS LÄN</t>
        </is>
      </c>
      <c r="E6472" t="inlineStr">
        <is>
          <t>FINSPÅNG</t>
        </is>
      </c>
      <c r="F6472" t="inlineStr">
        <is>
          <t>Holmen skog AB</t>
        </is>
      </c>
      <c r="G6472" t="n">
        <v>11.5</v>
      </c>
      <c r="H6472" t="n">
        <v>0</v>
      </c>
      <c r="I6472" t="n">
        <v>0</v>
      </c>
      <c r="J6472" t="n">
        <v>0</v>
      </c>
      <c r="K6472" t="n">
        <v>0</v>
      </c>
      <c r="L6472" t="n">
        <v>0</v>
      </c>
      <c r="M6472" t="n">
        <v>0</v>
      </c>
      <c r="N6472" t="n">
        <v>0</v>
      </c>
      <c r="O6472" t="n">
        <v>0</v>
      </c>
      <c r="P6472" t="n">
        <v>0</v>
      </c>
      <c r="Q6472" t="n">
        <v>0</v>
      </c>
      <c r="R6472" s="2" t="inlineStr"/>
    </row>
    <row r="6473" ht="15" customHeight="1">
      <c r="A6473" t="inlineStr">
        <is>
          <t>A 61434-2025</t>
        </is>
      </c>
      <c r="B6473" s="1" t="n">
        <v>46001</v>
      </c>
      <c r="C6473" s="1" t="n">
        <v>46093</v>
      </c>
      <c r="D6473" t="inlineStr">
        <is>
          <t>ÖSTERGÖTLANDS LÄN</t>
        </is>
      </c>
      <c r="E6473" t="inlineStr">
        <is>
          <t>MOTALA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4962-2026</t>
        </is>
      </c>
      <c r="B6474" s="1" t="n">
        <v>46049.31769675926</v>
      </c>
      <c r="C6474" s="1" t="n">
        <v>46093</v>
      </c>
      <c r="D6474" t="inlineStr">
        <is>
          <t>ÖSTERGÖTLANDS LÄN</t>
        </is>
      </c>
      <c r="E6474" t="inlineStr">
        <is>
          <t>ÅTVIDABERG</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26752-2025</t>
        </is>
      </c>
      <c r="B6475" s="1" t="n">
        <v>45810.55401620371</v>
      </c>
      <c r="C6475" s="1" t="n">
        <v>46093</v>
      </c>
      <c r="D6475" t="inlineStr">
        <is>
          <t>ÖSTERGÖTLANDS LÄN</t>
        </is>
      </c>
      <c r="E6475" t="inlineStr">
        <is>
          <t>YDRE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26761-2025</t>
        </is>
      </c>
      <c r="B6476" s="1" t="n">
        <v>45810.56383101852</v>
      </c>
      <c r="C6476" s="1" t="n">
        <v>46093</v>
      </c>
      <c r="D6476" t="inlineStr">
        <is>
          <t>ÖSTERGÖTLANDS LÄN</t>
        </is>
      </c>
      <c r="E6476" t="inlineStr">
        <is>
          <t>YDRE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12968-2026</t>
        </is>
      </c>
      <c r="B6477" s="1" t="n">
        <v>46092</v>
      </c>
      <c r="C6477" s="1" t="n">
        <v>46093</v>
      </c>
      <c r="D6477" t="inlineStr">
        <is>
          <t>ÖSTERGÖTLANDS LÄN</t>
        </is>
      </c>
      <c r="E6477" t="inlineStr">
        <is>
          <t>MOTALA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30119-2023</t>
        </is>
      </c>
      <c r="B6478" s="1" t="n">
        <v>45110</v>
      </c>
      <c r="C6478" s="1" t="n">
        <v>46093</v>
      </c>
      <c r="D6478" t="inlineStr">
        <is>
          <t>ÖSTERGÖTLANDS LÄN</t>
        </is>
      </c>
      <c r="E6478" t="inlineStr">
        <is>
          <t>ÅTVIDABERG</t>
        </is>
      </c>
      <c r="F6478" t="inlineStr">
        <is>
          <t>Övriga Aktiebolag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26567-2025</t>
        </is>
      </c>
      <c r="B6479" s="1" t="n">
        <v>45807.66878472222</v>
      </c>
      <c r="C6479" s="1" t="n">
        <v>46093</v>
      </c>
      <c r="D6479" t="inlineStr">
        <is>
          <t>ÖSTERGÖTLANDS LÄN</t>
        </is>
      </c>
      <c r="E6479" t="inlineStr">
        <is>
          <t>KINDA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4965-2026</t>
        </is>
      </c>
      <c r="B6480" s="1" t="n">
        <v>46049.33</v>
      </c>
      <c r="C6480" s="1" t="n">
        <v>46093</v>
      </c>
      <c r="D6480" t="inlineStr">
        <is>
          <t>ÖSTERGÖTLANDS LÄN</t>
        </is>
      </c>
      <c r="E6480" t="inlineStr">
        <is>
          <t>VALDEMARSVIK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12597-2026</t>
        </is>
      </c>
      <c r="B6481" s="1" t="n">
        <v>46091.33052083333</v>
      </c>
      <c r="C6481" s="1" t="n">
        <v>46093</v>
      </c>
      <c r="D6481" t="inlineStr">
        <is>
          <t>ÖSTERGÖTLANDS LÄN</t>
        </is>
      </c>
      <c r="E6481" t="inlineStr">
        <is>
          <t>ÅTVIDABERG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12639-2026</t>
        </is>
      </c>
      <c r="B6482" s="1" t="n">
        <v>46091.4640162037</v>
      </c>
      <c r="C6482" s="1" t="n">
        <v>46093</v>
      </c>
      <c r="D6482" t="inlineStr">
        <is>
          <t>ÖSTERGÖTLANDS LÄN</t>
        </is>
      </c>
      <c r="E6482" t="inlineStr">
        <is>
          <t>MOTALA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12982-2026</t>
        </is>
      </c>
      <c r="B6483" s="1" t="n">
        <v>46092</v>
      </c>
      <c r="C6483" s="1" t="n">
        <v>46093</v>
      </c>
      <c r="D6483" t="inlineStr">
        <is>
          <t>ÖSTERGÖTLANDS LÄN</t>
        </is>
      </c>
      <c r="E6483" t="inlineStr">
        <is>
          <t>MOTALA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13012-2026</t>
        </is>
      </c>
      <c r="B6484" s="1" t="n">
        <v>46092.72509259259</v>
      </c>
      <c r="C6484" s="1" t="n">
        <v>46093</v>
      </c>
      <c r="D6484" t="inlineStr">
        <is>
          <t>ÖSTERGÖTLANDS LÄN</t>
        </is>
      </c>
      <c r="E6484" t="inlineStr">
        <is>
          <t>NORRKÖPING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9806-2026</t>
        </is>
      </c>
      <c r="B6485" s="1" t="n">
        <v>46072</v>
      </c>
      <c r="C6485" s="1" t="n">
        <v>46093</v>
      </c>
      <c r="D6485" t="inlineStr">
        <is>
          <t>ÖSTERGÖTLANDS LÄN</t>
        </is>
      </c>
      <c r="E6485" t="inlineStr">
        <is>
          <t>NORRKÖPING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12627-2026</t>
        </is>
      </c>
      <c r="B6486" s="1" t="n">
        <v>46091.44170138889</v>
      </c>
      <c r="C6486" s="1" t="n">
        <v>46093</v>
      </c>
      <c r="D6486" t="inlineStr">
        <is>
          <t>ÖSTERGÖTLANDS LÄN</t>
        </is>
      </c>
      <c r="E6486" t="inlineStr">
        <is>
          <t>MOTALA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27255-2025</t>
        </is>
      </c>
      <c r="B6487" s="1" t="n">
        <v>45812.47243055556</v>
      </c>
      <c r="C6487" s="1" t="n">
        <v>46093</v>
      </c>
      <c r="D6487" t="inlineStr">
        <is>
          <t>ÖSTERGÖTLANDS LÄN</t>
        </is>
      </c>
      <c r="E6487" t="inlineStr">
        <is>
          <t>MJÖLBY</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27354-2025</t>
        </is>
      </c>
      <c r="B6488" s="1" t="n">
        <v>45812.63094907408</v>
      </c>
      <c r="C6488" s="1" t="n">
        <v>46093</v>
      </c>
      <c r="D6488" t="inlineStr">
        <is>
          <t>ÖSTERGÖTLANDS LÄN</t>
        </is>
      </c>
      <c r="E6488" t="inlineStr">
        <is>
          <t>FINSPÅNG</t>
        </is>
      </c>
      <c r="F6488" t="inlineStr">
        <is>
          <t>Holmen skog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5270-2026</t>
        </is>
      </c>
      <c r="B6489" s="1" t="n">
        <v>46050.318125</v>
      </c>
      <c r="C6489" s="1" t="n">
        <v>46093</v>
      </c>
      <c r="D6489" t="inlineStr">
        <is>
          <t>ÖSTERGÖTLANDS LÄN</t>
        </is>
      </c>
      <c r="E6489" t="inlineStr">
        <is>
          <t>ÅTVIDABERG</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13009-2026</t>
        </is>
      </c>
      <c r="B6490" s="1" t="n">
        <v>46092.71604166667</v>
      </c>
      <c r="C6490" s="1" t="n">
        <v>46093</v>
      </c>
      <c r="D6490" t="inlineStr">
        <is>
          <t>ÖSTERGÖTLANDS LÄN</t>
        </is>
      </c>
      <c r="E6490" t="inlineStr">
        <is>
          <t>NORRKÖPING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13018-2026</t>
        </is>
      </c>
      <c r="B6491" s="1" t="n">
        <v>46092.75253472223</v>
      </c>
      <c r="C6491" s="1" t="n">
        <v>46093</v>
      </c>
      <c r="D6491" t="inlineStr">
        <is>
          <t>ÖSTERGÖTLANDS LÄN</t>
        </is>
      </c>
      <c r="E6491" t="inlineStr">
        <is>
          <t>NORRKÖPING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5536-2026</t>
        </is>
      </c>
      <c r="B6492" s="1" t="n">
        <v>46050.66363425926</v>
      </c>
      <c r="C6492" s="1" t="n">
        <v>46093</v>
      </c>
      <c r="D6492" t="inlineStr">
        <is>
          <t>ÖSTERGÖTLANDS LÄN</t>
        </is>
      </c>
      <c r="E6492" t="inlineStr">
        <is>
          <t>ÅTVIDABERG</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5412-2026</t>
        </is>
      </c>
      <c r="B6493" s="1" t="n">
        <v>46050.53184027778</v>
      </c>
      <c r="C6493" s="1" t="n">
        <v>46093</v>
      </c>
      <c r="D6493" t="inlineStr">
        <is>
          <t>ÖSTERGÖTLANDS LÄN</t>
        </is>
      </c>
      <c r="E6493" t="inlineStr">
        <is>
          <t>SÖDERKÖPING</t>
        </is>
      </c>
      <c r="F6493" t="inlineStr">
        <is>
          <t>Kyrkan</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27259-2025</t>
        </is>
      </c>
      <c r="B6494" s="1" t="n">
        <v>45812.47438657407</v>
      </c>
      <c r="C6494" s="1" t="n">
        <v>46093</v>
      </c>
      <c r="D6494" t="inlineStr">
        <is>
          <t>ÖSTERGÖTLANDS LÄN</t>
        </is>
      </c>
      <c r="E6494" t="inlineStr">
        <is>
          <t>MJÖLBY</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27232-2025</t>
        </is>
      </c>
      <c r="B6495" s="1" t="n">
        <v>45812.44145833333</v>
      </c>
      <c r="C6495" s="1" t="n">
        <v>46093</v>
      </c>
      <c r="D6495" t="inlineStr">
        <is>
          <t>ÖSTERGÖTLANDS LÄN</t>
        </is>
      </c>
      <c r="E6495" t="inlineStr">
        <is>
          <t>MJÖLBY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12816-2026</t>
        </is>
      </c>
      <c r="B6496" s="1" t="n">
        <v>46092</v>
      </c>
      <c r="C6496" s="1" t="n">
        <v>46093</v>
      </c>
      <c r="D6496" t="inlineStr">
        <is>
          <t>ÖSTERGÖTLANDS LÄN</t>
        </is>
      </c>
      <c r="E6496" t="inlineStr">
        <is>
          <t>ÅTVIDABERG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5545-2026</t>
        </is>
      </c>
      <c r="B6497" s="1" t="n">
        <v>46050.70089120371</v>
      </c>
      <c r="C6497" s="1" t="n">
        <v>46093</v>
      </c>
      <c r="D6497" t="inlineStr">
        <is>
          <t>ÖSTERGÖTLANDS LÄN</t>
        </is>
      </c>
      <c r="E6497" t="inlineStr">
        <is>
          <t>LINKÖPING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6040-2026</t>
        </is>
      </c>
      <c r="B6498" s="1" t="n">
        <v>46050</v>
      </c>
      <c r="C6498" s="1" t="n">
        <v>46093</v>
      </c>
      <c r="D6498" t="inlineStr">
        <is>
          <t>ÖSTERGÖTLANDS LÄN</t>
        </is>
      </c>
      <c r="E6498" t="inlineStr">
        <is>
          <t>NORRKÖPING</t>
        </is>
      </c>
      <c r="F6498" t="inlineStr">
        <is>
          <t>Allmännings- och besparingsskogar</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9806-2026</t>
        </is>
      </c>
      <c r="B6499" s="1" t="n">
        <v>46072</v>
      </c>
      <c r="C6499" s="1" t="n">
        <v>46093</v>
      </c>
      <c r="D6499" t="inlineStr">
        <is>
          <t>ÖSTERGÖTLANDS LÄN</t>
        </is>
      </c>
      <c r="E6499" t="inlineStr">
        <is>
          <t>NORRKÖPING</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27105-2025</t>
        </is>
      </c>
      <c r="B6500" s="1" t="n">
        <v>45811</v>
      </c>
      <c r="C6500" s="1" t="n">
        <v>46093</v>
      </c>
      <c r="D6500" t="inlineStr">
        <is>
          <t>ÖSTERGÖTLANDS LÄN</t>
        </is>
      </c>
      <c r="E6500" t="inlineStr">
        <is>
          <t>KINDA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12872-2026</t>
        </is>
      </c>
      <c r="B6501" s="1" t="n">
        <v>46092.50098379629</v>
      </c>
      <c r="C6501" s="1" t="n">
        <v>46093</v>
      </c>
      <c r="D6501" t="inlineStr">
        <is>
          <t>ÖSTERGÖTLANDS LÄN</t>
        </is>
      </c>
      <c r="E6501" t="inlineStr">
        <is>
          <t>ÖDESHÖG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27258-2025</t>
        </is>
      </c>
      <c r="B6502" s="1" t="n">
        <v>45812.47408564815</v>
      </c>
      <c r="C6502" s="1" t="n">
        <v>46093</v>
      </c>
      <c r="D6502" t="inlineStr">
        <is>
          <t>ÖSTERGÖTLANDS LÄN</t>
        </is>
      </c>
      <c r="E6502" t="inlineStr">
        <is>
          <t>FINSPÅNG</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27192-2025</t>
        </is>
      </c>
      <c r="B6503" s="1" t="n">
        <v>45812.3731712963</v>
      </c>
      <c r="C6503" s="1" t="n">
        <v>46093</v>
      </c>
      <c r="D6503" t="inlineStr">
        <is>
          <t>ÖSTERGÖTLANDS LÄN</t>
        </is>
      </c>
      <c r="E6503" t="inlineStr">
        <is>
          <t>FINSPÅNG</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12680-2026</t>
        </is>
      </c>
      <c r="B6504" s="1" t="n">
        <v>46091.55358796296</v>
      </c>
      <c r="C6504" s="1" t="n">
        <v>46093</v>
      </c>
      <c r="D6504" t="inlineStr">
        <is>
          <t>ÖSTERGÖTLANDS LÄN</t>
        </is>
      </c>
      <c r="E6504" t="inlineStr">
        <is>
          <t>MOTALA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24018-2025</t>
        </is>
      </c>
      <c r="B6505" s="1" t="n">
        <v>45796</v>
      </c>
      <c r="C6505" s="1" t="n">
        <v>46093</v>
      </c>
      <c r="D6505" t="inlineStr">
        <is>
          <t>ÖSTERGÖTLANDS LÄN</t>
        </is>
      </c>
      <c r="E6505" t="inlineStr">
        <is>
          <t>NORRKÖPING</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27161-2025</t>
        </is>
      </c>
      <c r="B6506" s="1" t="n">
        <v>45812.34155092593</v>
      </c>
      <c r="C6506" s="1" t="n">
        <v>46093</v>
      </c>
      <c r="D6506" t="inlineStr">
        <is>
          <t>ÖSTERGÖTLANDS LÄN</t>
        </is>
      </c>
      <c r="E6506" t="inlineStr">
        <is>
          <t>MOTALA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27208-2025</t>
        </is>
      </c>
      <c r="B6507" s="1" t="n">
        <v>45812.40525462963</v>
      </c>
      <c r="C6507" s="1" t="n">
        <v>46093</v>
      </c>
      <c r="D6507" t="inlineStr">
        <is>
          <t>ÖSTERGÖTLANDS LÄN</t>
        </is>
      </c>
      <c r="E6507" t="inlineStr">
        <is>
          <t>FINSPÅNG</t>
        </is>
      </c>
      <c r="F6507" t="inlineStr">
        <is>
          <t>Holmen skog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27251-2025</t>
        </is>
      </c>
      <c r="B6508" s="1" t="n">
        <v>45812.47131944444</v>
      </c>
      <c r="C6508" s="1" t="n">
        <v>46093</v>
      </c>
      <c r="D6508" t="inlineStr">
        <is>
          <t>ÖSTERGÖTLANDS LÄN</t>
        </is>
      </c>
      <c r="E6508" t="inlineStr">
        <is>
          <t>MJÖLBY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5318-2026</t>
        </is>
      </c>
      <c r="B6509" s="1" t="n">
        <v>46050.38045138889</v>
      </c>
      <c r="C6509" s="1" t="n">
        <v>46093</v>
      </c>
      <c r="D6509" t="inlineStr">
        <is>
          <t>ÖSTERGÖTLANDS LÄN</t>
        </is>
      </c>
      <c r="E6509" t="inlineStr">
        <is>
          <t>FINSPÅNG</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27248-2025</t>
        </is>
      </c>
      <c r="B6510" s="1" t="n">
        <v>45812.46631944444</v>
      </c>
      <c r="C6510" s="1" t="n">
        <v>46093</v>
      </c>
      <c r="D6510" t="inlineStr">
        <is>
          <t>ÖSTERGÖTLANDS LÄN</t>
        </is>
      </c>
      <c r="E6510" t="inlineStr">
        <is>
          <t>MJÖLBY</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5070-2026</t>
        </is>
      </c>
      <c r="B6511" s="1" t="n">
        <v>46049.50449074074</v>
      </c>
      <c r="C6511" s="1" t="n">
        <v>46093</v>
      </c>
      <c r="D6511" t="inlineStr">
        <is>
          <t>ÖSTERGÖTLANDS LÄN</t>
        </is>
      </c>
      <c r="E6511" t="inlineStr">
        <is>
          <t>ÅTVIDABERG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27608-2025</t>
        </is>
      </c>
      <c r="B6512" s="1" t="n">
        <v>45813.53402777778</v>
      </c>
      <c r="C6512" s="1" t="n">
        <v>46093</v>
      </c>
      <c r="D6512" t="inlineStr">
        <is>
          <t>ÖSTERGÖTLANDS LÄN</t>
        </is>
      </c>
      <c r="E6512" t="inlineStr">
        <is>
          <t>KINDA</t>
        </is>
      </c>
      <c r="F6512" t="inlineStr">
        <is>
          <t>Övriga Aktiebolag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27439-2025</t>
        </is>
      </c>
      <c r="B6513" s="1" t="n">
        <v>45813.31575231482</v>
      </c>
      <c r="C6513" s="1" t="n">
        <v>46093</v>
      </c>
      <c r="D6513" t="inlineStr">
        <is>
          <t>ÖSTERGÖTLANDS LÄN</t>
        </is>
      </c>
      <c r="E6513" t="inlineStr">
        <is>
          <t>ÅTVIDABERG</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12989-2026</t>
        </is>
      </c>
      <c r="B6514" s="1" t="n">
        <v>46092</v>
      </c>
      <c r="C6514" s="1" t="n">
        <v>46093</v>
      </c>
      <c r="D6514" t="inlineStr">
        <is>
          <t>ÖSTERGÖTLANDS LÄN</t>
        </is>
      </c>
      <c r="E6514" t="inlineStr">
        <is>
          <t>MOTALA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27587-2025</t>
        </is>
      </c>
      <c r="B6515" s="1" t="n">
        <v>45813.50763888889</v>
      </c>
      <c r="C6515" s="1" t="n">
        <v>46093</v>
      </c>
      <c r="D6515" t="inlineStr">
        <is>
          <t>ÖSTERGÖTLANDS LÄN</t>
        </is>
      </c>
      <c r="E6515" t="inlineStr">
        <is>
          <t>KINDA</t>
        </is>
      </c>
      <c r="F6515" t="inlineStr">
        <is>
          <t>Övriga Aktiebolag</t>
        </is>
      </c>
      <c r="G6515" t="n">
        <v>13.6</v>
      </c>
      <c r="H6515" t="n">
        <v>0</v>
      </c>
      <c r="I6515" t="n">
        <v>0</v>
      </c>
      <c r="J6515" t="n">
        <v>0</v>
      </c>
      <c r="K6515" t="n">
        <v>0</v>
      </c>
      <c r="L6515" t="n">
        <v>0</v>
      </c>
      <c r="M6515" t="n">
        <v>0</v>
      </c>
      <c r="N6515" t="n">
        <v>0</v>
      </c>
      <c r="O6515" t="n">
        <v>0</v>
      </c>
      <c r="P6515" t="n">
        <v>0</v>
      </c>
      <c r="Q6515" t="n">
        <v>0</v>
      </c>
      <c r="R6515" s="2" t="inlineStr"/>
    </row>
    <row r="6516" ht="15" customHeight="1">
      <c r="A6516" t="inlineStr">
        <is>
          <t>A 27600-2025</t>
        </is>
      </c>
      <c r="B6516" s="1" t="n">
        <v>45813.52677083333</v>
      </c>
      <c r="C6516" s="1" t="n">
        <v>46093</v>
      </c>
      <c r="D6516" t="inlineStr">
        <is>
          <t>ÖSTERGÖTLANDS LÄN</t>
        </is>
      </c>
      <c r="E6516" t="inlineStr">
        <is>
          <t>KINDA</t>
        </is>
      </c>
      <c r="F6516" t="inlineStr">
        <is>
          <t>Övriga Aktiebolag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5099-2026</t>
        </is>
      </c>
      <c r="B6517" s="1" t="n">
        <v>46049.56158564815</v>
      </c>
      <c r="C6517" s="1" t="n">
        <v>46093</v>
      </c>
      <c r="D6517" t="inlineStr">
        <is>
          <t>ÖSTERGÖTLANDS LÄN</t>
        </is>
      </c>
      <c r="E6517" t="inlineStr">
        <is>
          <t>LINKÖPING</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12642-2026</t>
        </is>
      </c>
      <c r="B6518" s="1" t="n">
        <v>46091.46800925926</v>
      </c>
      <c r="C6518" s="1" t="n">
        <v>46093</v>
      </c>
      <c r="D6518" t="inlineStr">
        <is>
          <t>ÖSTERGÖTLANDS LÄN</t>
        </is>
      </c>
      <c r="E6518" t="inlineStr">
        <is>
          <t>MOTALA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12605-2026</t>
        </is>
      </c>
      <c r="B6519" s="1" t="n">
        <v>46090</v>
      </c>
      <c r="C6519" s="1" t="n">
        <v>46093</v>
      </c>
      <c r="D6519" t="inlineStr">
        <is>
          <t>ÖSTERGÖTLANDS LÄN</t>
        </is>
      </c>
      <c r="E6519" t="inlineStr">
        <is>
          <t>KINDA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27966-2025</t>
        </is>
      </c>
      <c r="B6520" s="1" t="n">
        <v>45817.55668981482</v>
      </c>
      <c r="C6520" s="1" t="n">
        <v>46093</v>
      </c>
      <c r="D6520" t="inlineStr">
        <is>
          <t>ÖSTERGÖTLANDS LÄN</t>
        </is>
      </c>
      <c r="E6520" t="inlineStr">
        <is>
          <t>KINDA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59701-2024</t>
        </is>
      </c>
      <c r="B6521" s="1" t="n">
        <v>45639.4240162037</v>
      </c>
      <c r="C6521" s="1" t="n">
        <v>46093</v>
      </c>
      <c r="D6521" t="inlineStr">
        <is>
          <t>ÖSTERGÖTLANDS LÄN</t>
        </is>
      </c>
      <c r="E6521" t="inlineStr">
        <is>
          <t>FINSPÅNG</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27890-2025</t>
        </is>
      </c>
      <c r="B6522" s="1" t="n">
        <v>45817.46142361111</v>
      </c>
      <c r="C6522" s="1" t="n">
        <v>46093</v>
      </c>
      <c r="D6522" t="inlineStr">
        <is>
          <t>ÖSTERGÖTLANDS LÄN</t>
        </is>
      </c>
      <c r="E6522" t="inlineStr">
        <is>
          <t>FINSPÅNG</t>
        </is>
      </c>
      <c r="F6522" t="inlineStr">
        <is>
          <t>Holmen skog AB</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21511-2025</t>
        </is>
      </c>
      <c r="B6523" s="1" t="n">
        <v>45782</v>
      </c>
      <c r="C6523" s="1" t="n">
        <v>46093</v>
      </c>
      <c r="D6523" t="inlineStr">
        <is>
          <t>ÖSTERGÖTLANDS LÄN</t>
        </is>
      </c>
      <c r="E6523" t="inlineStr">
        <is>
          <t>VALDEMARSVIK</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9115-2025</t>
        </is>
      </c>
      <c r="B6524" s="1" t="n">
        <v>45713.79457175926</v>
      </c>
      <c r="C6524" s="1" t="n">
        <v>46093</v>
      </c>
      <c r="D6524" t="inlineStr">
        <is>
          <t>ÖSTERGÖTLANDS LÄN</t>
        </is>
      </c>
      <c r="E6524" t="inlineStr">
        <is>
          <t>ÅTVIDABERG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28200-2025</t>
        </is>
      </c>
      <c r="B6525" s="1" t="n">
        <v>45818.4428125</v>
      </c>
      <c r="C6525" s="1" t="n">
        <v>46093</v>
      </c>
      <c r="D6525" t="inlineStr">
        <is>
          <t>ÖSTERGÖTLANDS LÄN</t>
        </is>
      </c>
      <c r="E6525" t="inlineStr">
        <is>
          <t>LINKÖPING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50708-2024</t>
        </is>
      </c>
      <c r="B6526" s="1" t="n">
        <v>45601</v>
      </c>
      <c r="C6526" s="1" t="n">
        <v>46093</v>
      </c>
      <c r="D6526" t="inlineStr">
        <is>
          <t>ÖSTERGÖTLANDS LÄN</t>
        </is>
      </c>
      <c r="E6526" t="inlineStr">
        <is>
          <t>SÖDERKÖPING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23612-2025</t>
        </is>
      </c>
      <c r="B6527" s="1" t="n">
        <v>45792</v>
      </c>
      <c r="C6527" s="1" t="n">
        <v>46093</v>
      </c>
      <c r="D6527" t="inlineStr">
        <is>
          <t>ÖSTERGÖTLANDS LÄN</t>
        </is>
      </c>
      <c r="E6527" t="inlineStr">
        <is>
          <t>YDRE</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28482-2025</t>
        </is>
      </c>
      <c r="B6528" s="1" t="n">
        <v>45817</v>
      </c>
      <c r="C6528" s="1" t="n">
        <v>46093</v>
      </c>
      <c r="D6528" t="inlineStr">
        <is>
          <t>ÖSTERGÖTLANDS LÄN</t>
        </is>
      </c>
      <c r="E6528" t="inlineStr">
        <is>
          <t>SÖDERKÖPING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28487-2025</t>
        </is>
      </c>
      <c r="B6529" s="1" t="n">
        <v>45817</v>
      </c>
      <c r="C6529" s="1" t="n">
        <v>46093</v>
      </c>
      <c r="D6529" t="inlineStr">
        <is>
          <t>ÖSTERGÖTLANDS LÄN</t>
        </is>
      </c>
      <c r="E6529" t="inlineStr">
        <is>
          <t>SÖDERKÖPING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8447-2025</t>
        </is>
      </c>
      <c r="B6530" s="1" t="n">
        <v>45709</v>
      </c>
      <c r="C6530" s="1" t="n">
        <v>46093</v>
      </c>
      <c r="D6530" t="inlineStr">
        <is>
          <t>ÖSTERGÖTLANDS LÄN</t>
        </is>
      </c>
      <c r="E6530" t="inlineStr">
        <is>
          <t>YDRE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5475-2026</t>
        </is>
      </c>
      <c r="B6531" s="1" t="n">
        <v>46050.59915509259</v>
      </c>
      <c r="C6531" s="1" t="n">
        <v>46093</v>
      </c>
      <c r="D6531" t="inlineStr">
        <is>
          <t>ÖSTERGÖTLANDS LÄN</t>
        </is>
      </c>
      <c r="E6531" t="inlineStr">
        <is>
          <t>SÖDERKÖPING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12859-2026</t>
        </is>
      </c>
      <c r="B6532" s="1" t="n">
        <v>46092.48796296296</v>
      </c>
      <c r="C6532" s="1" t="n">
        <v>46093</v>
      </c>
      <c r="D6532" t="inlineStr">
        <is>
          <t>ÖSTERGÖTLANDS LÄN</t>
        </is>
      </c>
      <c r="E6532" t="inlineStr">
        <is>
          <t>ÖDESHÖG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5471-2026</t>
        </is>
      </c>
      <c r="B6533" s="1" t="n">
        <v>46050.59628472223</v>
      </c>
      <c r="C6533" s="1" t="n">
        <v>46093</v>
      </c>
      <c r="D6533" t="inlineStr">
        <is>
          <t>ÖSTERGÖTLANDS LÄN</t>
        </is>
      </c>
      <c r="E6533" t="inlineStr">
        <is>
          <t>SÖDERKÖPING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10477-2026</t>
        </is>
      </c>
      <c r="B6534" s="1" t="n">
        <v>46077.4871875</v>
      </c>
      <c r="C6534" s="1" t="n">
        <v>46093</v>
      </c>
      <c r="D6534" t="inlineStr">
        <is>
          <t>ÖSTERGÖTLANDS LÄN</t>
        </is>
      </c>
      <c r="E6534" t="inlineStr">
        <is>
          <t>LINKÖPING</t>
        </is>
      </c>
      <c r="G6534" t="n">
        <v>9.6</v>
      </c>
      <c r="H6534" t="n">
        <v>0</v>
      </c>
      <c r="I6534" t="n">
        <v>0</v>
      </c>
      <c r="J6534" t="n">
        <v>0</v>
      </c>
      <c r="K6534" t="n">
        <v>0</v>
      </c>
      <c r="L6534" t="n">
        <v>0</v>
      </c>
      <c r="M6534" t="n">
        <v>0</v>
      </c>
      <c r="N6534" t="n">
        <v>0</v>
      </c>
      <c r="O6534" t="n">
        <v>0</v>
      </c>
      <c r="P6534" t="n">
        <v>0</v>
      </c>
      <c r="Q6534" t="n">
        <v>0</v>
      </c>
      <c r="R6534" s="2" t="inlineStr"/>
    </row>
    <row r="6535" ht="15" customHeight="1">
      <c r="A6535" t="inlineStr">
        <is>
          <t>A 12506-2026</t>
        </is>
      </c>
      <c r="B6535" s="1" t="n">
        <v>46090.57879629629</v>
      </c>
      <c r="C6535" s="1" t="n">
        <v>46093</v>
      </c>
      <c r="D6535" t="inlineStr">
        <is>
          <t>ÖSTERGÖTLANDS LÄN</t>
        </is>
      </c>
      <c r="E6535" t="inlineStr">
        <is>
          <t>KINDA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28341-2025</t>
        </is>
      </c>
      <c r="B6536" s="1" t="n">
        <v>45818.67709490741</v>
      </c>
      <c r="C6536" s="1" t="n">
        <v>46093</v>
      </c>
      <c r="D6536" t="inlineStr">
        <is>
          <t>ÖSTERGÖTLANDS LÄN</t>
        </is>
      </c>
      <c r="E6536" t="inlineStr">
        <is>
          <t>MJÖLBY</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28497-2025</t>
        </is>
      </c>
      <c r="B6537" s="1" t="n">
        <v>45817</v>
      </c>
      <c r="C6537" s="1" t="n">
        <v>46093</v>
      </c>
      <c r="D6537" t="inlineStr">
        <is>
          <t>ÖSTERGÖTLANDS LÄN</t>
        </is>
      </c>
      <c r="E6537" t="inlineStr">
        <is>
          <t>NORRKÖPING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62176-2024</t>
        </is>
      </c>
      <c r="B6538" s="1" t="n">
        <v>45657.94784722223</v>
      </c>
      <c r="C6538" s="1" t="n">
        <v>46093</v>
      </c>
      <c r="D6538" t="inlineStr">
        <is>
          <t>ÖSTERGÖTLANDS LÄN</t>
        </is>
      </c>
      <c r="E6538" t="inlineStr">
        <is>
          <t>NORRKÖPING</t>
        </is>
      </c>
      <c r="F6538" t="inlineStr">
        <is>
          <t>Holmen skog AB</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12707-2025</t>
        </is>
      </c>
      <c r="B6539" s="1" t="n">
        <v>45733</v>
      </c>
      <c r="C6539" s="1" t="n">
        <v>46093</v>
      </c>
      <c r="D6539" t="inlineStr">
        <is>
          <t>ÖSTERGÖTLANDS LÄN</t>
        </is>
      </c>
      <c r="E6539" t="inlineStr">
        <is>
          <t>VALDEMARSVIK</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14213-2025</t>
        </is>
      </c>
      <c r="B6540" s="1" t="n">
        <v>45740</v>
      </c>
      <c r="C6540" s="1" t="n">
        <v>46093</v>
      </c>
      <c r="D6540" t="inlineStr">
        <is>
          <t>ÖSTERGÖTLANDS LÄN</t>
        </is>
      </c>
      <c r="E6540" t="inlineStr">
        <is>
          <t>VALDEMARSVIK</t>
        </is>
      </c>
      <c r="G6540" t="n">
        <v>1.9</v>
      </c>
      <c r="H6540" t="n">
        <v>0</v>
      </c>
      <c r="I6540" t="n">
        <v>0</v>
      </c>
      <c r="J6540" t="n">
        <v>0</v>
      </c>
      <c r="K6540" t="n">
        <v>0</v>
      </c>
      <c r="L6540" t="n">
        <v>0</v>
      </c>
      <c r="M6540" t="n">
        <v>0</v>
      </c>
      <c r="N6540" t="n">
        <v>0</v>
      </c>
      <c r="O6540" t="n">
        <v>0</v>
      </c>
      <c r="P6540" t="n">
        <v>0</v>
      </c>
      <c r="Q6540" t="n">
        <v>0</v>
      </c>
      <c r="R6540" s="2" t="inlineStr"/>
      <c r="U6540">
        <f>HYPERLINK("https://klasma.github.io/Logging_0563/knärot/A 14213-2025 karta knärot.png", "A 14213-2025")</f>
        <v/>
      </c>
      <c r="V6540">
        <f>HYPERLINK("https://klasma.github.io/Logging_0563/klagomål/A 14213-2025 FSC-klagomål.docx", "A 14213-2025")</f>
        <v/>
      </c>
      <c r="W6540">
        <f>HYPERLINK("https://klasma.github.io/Logging_0563/klagomålsmail/A 14213-2025 FSC-klagomål mail.docx", "A 14213-2025")</f>
        <v/>
      </c>
      <c r="X6540">
        <f>HYPERLINK("https://klasma.github.io/Logging_0563/tillsyn/A 14213-2025 tillsynsbegäran.docx", "A 14213-2025")</f>
        <v/>
      </c>
      <c r="Y6540">
        <f>HYPERLINK("https://klasma.github.io/Logging_0563/tillsynsmail/A 14213-2025 tillsynsbegäran mail.docx", "A 14213-2025")</f>
        <v/>
      </c>
    </row>
    <row r="6541" ht="15" customHeight="1">
      <c r="A6541" t="inlineStr">
        <is>
          <t>A 11864-2026</t>
        </is>
      </c>
      <c r="B6541" s="1" t="n">
        <v>46085</v>
      </c>
      <c r="C6541" s="1" t="n">
        <v>46093</v>
      </c>
      <c r="D6541" t="inlineStr">
        <is>
          <t>ÖSTERGÖTLANDS LÄN</t>
        </is>
      </c>
      <c r="E6541" t="inlineStr">
        <is>
          <t>ÅTVIDABERG</t>
        </is>
      </c>
      <c r="F6541" t="inlineStr">
        <is>
          <t>Övriga Aktiebolag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27950-2025</t>
        </is>
      </c>
      <c r="B6542" s="1" t="n">
        <v>45817.52960648148</v>
      </c>
      <c r="C6542" s="1" t="n">
        <v>46093</v>
      </c>
      <c r="D6542" t="inlineStr">
        <is>
          <t>ÖSTERGÖTLANDS LÄN</t>
        </is>
      </c>
      <c r="E6542" t="inlineStr">
        <is>
          <t>LINKÖPING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5172-2026</t>
        </is>
      </c>
      <c r="B6543" s="1" t="n">
        <v>46049.64528935185</v>
      </c>
      <c r="C6543" s="1" t="n">
        <v>46093</v>
      </c>
      <c r="D6543" t="inlineStr">
        <is>
          <t>ÖSTERGÖTLANDS LÄN</t>
        </is>
      </c>
      <c r="E6543" t="inlineStr">
        <is>
          <t>FINSPÅNG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5183-2026</t>
        </is>
      </c>
      <c r="B6544" s="1" t="n">
        <v>46049</v>
      </c>
      <c r="C6544" s="1" t="n">
        <v>46093</v>
      </c>
      <c r="D6544" t="inlineStr">
        <is>
          <t>ÖSTERGÖTLANDS LÄN</t>
        </is>
      </c>
      <c r="E6544" t="inlineStr">
        <is>
          <t>FINSPÅNG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28507-2025</t>
        </is>
      </c>
      <c r="B6545" s="1" t="n">
        <v>45817</v>
      </c>
      <c r="C6545" s="1" t="n">
        <v>46093</v>
      </c>
      <c r="D6545" t="inlineStr">
        <is>
          <t>ÖSTERGÖTLANDS LÄN</t>
        </is>
      </c>
      <c r="E6545" t="inlineStr">
        <is>
          <t>NORRKÖPING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27958-2025</t>
        </is>
      </c>
      <c r="B6546" s="1" t="n">
        <v>45817.54012731482</v>
      </c>
      <c r="C6546" s="1" t="n">
        <v>46093</v>
      </c>
      <c r="D6546" t="inlineStr">
        <is>
          <t>ÖSTERGÖTLANDS LÄN</t>
        </is>
      </c>
      <c r="E6546" t="inlineStr">
        <is>
          <t>ÖDESHÖG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27969-2025</t>
        </is>
      </c>
      <c r="B6547" s="1" t="n">
        <v>45817.55887731481</v>
      </c>
      <c r="C6547" s="1" t="n">
        <v>46093</v>
      </c>
      <c r="D6547" t="inlineStr">
        <is>
          <t>ÖSTERGÖTLANDS LÄN</t>
        </is>
      </c>
      <c r="E6547" t="inlineStr">
        <is>
          <t>KINDA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28350-2025</t>
        </is>
      </c>
      <c r="B6548" s="1" t="n">
        <v>45818.74125</v>
      </c>
      <c r="C6548" s="1" t="n">
        <v>46093</v>
      </c>
      <c r="D6548" t="inlineStr">
        <is>
          <t>ÖSTERGÖTLANDS LÄN</t>
        </is>
      </c>
      <c r="E6548" t="inlineStr">
        <is>
          <t>SÖDERKÖPING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28466-2025</t>
        </is>
      </c>
      <c r="B6549" s="1" t="n">
        <v>45817</v>
      </c>
      <c r="C6549" s="1" t="n">
        <v>46093</v>
      </c>
      <c r="D6549" t="inlineStr">
        <is>
          <t>ÖSTERGÖTLANDS LÄN</t>
        </is>
      </c>
      <c r="E6549" t="inlineStr">
        <is>
          <t>SÖDERKÖPING</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27797-2025</t>
        </is>
      </c>
      <c r="B6550" s="1" t="n">
        <v>45816.80521990741</v>
      </c>
      <c r="C6550" s="1" t="n">
        <v>46093</v>
      </c>
      <c r="D6550" t="inlineStr">
        <is>
          <t>ÖSTERGÖTLANDS LÄN</t>
        </is>
      </c>
      <c r="E6550" t="inlineStr">
        <is>
          <t>LINKÖPING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27798-2025</t>
        </is>
      </c>
      <c r="B6551" s="1" t="n">
        <v>45816.81532407407</v>
      </c>
      <c r="C6551" s="1" t="n">
        <v>46093</v>
      </c>
      <c r="D6551" t="inlineStr">
        <is>
          <t>ÖSTERGÖTLANDS LÄN</t>
        </is>
      </c>
      <c r="E6551" t="inlineStr">
        <is>
          <t>LINKÖPING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27861-2025</t>
        </is>
      </c>
      <c r="B6552" s="1" t="n">
        <v>45817.41699074074</v>
      </c>
      <c r="C6552" s="1" t="n">
        <v>46093</v>
      </c>
      <c r="D6552" t="inlineStr">
        <is>
          <t>ÖSTERGÖTLANDS LÄN</t>
        </is>
      </c>
      <c r="E6552" t="inlineStr">
        <is>
          <t>FINSPÅNG</t>
        </is>
      </c>
      <c r="F6552" t="inlineStr">
        <is>
          <t>Holmen skog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27879-2025</t>
        </is>
      </c>
      <c r="B6553" s="1" t="n">
        <v>45817.44313657407</v>
      </c>
      <c r="C6553" s="1" t="n">
        <v>46093</v>
      </c>
      <c r="D6553" t="inlineStr">
        <is>
          <t>ÖSTERGÖTLANDS LÄN</t>
        </is>
      </c>
      <c r="E6553" t="inlineStr">
        <is>
          <t>FINSPÅNG</t>
        </is>
      </c>
      <c r="F6553" t="inlineStr">
        <is>
          <t>Holmen skog AB</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14776-2025</t>
        </is>
      </c>
      <c r="B6554" s="1" t="n">
        <v>45742.69717592592</v>
      </c>
      <c r="C6554" s="1" t="n">
        <v>46093</v>
      </c>
      <c r="D6554" t="inlineStr">
        <is>
          <t>ÖSTERGÖTLANDS LÄN</t>
        </is>
      </c>
      <c r="E6554" t="inlineStr">
        <is>
          <t>SÖDERKÖPING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28256-2025</t>
        </is>
      </c>
      <c r="B6555" s="1" t="n">
        <v>45818</v>
      </c>
      <c r="C6555" s="1" t="n">
        <v>46093</v>
      </c>
      <c r="D6555" t="inlineStr">
        <is>
          <t>ÖSTERGÖTLANDS LÄN</t>
        </is>
      </c>
      <c r="E6555" t="inlineStr">
        <is>
          <t>KINDA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28258-2025</t>
        </is>
      </c>
      <c r="B6556" s="1" t="n">
        <v>45818</v>
      </c>
      <c r="C6556" s="1" t="n">
        <v>46093</v>
      </c>
      <c r="D6556" t="inlineStr">
        <is>
          <t>ÖSTERGÖTLANDS LÄN</t>
        </is>
      </c>
      <c r="E6556" t="inlineStr">
        <is>
          <t>KINDA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28321-2025</t>
        </is>
      </c>
      <c r="B6557" s="1" t="n">
        <v>45818.64015046296</v>
      </c>
      <c r="C6557" s="1" t="n">
        <v>46093</v>
      </c>
      <c r="D6557" t="inlineStr">
        <is>
          <t>ÖSTERGÖTLANDS LÄN</t>
        </is>
      </c>
      <c r="E6557" t="inlineStr">
        <is>
          <t>MJÖLBY</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28030-2025</t>
        </is>
      </c>
      <c r="B6558" s="1" t="n">
        <v>45817.62875</v>
      </c>
      <c r="C6558" s="1" t="n">
        <v>46093</v>
      </c>
      <c r="D6558" t="inlineStr">
        <is>
          <t>ÖSTERGÖTLANDS LÄN</t>
        </is>
      </c>
      <c r="E6558" t="inlineStr">
        <is>
          <t>ÅTVIDABERG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28039-2025</t>
        </is>
      </c>
      <c r="B6559" s="1" t="n">
        <v>45817.64487268519</v>
      </c>
      <c r="C6559" s="1" t="n">
        <v>46093</v>
      </c>
      <c r="D6559" t="inlineStr">
        <is>
          <t>ÖSTERGÖTLANDS LÄN</t>
        </is>
      </c>
      <c r="E6559" t="inlineStr">
        <is>
          <t>NORRKÖPING</t>
        </is>
      </c>
      <c r="F6559" t="inlineStr">
        <is>
          <t>Holmen skog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28478-2025</t>
        </is>
      </c>
      <c r="B6560" s="1" t="n">
        <v>45817</v>
      </c>
      <c r="C6560" s="1" t="n">
        <v>46093</v>
      </c>
      <c r="D6560" t="inlineStr">
        <is>
          <t>ÖSTERGÖTLANDS LÄN</t>
        </is>
      </c>
      <c r="E6560" t="inlineStr">
        <is>
          <t>SÖDERKÖPING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28209-2025</t>
        </is>
      </c>
      <c r="B6561" s="1" t="n">
        <v>45818.45112268518</v>
      </c>
      <c r="C6561" s="1" t="n">
        <v>46093</v>
      </c>
      <c r="D6561" t="inlineStr">
        <is>
          <t>ÖSTERGÖTLANDS LÄN</t>
        </is>
      </c>
      <c r="E6561" t="inlineStr">
        <is>
          <t>LINKÖPING</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27809-2025</t>
        </is>
      </c>
      <c r="B6562" s="1" t="n">
        <v>45817.31120370371</v>
      </c>
      <c r="C6562" s="1" t="n">
        <v>46093</v>
      </c>
      <c r="D6562" t="inlineStr">
        <is>
          <t>ÖSTERGÖTLANDS LÄN</t>
        </is>
      </c>
      <c r="E6562" t="inlineStr">
        <is>
          <t>ÅTVIDABERG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28204-2025</t>
        </is>
      </c>
      <c r="B6563" s="1" t="n">
        <v>45818.4477662037</v>
      </c>
      <c r="C6563" s="1" t="n">
        <v>46093</v>
      </c>
      <c r="D6563" t="inlineStr">
        <is>
          <t>ÖSTERGÖTLANDS LÄN</t>
        </is>
      </c>
      <c r="E6563" t="inlineStr">
        <is>
          <t>LINKÖPING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28629-2025</t>
        </is>
      </c>
      <c r="B6564" s="1" t="n">
        <v>45819.62172453704</v>
      </c>
      <c r="C6564" s="1" t="n">
        <v>46093</v>
      </c>
      <c r="D6564" t="inlineStr">
        <is>
          <t>ÖSTERGÖTLANDS LÄN</t>
        </is>
      </c>
      <c r="E6564" t="inlineStr">
        <is>
          <t>BOXHOLM</t>
        </is>
      </c>
      <c r="F6564" t="inlineStr">
        <is>
          <t>Övriga Aktiebolag</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28734-2025</t>
        </is>
      </c>
      <c r="B6565" s="1" t="n">
        <v>45820.37113425926</v>
      </c>
      <c r="C6565" s="1" t="n">
        <v>46093</v>
      </c>
      <c r="D6565" t="inlineStr">
        <is>
          <t>ÖSTERGÖTLANDS LÄN</t>
        </is>
      </c>
      <c r="E6565" t="inlineStr">
        <is>
          <t>NORRKÖPING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28508-2025</t>
        </is>
      </c>
      <c r="B6566" s="1" t="n">
        <v>45819.47800925926</v>
      </c>
      <c r="C6566" s="1" t="n">
        <v>46093</v>
      </c>
      <c r="D6566" t="inlineStr">
        <is>
          <t>ÖSTERGÖTLANDS LÄN</t>
        </is>
      </c>
      <c r="E6566" t="inlineStr">
        <is>
          <t>FINSPÅNG</t>
        </is>
      </c>
      <c r="F6566" t="inlineStr">
        <is>
          <t>Holmen skog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28519-2025</t>
        </is>
      </c>
      <c r="B6567" s="1" t="n">
        <v>45819.4893287037</v>
      </c>
      <c r="C6567" s="1" t="n">
        <v>46093</v>
      </c>
      <c r="D6567" t="inlineStr">
        <is>
          <t>ÖSTERGÖTLANDS LÄN</t>
        </is>
      </c>
      <c r="E6567" t="inlineStr">
        <is>
          <t>KINDA</t>
        </is>
      </c>
      <c r="F6567" t="inlineStr">
        <is>
          <t>Övriga Aktiebolag</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28597-2025</t>
        </is>
      </c>
      <c r="B6568" s="1" t="n">
        <v>45819.59641203703</v>
      </c>
      <c r="C6568" s="1" t="n">
        <v>46093</v>
      </c>
      <c r="D6568" t="inlineStr">
        <is>
          <t>ÖSTERGÖTLANDS LÄN</t>
        </is>
      </c>
      <c r="E6568" t="inlineStr">
        <is>
          <t>BOXHOLM</t>
        </is>
      </c>
      <c r="F6568" t="inlineStr">
        <is>
          <t>Övriga Aktiebolag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28583-2025</t>
        </is>
      </c>
      <c r="B6569" s="1" t="n">
        <v>45819.57790509259</v>
      </c>
      <c r="C6569" s="1" t="n">
        <v>46093</v>
      </c>
      <c r="D6569" t="inlineStr">
        <is>
          <t>ÖSTERGÖTLANDS LÄN</t>
        </is>
      </c>
      <c r="E6569" t="inlineStr">
        <is>
          <t>BOXHOLM</t>
        </is>
      </c>
      <c r="F6569" t="inlineStr">
        <is>
          <t>Övriga Aktiebolag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28420-2025</t>
        </is>
      </c>
      <c r="B6570" s="1" t="n">
        <v>45819</v>
      </c>
      <c r="C6570" s="1" t="n">
        <v>46093</v>
      </c>
      <c r="D6570" t="inlineStr">
        <is>
          <t>ÖSTERGÖTLANDS LÄN</t>
        </is>
      </c>
      <c r="E6570" t="inlineStr">
        <is>
          <t>SÖDERKÖPING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28426-2025</t>
        </is>
      </c>
      <c r="B6571" s="1" t="n">
        <v>45819.37326388889</v>
      </c>
      <c r="C6571" s="1" t="n">
        <v>46093</v>
      </c>
      <c r="D6571" t="inlineStr">
        <is>
          <t>ÖSTERGÖTLANDS LÄN</t>
        </is>
      </c>
      <c r="E6571" t="inlineStr">
        <is>
          <t>MOTALA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28552-2025</t>
        </is>
      </c>
      <c r="B6572" s="1" t="n">
        <v>45819.53686342593</v>
      </c>
      <c r="C6572" s="1" t="n">
        <v>46093</v>
      </c>
      <c r="D6572" t="inlineStr">
        <is>
          <t>ÖSTERGÖTLANDS LÄN</t>
        </is>
      </c>
      <c r="E6572" t="inlineStr">
        <is>
          <t>KINDA</t>
        </is>
      </c>
      <c r="F6572" t="inlineStr">
        <is>
          <t>Övriga Aktiebolag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28568-2025</t>
        </is>
      </c>
      <c r="B6573" s="1" t="n">
        <v>45819.55849537037</v>
      </c>
      <c r="C6573" s="1" t="n">
        <v>46093</v>
      </c>
      <c r="D6573" t="inlineStr">
        <is>
          <t>ÖSTERGÖTLANDS LÄN</t>
        </is>
      </c>
      <c r="E6573" t="inlineStr">
        <is>
          <t>KINDA</t>
        </is>
      </c>
      <c r="F6573" t="inlineStr">
        <is>
          <t>Övriga Aktiebolag</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28422-2025</t>
        </is>
      </c>
      <c r="B6574" s="1" t="n">
        <v>45819.36372685185</v>
      </c>
      <c r="C6574" s="1" t="n">
        <v>46093</v>
      </c>
      <c r="D6574" t="inlineStr">
        <is>
          <t>ÖSTERGÖTLANDS LÄN</t>
        </is>
      </c>
      <c r="E6574" t="inlineStr">
        <is>
          <t>MJÖLBY</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28428-2025</t>
        </is>
      </c>
      <c r="B6575" s="1" t="n">
        <v>45819.37645833333</v>
      </c>
      <c r="C6575" s="1" t="n">
        <v>46093</v>
      </c>
      <c r="D6575" t="inlineStr">
        <is>
          <t>ÖSTERGÖTLANDS LÄN</t>
        </is>
      </c>
      <c r="E6575" t="inlineStr">
        <is>
          <t>FINSPÅNG</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28663-2025</t>
        </is>
      </c>
      <c r="B6576" s="1" t="n">
        <v>45819.6608912037</v>
      </c>
      <c r="C6576" s="1" t="n">
        <v>46093</v>
      </c>
      <c r="D6576" t="inlineStr">
        <is>
          <t>ÖSTERGÖTLANDS LÄN</t>
        </is>
      </c>
      <c r="E6576" t="inlineStr">
        <is>
          <t>MJÖLBY</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28695-2025</t>
        </is>
      </c>
      <c r="B6577" s="1" t="n">
        <v>45819.9034837963</v>
      </c>
      <c r="C6577" s="1" t="n">
        <v>46093</v>
      </c>
      <c r="D6577" t="inlineStr">
        <is>
          <t>ÖSTERGÖTLANDS LÄN</t>
        </is>
      </c>
      <c r="E6577" t="inlineStr">
        <is>
          <t>MJÖLBY</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28479-2025</t>
        </is>
      </c>
      <c r="B6578" s="1" t="n">
        <v>45819.4475</v>
      </c>
      <c r="C6578" s="1" t="n">
        <v>46093</v>
      </c>
      <c r="D6578" t="inlineStr">
        <is>
          <t>ÖSTERGÖTLANDS LÄN</t>
        </is>
      </c>
      <c r="E6578" t="inlineStr">
        <is>
          <t>KINDA</t>
        </is>
      </c>
      <c r="F6578" t="inlineStr">
        <is>
          <t>Övriga Aktiebolag</t>
        </is>
      </c>
      <c r="G6578" t="n">
        <v>15.2</v>
      </c>
      <c r="H6578" t="n">
        <v>0</v>
      </c>
      <c r="I6578" t="n">
        <v>0</v>
      </c>
      <c r="J6578" t="n">
        <v>0</v>
      </c>
      <c r="K6578" t="n">
        <v>0</v>
      </c>
      <c r="L6578" t="n">
        <v>0</v>
      </c>
      <c r="M6578" t="n">
        <v>0</v>
      </c>
      <c r="N6578" t="n">
        <v>0</v>
      </c>
      <c r="O6578" t="n">
        <v>0</v>
      </c>
      <c r="P6578" t="n">
        <v>0</v>
      </c>
      <c r="Q6578" t="n">
        <v>0</v>
      </c>
      <c r="R6578" s="2" t="inlineStr"/>
    </row>
    <row r="6579" ht="15" customHeight="1">
      <c r="A6579" t="inlineStr">
        <is>
          <t>A 28697-2025</t>
        </is>
      </c>
      <c r="B6579" s="1" t="n">
        <v>45819.92020833334</v>
      </c>
      <c r="C6579" s="1" t="n">
        <v>46093</v>
      </c>
      <c r="D6579" t="inlineStr">
        <is>
          <t>ÖSTERGÖTLANDS LÄN</t>
        </is>
      </c>
      <c r="E6579" t="inlineStr">
        <is>
          <t>MJÖLBY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28398-2025</t>
        </is>
      </c>
      <c r="B6580" s="1" t="n">
        <v>45819.34208333334</v>
      </c>
      <c r="C6580" s="1" t="n">
        <v>46093</v>
      </c>
      <c r="D6580" t="inlineStr">
        <is>
          <t>ÖSTERGÖTLANDS LÄN</t>
        </is>
      </c>
      <c r="E6580" t="inlineStr">
        <is>
          <t>LINKÖPING</t>
        </is>
      </c>
      <c r="F6580" t="inlineStr">
        <is>
          <t>Sveaskog</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28417-2025</t>
        </is>
      </c>
      <c r="B6581" s="1" t="n">
        <v>45819.35731481481</v>
      </c>
      <c r="C6581" s="1" t="n">
        <v>46093</v>
      </c>
      <c r="D6581" t="inlineStr">
        <is>
          <t>ÖSTERGÖTLANDS LÄN</t>
        </is>
      </c>
      <c r="E6581" t="inlineStr">
        <is>
          <t>MJÖLBY</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27895-2025</t>
        </is>
      </c>
      <c r="B6582" s="1" t="n">
        <v>45817</v>
      </c>
      <c r="C6582" s="1" t="n">
        <v>46093</v>
      </c>
      <c r="D6582" t="inlineStr">
        <is>
          <t>ÖSTERGÖTLANDS LÄN</t>
        </is>
      </c>
      <c r="E6582" t="inlineStr">
        <is>
          <t>MOTALA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28491-2025</t>
        </is>
      </c>
      <c r="B6583" s="1" t="n">
        <v>45819.38228009259</v>
      </c>
      <c r="C6583" s="1" t="n">
        <v>46093</v>
      </c>
      <c r="D6583" t="inlineStr">
        <is>
          <t>ÖSTERGÖTLANDS LÄN</t>
        </is>
      </c>
      <c r="E6583" t="inlineStr">
        <is>
          <t>FINSPÅNG</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28750-2025</t>
        </is>
      </c>
      <c r="B6584" s="1" t="n">
        <v>45820.39863425926</v>
      </c>
      <c r="C6584" s="1" t="n">
        <v>46093</v>
      </c>
      <c r="D6584" t="inlineStr">
        <is>
          <t>ÖSTERGÖTLANDS LÄN</t>
        </is>
      </c>
      <c r="E6584" t="inlineStr">
        <is>
          <t>NORRKÖPING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28419-2025</t>
        </is>
      </c>
      <c r="B6585" s="1" t="n">
        <v>45819.3609375</v>
      </c>
      <c r="C6585" s="1" t="n">
        <v>46093</v>
      </c>
      <c r="D6585" t="inlineStr">
        <is>
          <t>ÖSTERGÖTLANDS LÄN</t>
        </is>
      </c>
      <c r="E6585" t="inlineStr">
        <is>
          <t>MJÖLBY</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28905-2025</t>
        </is>
      </c>
      <c r="B6586" s="1" t="n">
        <v>45820.64690972222</v>
      </c>
      <c r="C6586" s="1" t="n">
        <v>46093</v>
      </c>
      <c r="D6586" t="inlineStr">
        <is>
          <t>ÖSTERGÖTLANDS LÄN</t>
        </is>
      </c>
      <c r="E6586" t="inlineStr">
        <is>
          <t>FINSPÅNG</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28913-2025</t>
        </is>
      </c>
      <c r="B6587" s="1" t="n">
        <v>45820.66185185185</v>
      </c>
      <c r="C6587" s="1" t="n">
        <v>46093</v>
      </c>
      <c r="D6587" t="inlineStr">
        <is>
          <t>ÖSTERGÖTLANDS LÄN</t>
        </is>
      </c>
      <c r="E6587" t="inlineStr">
        <is>
          <t>FINSPÅNG</t>
        </is>
      </c>
      <c r="F6587" t="inlineStr">
        <is>
          <t>Holmen skog AB</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28416-2025</t>
        </is>
      </c>
      <c r="B6588" s="1" t="n">
        <v>45819.35346064815</v>
      </c>
      <c r="C6588" s="1" t="n">
        <v>46093</v>
      </c>
      <c r="D6588" t="inlineStr">
        <is>
          <t>ÖSTERGÖTLANDS LÄN</t>
        </is>
      </c>
      <c r="E6588" t="inlineStr">
        <is>
          <t>LINKÖPING</t>
        </is>
      </c>
      <c r="F6588" t="inlineStr">
        <is>
          <t>Sveaskog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28792-2025</t>
        </is>
      </c>
      <c r="B6589" s="1" t="n">
        <v>45820.47420138889</v>
      </c>
      <c r="C6589" s="1" t="n">
        <v>46093</v>
      </c>
      <c r="D6589" t="inlineStr">
        <is>
          <t>ÖSTERGÖTLANDS LÄN</t>
        </is>
      </c>
      <c r="E6589" t="inlineStr">
        <is>
          <t>FINSPÅNG</t>
        </is>
      </c>
      <c r="F6589" t="inlineStr">
        <is>
          <t>Holmen skog AB</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28611-2025</t>
        </is>
      </c>
      <c r="B6590" s="1" t="n">
        <v>45819.60376157407</v>
      </c>
      <c r="C6590" s="1" t="n">
        <v>46093</v>
      </c>
      <c r="D6590" t="inlineStr">
        <is>
          <t>ÖSTERGÖTLANDS LÄN</t>
        </is>
      </c>
      <c r="E6590" t="inlineStr">
        <is>
          <t>KINDA</t>
        </is>
      </c>
      <c r="F6590" t="inlineStr">
        <is>
          <t>Övriga Aktiebolag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29210-2025</t>
        </is>
      </c>
      <c r="B6591" s="1" t="n">
        <v>45823.95060185185</v>
      </c>
      <c r="C6591" s="1" t="n">
        <v>46093</v>
      </c>
      <c r="D6591" t="inlineStr">
        <is>
          <t>ÖSTERGÖTLANDS LÄN</t>
        </is>
      </c>
      <c r="E6591" t="inlineStr">
        <is>
          <t>KINDA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29314-2025</t>
        </is>
      </c>
      <c r="B6592" s="1" t="n">
        <v>45824.46805555555</v>
      </c>
      <c r="C6592" s="1" t="n">
        <v>46093</v>
      </c>
      <c r="D6592" t="inlineStr">
        <is>
          <t>ÖSTERGÖTLANDS LÄN</t>
        </is>
      </c>
      <c r="E6592" t="inlineStr">
        <is>
          <t>MOTALA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29220-2025</t>
        </is>
      </c>
      <c r="B6593" s="1" t="n">
        <v>45824.32293981482</v>
      </c>
      <c r="C6593" s="1" t="n">
        <v>46093</v>
      </c>
      <c r="D6593" t="inlineStr">
        <is>
          <t>ÖSTERGÖTLANDS LÄN</t>
        </is>
      </c>
      <c r="E6593" t="inlineStr">
        <is>
          <t>NORRKÖPING</t>
        </is>
      </c>
      <c r="F6593" t="inlineStr">
        <is>
          <t>Holmen skog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29027-2025</t>
        </is>
      </c>
      <c r="B6594" s="1" t="n">
        <v>45821.4375462963</v>
      </c>
      <c r="C6594" s="1" t="n">
        <v>46093</v>
      </c>
      <c r="D6594" t="inlineStr">
        <is>
          <t>ÖSTERGÖTLANDS LÄN</t>
        </is>
      </c>
      <c r="E6594" t="inlineStr">
        <is>
          <t>LINKÖPING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29079-2025</t>
        </is>
      </c>
      <c r="B6595" s="1" t="n">
        <v>45821</v>
      </c>
      <c r="C6595" s="1" t="n">
        <v>46093</v>
      </c>
      <c r="D6595" t="inlineStr">
        <is>
          <t>ÖSTERGÖTLANDS LÄN</t>
        </is>
      </c>
      <c r="E6595" t="inlineStr">
        <is>
          <t>KINDA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29086-2025</t>
        </is>
      </c>
      <c r="B6596" s="1" t="n">
        <v>45821</v>
      </c>
      <c r="C6596" s="1" t="n">
        <v>46093</v>
      </c>
      <c r="D6596" t="inlineStr">
        <is>
          <t>ÖSTERGÖTLANDS LÄN</t>
        </is>
      </c>
      <c r="E6596" t="inlineStr">
        <is>
          <t>KINDA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29078-2025</t>
        </is>
      </c>
      <c r="B6597" s="1" t="n">
        <v>45821</v>
      </c>
      <c r="C6597" s="1" t="n">
        <v>46093</v>
      </c>
      <c r="D6597" t="inlineStr">
        <is>
          <t>ÖSTERGÖTLANDS LÄN</t>
        </is>
      </c>
      <c r="E6597" t="inlineStr">
        <is>
          <t>KINDA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28959-2025</t>
        </is>
      </c>
      <c r="B6598" s="1" t="n">
        <v>45821.31873842593</v>
      </c>
      <c r="C6598" s="1" t="n">
        <v>46093</v>
      </c>
      <c r="D6598" t="inlineStr">
        <is>
          <t>ÖSTERGÖTLANDS LÄN</t>
        </is>
      </c>
      <c r="E6598" t="inlineStr">
        <is>
          <t>YDRE</t>
        </is>
      </c>
      <c r="F6598" t="inlineStr">
        <is>
          <t>Kyrkan</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29298-2025</t>
        </is>
      </c>
      <c r="B6599" s="1" t="n">
        <v>45824.45221064815</v>
      </c>
      <c r="C6599" s="1" t="n">
        <v>46093</v>
      </c>
      <c r="D6599" t="inlineStr">
        <is>
          <t>ÖSTERGÖTLANDS LÄN</t>
        </is>
      </c>
      <c r="E6599" t="inlineStr">
        <is>
          <t>NORRKÖPING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29411-2025</t>
        </is>
      </c>
      <c r="B6600" s="1" t="n">
        <v>45824.6219212963</v>
      </c>
      <c r="C6600" s="1" t="n">
        <v>46093</v>
      </c>
      <c r="D6600" t="inlineStr">
        <is>
          <t>ÖSTERGÖTLANDS LÄN</t>
        </is>
      </c>
      <c r="E6600" t="inlineStr">
        <is>
          <t>LINKÖPING</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29419-2025</t>
        </is>
      </c>
      <c r="B6601" s="1" t="n">
        <v>45824.6362037037</v>
      </c>
      <c r="C6601" s="1" t="n">
        <v>46093</v>
      </c>
      <c r="D6601" t="inlineStr">
        <is>
          <t>ÖSTERGÖTLANDS LÄN</t>
        </is>
      </c>
      <c r="E6601" t="inlineStr">
        <is>
          <t>FINSPÅNG</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29454-2025</t>
        </is>
      </c>
      <c r="B6602" s="1" t="n">
        <v>45824.68121527778</v>
      </c>
      <c r="C6602" s="1" t="n">
        <v>46093</v>
      </c>
      <c r="D6602" t="inlineStr">
        <is>
          <t>ÖSTERGÖTLANDS LÄN</t>
        </is>
      </c>
      <c r="E6602" t="inlineStr">
        <is>
          <t>FINSPÅNG</t>
        </is>
      </c>
      <c r="F6602" t="inlineStr">
        <is>
          <t>Holmen skog AB</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29296-2025</t>
        </is>
      </c>
      <c r="B6603" s="1" t="n">
        <v>45824.44797453703</v>
      </c>
      <c r="C6603" s="1" t="n">
        <v>46093</v>
      </c>
      <c r="D6603" t="inlineStr">
        <is>
          <t>ÖSTERGÖTLANDS LÄN</t>
        </is>
      </c>
      <c r="E6603" t="inlineStr">
        <is>
          <t>ÖDESHÖG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29211-2025</t>
        </is>
      </c>
      <c r="B6604" s="1" t="n">
        <v>45823.95393518519</v>
      </c>
      <c r="C6604" s="1" t="n">
        <v>46093</v>
      </c>
      <c r="D6604" t="inlineStr">
        <is>
          <t>ÖSTERGÖTLANDS LÄN</t>
        </is>
      </c>
      <c r="E6604" t="inlineStr">
        <is>
          <t>KINDA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29061-2025</t>
        </is>
      </c>
      <c r="B6605" s="1" t="n">
        <v>45821</v>
      </c>
      <c r="C6605" s="1" t="n">
        <v>46093</v>
      </c>
      <c r="D6605" t="inlineStr">
        <is>
          <t>ÖSTERGÖTLANDS LÄN</t>
        </is>
      </c>
      <c r="E6605" t="inlineStr">
        <is>
          <t>KINDA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29092-2025</t>
        </is>
      </c>
      <c r="B6606" s="1" t="n">
        <v>45821</v>
      </c>
      <c r="C6606" s="1" t="n">
        <v>46093</v>
      </c>
      <c r="D6606" t="inlineStr">
        <is>
          <t>ÖSTERGÖTLANDS LÄN</t>
        </is>
      </c>
      <c r="E6606" t="inlineStr">
        <is>
          <t>KINDA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29430-2025</t>
        </is>
      </c>
      <c r="B6607" s="1" t="n">
        <v>45824.64903935185</v>
      </c>
      <c r="C6607" s="1" t="n">
        <v>46093</v>
      </c>
      <c r="D6607" t="inlineStr">
        <is>
          <t>ÖSTERGÖTLANDS LÄN</t>
        </is>
      </c>
      <c r="E6607" t="inlineStr">
        <is>
          <t>FINSPÅNG</t>
        </is>
      </c>
      <c r="F6607" t="inlineStr">
        <is>
          <t>Holmen skog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29441-2025</t>
        </is>
      </c>
      <c r="B6608" s="1" t="n">
        <v>45824.65921296296</v>
      </c>
      <c r="C6608" s="1" t="n">
        <v>46093</v>
      </c>
      <c r="D6608" t="inlineStr">
        <is>
          <t>ÖSTERGÖTLANDS LÄN</t>
        </is>
      </c>
      <c r="E6608" t="inlineStr">
        <is>
          <t>FINSPÅNG</t>
        </is>
      </c>
      <c r="F6608" t="inlineStr">
        <is>
          <t>Holmen skog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29216-2025</t>
        </is>
      </c>
      <c r="B6609" s="1" t="n">
        <v>45824.31493055556</v>
      </c>
      <c r="C6609" s="1" t="n">
        <v>46093</v>
      </c>
      <c r="D6609" t="inlineStr">
        <is>
          <t>ÖSTERGÖTLANDS LÄN</t>
        </is>
      </c>
      <c r="E6609" t="inlineStr">
        <is>
          <t>NORRKÖPING</t>
        </is>
      </c>
      <c r="F6609" t="inlineStr">
        <is>
          <t>Holmen skog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29574-2025</t>
        </is>
      </c>
      <c r="B6610" s="1" t="n">
        <v>45825</v>
      </c>
      <c r="C6610" s="1" t="n">
        <v>46093</v>
      </c>
      <c r="D6610" t="inlineStr">
        <is>
          <t>ÖSTERGÖTLANDS LÄN</t>
        </is>
      </c>
      <c r="E6610" t="inlineStr">
        <is>
          <t>ÅTVIDABERG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58331-2022</t>
        </is>
      </c>
      <c r="B6611" s="1" t="n">
        <v>44901.56424768519</v>
      </c>
      <c r="C6611" s="1" t="n">
        <v>46093</v>
      </c>
      <c r="D6611" t="inlineStr">
        <is>
          <t>ÖSTERGÖTLANDS LÄN</t>
        </is>
      </c>
      <c r="E6611" t="inlineStr">
        <is>
          <t>MOTALA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29580-2025</t>
        </is>
      </c>
      <c r="B6612" s="1" t="n">
        <v>45825.37965277778</v>
      </c>
      <c r="C6612" s="1" t="n">
        <v>46093</v>
      </c>
      <c r="D6612" t="inlineStr">
        <is>
          <t>ÖSTERGÖTLANDS LÄN</t>
        </is>
      </c>
      <c r="E6612" t="inlineStr">
        <is>
          <t>MJÖLBY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29599-2025</t>
        </is>
      </c>
      <c r="B6613" s="1" t="n">
        <v>45825.41101851852</v>
      </c>
      <c r="C6613" s="1" t="n">
        <v>46093</v>
      </c>
      <c r="D6613" t="inlineStr">
        <is>
          <t>ÖSTERGÖTLANDS LÄN</t>
        </is>
      </c>
      <c r="E6613" t="inlineStr">
        <is>
          <t>LINKÖPING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29788-2025</t>
        </is>
      </c>
      <c r="B6614" s="1" t="n">
        <v>45825.65684027778</v>
      </c>
      <c r="C6614" s="1" t="n">
        <v>46093</v>
      </c>
      <c r="D6614" t="inlineStr">
        <is>
          <t>ÖSTERGÖTLANDS LÄN</t>
        </is>
      </c>
      <c r="E6614" t="inlineStr">
        <is>
          <t>FINSPÅNG</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29471-2025</t>
        </is>
      </c>
      <c r="B6615" s="1" t="n">
        <v>45824</v>
      </c>
      <c r="C6615" s="1" t="n">
        <v>46093</v>
      </c>
      <c r="D6615" t="inlineStr">
        <is>
          <t>ÖSTERGÖTLANDS LÄN</t>
        </is>
      </c>
      <c r="E6615" t="inlineStr">
        <is>
          <t>KINDA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30064-2025</t>
        </is>
      </c>
      <c r="B6616" s="1" t="n">
        <v>45826.61688657408</v>
      </c>
      <c r="C6616" s="1" t="n">
        <v>46093</v>
      </c>
      <c r="D6616" t="inlineStr">
        <is>
          <t>ÖSTERGÖTLANDS LÄN</t>
        </is>
      </c>
      <c r="E6616" t="inlineStr">
        <is>
          <t>FINSPÅNG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30606-2023</t>
        </is>
      </c>
      <c r="B6617" s="1" t="n">
        <v>45112</v>
      </c>
      <c r="C6617" s="1" t="n">
        <v>46093</v>
      </c>
      <c r="D6617" t="inlineStr">
        <is>
          <t>ÖSTERGÖTLANDS LÄN</t>
        </is>
      </c>
      <c r="E6617" t="inlineStr">
        <is>
          <t>MOTALA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29400-2025</t>
        </is>
      </c>
      <c r="B6618" s="1" t="n">
        <v>45824.61387731481</v>
      </c>
      <c r="C6618" s="1" t="n">
        <v>46093</v>
      </c>
      <c r="D6618" t="inlineStr">
        <is>
          <t>ÖSTERGÖTLANDS LÄN</t>
        </is>
      </c>
      <c r="E6618" t="inlineStr">
        <is>
          <t>ÅTVIDABERG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29632-2025</t>
        </is>
      </c>
      <c r="B6619" s="1" t="n">
        <v>45825.44871527778</v>
      </c>
      <c r="C6619" s="1" t="n">
        <v>46093</v>
      </c>
      <c r="D6619" t="inlineStr">
        <is>
          <t>ÖSTERGÖTLANDS LÄN</t>
        </is>
      </c>
      <c r="E6619" t="inlineStr">
        <is>
          <t>MOTALA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30468-2025</t>
        </is>
      </c>
      <c r="B6620" s="1" t="n">
        <v>45827.84690972222</v>
      </c>
      <c r="C6620" s="1" t="n">
        <v>46093</v>
      </c>
      <c r="D6620" t="inlineStr">
        <is>
          <t>ÖSTERGÖTLANDS LÄN</t>
        </is>
      </c>
      <c r="E6620" t="inlineStr">
        <is>
          <t>MJÖLBY</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30355-2025</t>
        </is>
      </c>
      <c r="B6621" s="1" t="n">
        <v>45827</v>
      </c>
      <c r="C6621" s="1" t="n">
        <v>46093</v>
      </c>
      <c r="D6621" t="inlineStr">
        <is>
          <t>ÖSTERGÖTLANDS LÄN</t>
        </is>
      </c>
      <c r="E6621" t="inlineStr">
        <is>
          <t>LINKÖPING</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30361-2025</t>
        </is>
      </c>
      <c r="B6622" s="1" t="n">
        <v>45827</v>
      </c>
      <c r="C6622" s="1" t="n">
        <v>46093</v>
      </c>
      <c r="D6622" t="inlineStr">
        <is>
          <t>ÖSTERGÖTLANDS LÄN</t>
        </is>
      </c>
      <c r="E6622" t="inlineStr">
        <is>
          <t>ÅTVIDABERG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30353-2025</t>
        </is>
      </c>
      <c r="B6623" s="1" t="n">
        <v>45827</v>
      </c>
      <c r="C6623" s="1" t="n">
        <v>46093</v>
      </c>
      <c r="D6623" t="inlineStr">
        <is>
          <t>ÖSTERGÖTLANDS LÄN</t>
        </is>
      </c>
      <c r="E6623" t="inlineStr">
        <is>
          <t>LINKÖPING</t>
        </is>
      </c>
      <c r="F6623" t="inlineStr">
        <is>
          <t>Sveaskog</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30362-2025</t>
        </is>
      </c>
      <c r="B6624" s="1" t="n">
        <v>45827</v>
      </c>
      <c r="C6624" s="1" t="n">
        <v>46093</v>
      </c>
      <c r="D6624" t="inlineStr">
        <is>
          <t>ÖSTERGÖTLANDS LÄN</t>
        </is>
      </c>
      <c r="E6624" t="inlineStr">
        <is>
          <t>ÅTVIDABERG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25262-2025</t>
        </is>
      </c>
      <c r="B6625" s="1" t="n">
        <v>45800</v>
      </c>
      <c r="C6625" s="1" t="n">
        <v>46093</v>
      </c>
      <c r="D6625" t="inlineStr">
        <is>
          <t>ÖSTERGÖTLANDS LÄN</t>
        </is>
      </c>
      <c r="E6625" t="inlineStr">
        <is>
          <t>MOTALA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30721-2025</t>
        </is>
      </c>
      <c r="B6626" s="1" t="n">
        <v>45831.56633101852</v>
      </c>
      <c r="C6626" s="1" t="n">
        <v>46093</v>
      </c>
      <c r="D6626" t="inlineStr">
        <is>
          <t>ÖSTERGÖTLANDS LÄN</t>
        </is>
      </c>
      <c r="E6626" t="inlineStr">
        <is>
          <t>YDRE</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30557-2025</t>
        </is>
      </c>
      <c r="B6627" s="1" t="n">
        <v>45831.39171296296</v>
      </c>
      <c r="C6627" s="1" t="n">
        <v>46093</v>
      </c>
      <c r="D6627" t="inlineStr">
        <is>
          <t>ÖSTERGÖTLANDS LÄN</t>
        </is>
      </c>
      <c r="E6627" t="inlineStr">
        <is>
          <t>YDRE</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30640-2025</t>
        </is>
      </c>
      <c r="B6628" s="1" t="n">
        <v>45831.48467592592</v>
      </c>
      <c r="C6628" s="1" t="n">
        <v>46093</v>
      </c>
      <c r="D6628" t="inlineStr">
        <is>
          <t>ÖSTERGÖTLANDS LÄN</t>
        </is>
      </c>
      <c r="E6628" t="inlineStr">
        <is>
          <t>MOTALA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30766-2025</t>
        </is>
      </c>
      <c r="B6629" s="1" t="n">
        <v>45831.60594907407</v>
      </c>
      <c r="C6629" s="1" t="n">
        <v>46093</v>
      </c>
      <c r="D6629" t="inlineStr">
        <is>
          <t>ÖSTERGÖTLANDS LÄN</t>
        </is>
      </c>
      <c r="E6629" t="inlineStr">
        <is>
          <t>YDRE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30726-2025</t>
        </is>
      </c>
      <c r="B6630" s="1" t="n">
        <v>45831.56945601852</v>
      </c>
      <c r="C6630" s="1" t="n">
        <v>46093</v>
      </c>
      <c r="D6630" t="inlineStr">
        <is>
          <t>ÖSTERGÖTLANDS LÄN</t>
        </is>
      </c>
      <c r="E6630" t="inlineStr">
        <is>
          <t>YDRE</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31180-2025</t>
        </is>
      </c>
      <c r="B6631" s="1" t="n">
        <v>45832.67672453704</v>
      </c>
      <c r="C6631" s="1" t="n">
        <v>46093</v>
      </c>
      <c r="D6631" t="inlineStr">
        <is>
          <t>ÖSTERGÖTLANDS LÄN</t>
        </is>
      </c>
      <c r="E6631" t="inlineStr">
        <is>
          <t>FINSPÅNG</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30718-2025</t>
        </is>
      </c>
      <c r="B6632" s="1" t="n">
        <v>45831.56362268519</v>
      </c>
      <c r="C6632" s="1" t="n">
        <v>46093</v>
      </c>
      <c r="D6632" t="inlineStr">
        <is>
          <t>ÖSTERGÖTLANDS LÄN</t>
        </is>
      </c>
      <c r="E6632" t="inlineStr">
        <is>
          <t>YDRE</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30752-2025</t>
        </is>
      </c>
      <c r="B6633" s="1" t="n">
        <v>45831.59186342593</v>
      </c>
      <c r="C6633" s="1" t="n">
        <v>46093</v>
      </c>
      <c r="D6633" t="inlineStr">
        <is>
          <t>ÖSTERGÖTLANDS LÄN</t>
        </is>
      </c>
      <c r="E6633" t="inlineStr">
        <is>
          <t>YDRE</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30600-2025</t>
        </is>
      </c>
      <c r="B6634" s="1" t="n">
        <v>45831.45087962963</v>
      </c>
      <c r="C6634" s="1" t="n">
        <v>46093</v>
      </c>
      <c r="D6634" t="inlineStr">
        <is>
          <t>ÖSTERGÖTLANDS LÄN</t>
        </is>
      </c>
      <c r="E6634" t="inlineStr">
        <is>
          <t>ÖDESHÖG</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31054-2025</t>
        </is>
      </c>
      <c r="B6635" s="1" t="n">
        <v>45832.56275462963</v>
      </c>
      <c r="C6635" s="1" t="n">
        <v>46093</v>
      </c>
      <c r="D6635" t="inlineStr">
        <is>
          <t>ÖSTERGÖTLANDS LÄN</t>
        </is>
      </c>
      <c r="E6635" t="inlineStr">
        <is>
          <t>KINDA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30531-2025</t>
        </is>
      </c>
      <c r="B6636" s="1" t="n">
        <v>45831.36127314815</v>
      </c>
      <c r="C6636" s="1" t="n">
        <v>46093</v>
      </c>
      <c r="D6636" t="inlineStr">
        <is>
          <t>ÖSTERGÖTLANDS LÄN</t>
        </is>
      </c>
      <c r="E6636" t="inlineStr">
        <is>
          <t>YDRE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30535-2025</t>
        </is>
      </c>
      <c r="B6637" s="1" t="n">
        <v>45831.36613425926</v>
      </c>
      <c r="C6637" s="1" t="n">
        <v>46093</v>
      </c>
      <c r="D6637" t="inlineStr">
        <is>
          <t>ÖSTERGÖTLANDS LÄN</t>
        </is>
      </c>
      <c r="E6637" t="inlineStr">
        <is>
          <t>YDRE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30544-2025</t>
        </is>
      </c>
      <c r="B6638" s="1" t="n">
        <v>45831.37353009259</v>
      </c>
      <c r="C6638" s="1" t="n">
        <v>46093</v>
      </c>
      <c r="D6638" t="inlineStr">
        <is>
          <t>ÖSTERGÖTLANDS LÄN</t>
        </is>
      </c>
      <c r="E6638" t="inlineStr">
        <is>
          <t>YDRE</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33131-2025</t>
        </is>
      </c>
      <c r="B6639" s="1" t="n">
        <v>45832</v>
      </c>
      <c r="C6639" s="1" t="n">
        <v>46093</v>
      </c>
      <c r="D6639" t="inlineStr">
        <is>
          <t>ÖSTERGÖTLANDS LÄN</t>
        </is>
      </c>
      <c r="E6639" t="inlineStr">
        <is>
          <t>NORRKÖPING</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30559-2025</t>
        </is>
      </c>
      <c r="B6640" s="1" t="n">
        <v>45831.3944675926</v>
      </c>
      <c r="C6640" s="1" t="n">
        <v>46093</v>
      </c>
      <c r="D6640" t="inlineStr">
        <is>
          <t>ÖSTERGÖTLANDS LÄN</t>
        </is>
      </c>
      <c r="E6640" t="inlineStr">
        <is>
          <t>YDRE</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30548-2025</t>
        </is>
      </c>
      <c r="B6641" s="1" t="n">
        <v>45831</v>
      </c>
      <c r="C6641" s="1" t="n">
        <v>46093</v>
      </c>
      <c r="D6641" t="inlineStr">
        <is>
          <t>ÖSTERGÖTLANDS LÄN</t>
        </is>
      </c>
      <c r="E6641" t="inlineStr">
        <is>
          <t>YDRE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31048-2025</t>
        </is>
      </c>
      <c r="B6642" s="1" t="n">
        <v>45832.55696759259</v>
      </c>
      <c r="C6642" s="1" t="n">
        <v>46093</v>
      </c>
      <c r="D6642" t="inlineStr">
        <is>
          <t>ÖSTERGÖTLANDS LÄN</t>
        </is>
      </c>
      <c r="E6642" t="inlineStr">
        <is>
          <t>KINDA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31053-2025</t>
        </is>
      </c>
      <c r="B6643" s="1" t="n">
        <v>45831</v>
      </c>
      <c r="C6643" s="1" t="n">
        <v>46093</v>
      </c>
      <c r="D6643" t="inlineStr">
        <is>
          <t>ÖSTERGÖTLANDS LÄN</t>
        </is>
      </c>
      <c r="E6643" t="inlineStr">
        <is>
          <t>FINSPÅNG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30831-2025</t>
        </is>
      </c>
      <c r="B6644" s="1" t="n">
        <v>45831.68800925926</v>
      </c>
      <c r="C6644" s="1" t="n">
        <v>46093</v>
      </c>
      <c r="D6644" t="inlineStr">
        <is>
          <t>ÖSTERGÖTLANDS LÄN</t>
        </is>
      </c>
      <c r="E6644" t="inlineStr">
        <is>
          <t>SÖDERKÖPING</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51763-2023</t>
        </is>
      </c>
      <c r="B6645" s="1" t="n">
        <v>45222</v>
      </c>
      <c r="C6645" s="1" t="n">
        <v>46093</v>
      </c>
      <c r="D6645" t="inlineStr">
        <is>
          <t>ÖSTERGÖTLANDS LÄN</t>
        </is>
      </c>
      <c r="E6645" t="inlineStr">
        <is>
          <t>BOXHOLM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23781-2025</t>
        </is>
      </c>
      <c r="B6646" s="1" t="n">
        <v>45793</v>
      </c>
      <c r="C6646" s="1" t="n">
        <v>46093</v>
      </c>
      <c r="D6646" t="inlineStr">
        <is>
          <t>ÖSTERGÖTLANDS LÄN</t>
        </is>
      </c>
      <c r="E6646" t="inlineStr">
        <is>
          <t>MJÖLBY</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30631-2025</t>
        </is>
      </c>
      <c r="B6647" s="1" t="n">
        <v>45831.47709490741</v>
      </c>
      <c r="C6647" s="1" t="n">
        <v>46093</v>
      </c>
      <c r="D6647" t="inlineStr">
        <is>
          <t>ÖSTERGÖTLANDS LÄN</t>
        </is>
      </c>
      <c r="E6647" t="inlineStr">
        <is>
          <t>KINDA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30767-2025</t>
        </is>
      </c>
      <c r="B6648" s="1" t="n">
        <v>45831.60769675926</v>
      </c>
      <c r="C6648" s="1" t="n">
        <v>46093</v>
      </c>
      <c r="D6648" t="inlineStr">
        <is>
          <t>ÖSTERGÖTLANDS LÄN</t>
        </is>
      </c>
      <c r="E6648" t="inlineStr">
        <is>
          <t>YDRE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30770-2025</t>
        </is>
      </c>
      <c r="B6649" s="1" t="n">
        <v>45831.61119212963</v>
      </c>
      <c r="C6649" s="1" t="n">
        <v>46093</v>
      </c>
      <c r="D6649" t="inlineStr">
        <is>
          <t>ÖSTERGÖTLANDS LÄN</t>
        </is>
      </c>
      <c r="E6649" t="inlineStr">
        <is>
          <t>YDRE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30613-2025</t>
        </is>
      </c>
      <c r="B6650" s="1" t="n">
        <v>45831.46635416667</v>
      </c>
      <c r="C6650" s="1" t="n">
        <v>46093</v>
      </c>
      <c r="D6650" t="inlineStr">
        <is>
          <t>ÖSTERGÖTLANDS LÄN</t>
        </is>
      </c>
      <c r="E6650" t="inlineStr">
        <is>
          <t>KINDA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30759-2025</t>
        </is>
      </c>
      <c r="B6651" s="1" t="n">
        <v>45831.59747685185</v>
      </c>
      <c r="C6651" s="1" t="n">
        <v>46093</v>
      </c>
      <c r="D6651" t="inlineStr">
        <is>
          <t>ÖSTERGÖTLANDS LÄN</t>
        </is>
      </c>
      <c r="E6651" t="inlineStr">
        <is>
          <t>YDRE</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30551-2025</t>
        </is>
      </c>
      <c r="B6652" s="1" t="n">
        <v>45831.38268518518</v>
      </c>
      <c r="C6652" s="1" t="n">
        <v>46093</v>
      </c>
      <c r="D6652" t="inlineStr">
        <is>
          <t>ÖSTERGÖTLANDS LÄN</t>
        </is>
      </c>
      <c r="E6652" t="inlineStr">
        <is>
          <t>YDRE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30647-2025</t>
        </is>
      </c>
      <c r="B6653" s="1" t="n">
        <v>45831</v>
      </c>
      <c r="C6653" s="1" t="n">
        <v>46093</v>
      </c>
      <c r="D6653" t="inlineStr">
        <is>
          <t>ÖSTERGÖTLANDS LÄN</t>
        </is>
      </c>
      <c r="E6653" t="inlineStr">
        <is>
          <t>FINSPÅNG</t>
        </is>
      </c>
      <c r="F6653" t="inlineStr">
        <is>
          <t>Holmen skog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30513-2025</t>
        </is>
      </c>
      <c r="B6654" s="1" t="n">
        <v>45831</v>
      </c>
      <c r="C6654" s="1" t="n">
        <v>46093</v>
      </c>
      <c r="D6654" t="inlineStr">
        <is>
          <t>ÖSTERGÖTLANDS LÄN</t>
        </is>
      </c>
      <c r="E6654" t="inlineStr">
        <is>
          <t>ÅTVIDABERG</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33126-2025</t>
        </is>
      </c>
      <c r="B6655" s="1" t="n">
        <v>45832</v>
      </c>
      <c r="C6655" s="1" t="n">
        <v>46093</v>
      </c>
      <c r="D6655" t="inlineStr">
        <is>
          <t>ÖSTERGÖTLANDS LÄN</t>
        </is>
      </c>
      <c r="E6655" t="inlineStr">
        <is>
          <t>NORRKÖPING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33138-2025</t>
        </is>
      </c>
      <c r="B6656" s="1" t="n">
        <v>45832</v>
      </c>
      <c r="C6656" s="1" t="n">
        <v>46093</v>
      </c>
      <c r="D6656" t="inlineStr">
        <is>
          <t>ÖSTERGÖTLANDS LÄN</t>
        </is>
      </c>
      <c r="E6656" t="inlineStr">
        <is>
          <t>NORRKÖPING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31359-2025</t>
        </is>
      </c>
      <c r="B6657" s="1" t="n">
        <v>45833.43495370371</v>
      </c>
      <c r="C6657" s="1" t="n">
        <v>46093</v>
      </c>
      <c r="D6657" t="inlineStr">
        <is>
          <t>ÖSTERGÖTLANDS LÄN</t>
        </is>
      </c>
      <c r="E6657" t="inlineStr">
        <is>
          <t>ÅTVIDABERG</t>
        </is>
      </c>
      <c r="F6657" t="inlineStr">
        <is>
          <t>Sveaskog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31364-2025</t>
        </is>
      </c>
      <c r="B6658" s="1" t="n">
        <v>45833.4374537037</v>
      </c>
      <c r="C6658" s="1" t="n">
        <v>46093</v>
      </c>
      <c r="D6658" t="inlineStr">
        <is>
          <t>ÖSTERGÖTLANDS LÄN</t>
        </is>
      </c>
      <c r="E6658" t="inlineStr">
        <is>
          <t>NORRKÖPING</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31366-2025</t>
        </is>
      </c>
      <c r="B6659" s="1" t="n">
        <v>45833.43892361111</v>
      </c>
      <c r="C6659" s="1" t="n">
        <v>46093</v>
      </c>
      <c r="D6659" t="inlineStr">
        <is>
          <t>ÖSTERGÖTLANDS LÄN</t>
        </is>
      </c>
      <c r="E6659" t="inlineStr">
        <is>
          <t>ÅTVIDABERG</t>
        </is>
      </c>
      <c r="F6659" t="inlineStr">
        <is>
          <t>Sveaskog</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31623-2025</t>
        </is>
      </c>
      <c r="B6660" s="1" t="n">
        <v>45834.02827546297</v>
      </c>
      <c r="C6660" s="1" t="n">
        <v>46093</v>
      </c>
      <c r="D6660" t="inlineStr">
        <is>
          <t>ÖSTERGÖTLANDS LÄN</t>
        </is>
      </c>
      <c r="E6660" t="inlineStr">
        <is>
          <t>MJÖLBY</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31320-2025</t>
        </is>
      </c>
      <c r="B6661" s="1" t="n">
        <v>45833.40451388889</v>
      </c>
      <c r="C6661" s="1" t="n">
        <v>46093</v>
      </c>
      <c r="D6661" t="inlineStr">
        <is>
          <t>ÖSTERGÖTLANDS LÄN</t>
        </is>
      </c>
      <c r="E6661" t="inlineStr">
        <is>
          <t>NORRKÖPING</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31362-2025</t>
        </is>
      </c>
      <c r="B6662" s="1" t="n">
        <v>45833.4369212963</v>
      </c>
      <c r="C6662" s="1" t="n">
        <v>46093</v>
      </c>
      <c r="D6662" t="inlineStr">
        <is>
          <t>ÖSTERGÖTLANDS LÄN</t>
        </is>
      </c>
      <c r="E6662" t="inlineStr">
        <is>
          <t>ÅTVIDABERG</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31368-2025</t>
        </is>
      </c>
      <c r="B6663" s="1" t="n">
        <v>45833.44028935185</v>
      </c>
      <c r="C6663" s="1" t="n">
        <v>46093</v>
      </c>
      <c r="D6663" t="inlineStr">
        <is>
          <t>ÖSTERGÖTLANDS LÄN</t>
        </is>
      </c>
      <c r="E6663" t="inlineStr">
        <is>
          <t>ÅTVIDABERG</t>
        </is>
      </c>
      <c r="F6663" t="inlineStr">
        <is>
          <t>Sveaskog</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31369-2025</t>
        </is>
      </c>
      <c r="B6664" s="1" t="n">
        <v>45833</v>
      </c>
      <c r="C6664" s="1" t="n">
        <v>46093</v>
      </c>
      <c r="D6664" t="inlineStr">
        <is>
          <t>ÖSTERGÖTLANDS LÄN</t>
        </is>
      </c>
      <c r="E6664" t="inlineStr">
        <is>
          <t>ÅTVIDABERG</t>
        </is>
      </c>
      <c r="F6664" t="inlineStr">
        <is>
          <t>Sveaskog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23121-2025</t>
        </is>
      </c>
      <c r="B6665" s="1" t="n">
        <v>45791.37603009259</v>
      </c>
      <c r="C6665" s="1" t="n">
        <v>46093</v>
      </c>
      <c r="D6665" t="inlineStr">
        <is>
          <t>ÖSTERGÖTLANDS LÄN</t>
        </is>
      </c>
      <c r="E6665" t="inlineStr">
        <is>
          <t>SÖDERKÖPING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31581-2025</t>
        </is>
      </c>
      <c r="B6666" s="1" t="n">
        <v>45833.6840162037</v>
      </c>
      <c r="C6666" s="1" t="n">
        <v>46093</v>
      </c>
      <c r="D6666" t="inlineStr">
        <is>
          <t>ÖSTERGÖTLANDS LÄN</t>
        </is>
      </c>
      <c r="E6666" t="inlineStr">
        <is>
          <t>LINKÖPING</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31585-2025</t>
        </is>
      </c>
      <c r="B6667" s="1" t="n">
        <v>45833.68815972222</v>
      </c>
      <c r="C6667" s="1" t="n">
        <v>46093</v>
      </c>
      <c r="D6667" t="inlineStr">
        <is>
          <t>ÖSTERGÖTLANDS LÄN</t>
        </is>
      </c>
      <c r="E6667" t="inlineStr">
        <is>
          <t>LINKÖPING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31811-2025</t>
        </is>
      </c>
      <c r="B6668" s="1" t="n">
        <v>45834.56487268519</v>
      </c>
      <c r="C6668" s="1" t="n">
        <v>46093</v>
      </c>
      <c r="D6668" t="inlineStr">
        <is>
          <t>ÖSTERGÖTLANDS LÄN</t>
        </is>
      </c>
      <c r="E6668" t="inlineStr">
        <is>
          <t>KINDA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31624-2025</t>
        </is>
      </c>
      <c r="B6669" s="1" t="n">
        <v>45834</v>
      </c>
      <c r="C6669" s="1" t="n">
        <v>46093</v>
      </c>
      <c r="D6669" t="inlineStr">
        <is>
          <t>ÖSTERGÖTLANDS LÄN</t>
        </is>
      </c>
      <c r="E6669" t="inlineStr">
        <is>
          <t>MJÖLBY</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31564-2025</t>
        </is>
      </c>
      <c r="B6670" s="1" t="n">
        <v>45833.65659722222</v>
      </c>
      <c r="C6670" s="1" t="n">
        <v>46093</v>
      </c>
      <c r="D6670" t="inlineStr">
        <is>
          <t>ÖSTERGÖTLANDS LÄN</t>
        </is>
      </c>
      <c r="E6670" t="inlineStr">
        <is>
          <t>NORRKÖPING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31808-2025</t>
        </is>
      </c>
      <c r="B6671" s="1" t="n">
        <v>45834.55734953703</v>
      </c>
      <c r="C6671" s="1" t="n">
        <v>46093</v>
      </c>
      <c r="D6671" t="inlineStr">
        <is>
          <t>ÖSTERGÖTLANDS LÄN</t>
        </is>
      </c>
      <c r="E6671" t="inlineStr">
        <is>
          <t>BOXHOLM</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31686-2025</t>
        </is>
      </c>
      <c r="B6672" s="1" t="n">
        <v>45834.39778935185</v>
      </c>
      <c r="C6672" s="1" t="n">
        <v>46093</v>
      </c>
      <c r="D6672" t="inlineStr">
        <is>
          <t>ÖSTERGÖTLANDS LÄN</t>
        </is>
      </c>
      <c r="E6672" t="inlineStr">
        <is>
          <t>SÖDERKÖPING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29060-2025</t>
        </is>
      </c>
      <c r="B6673" s="1" t="n">
        <v>45821.4841087963</v>
      </c>
      <c r="C6673" s="1" t="n">
        <v>46093</v>
      </c>
      <c r="D6673" t="inlineStr">
        <is>
          <t>ÖSTERGÖTLANDS LÄN</t>
        </is>
      </c>
      <c r="E6673" t="inlineStr">
        <is>
          <t>KINDA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32641-2025</t>
        </is>
      </c>
      <c r="B6674" s="1" t="n">
        <v>45838.65972222222</v>
      </c>
      <c r="C6674" s="1" t="n">
        <v>46093</v>
      </c>
      <c r="D6674" t="inlineStr">
        <is>
          <t>ÖSTERGÖTLANDS LÄN</t>
        </is>
      </c>
      <c r="E6674" t="inlineStr">
        <is>
          <t>SÖDERKÖPING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32664-2025</t>
        </is>
      </c>
      <c r="B6675" s="1" t="n">
        <v>45838.683125</v>
      </c>
      <c r="C6675" s="1" t="n">
        <v>46093</v>
      </c>
      <c r="D6675" t="inlineStr">
        <is>
          <t>ÖSTERGÖTLANDS LÄN</t>
        </is>
      </c>
      <c r="E6675" t="inlineStr">
        <is>
          <t>NORRKÖPING</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31989-2025</t>
        </is>
      </c>
      <c r="B6676" s="1" t="n">
        <v>45835.36383101852</v>
      </c>
      <c r="C6676" s="1" t="n">
        <v>46093</v>
      </c>
      <c r="D6676" t="inlineStr">
        <is>
          <t>ÖSTERGÖTLANDS LÄN</t>
        </is>
      </c>
      <c r="E6676" t="inlineStr">
        <is>
          <t>KINDA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32476-2025</t>
        </is>
      </c>
      <c r="B6677" s="1" t="n">
        <v>45838.429375</v>
      </c>
      <c r="C6677" s="1" t="n">
        <v>46093</v>
      </c>
      <c r="D6677" t="inlineStr">
        <is>
          <t>ÖSTERGÖTLANDS LÄN</t>
        </is>
      </c>
      <c r="E6677" t="inlineStr">
        <is>
          <t>ÖDESHÖG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32723-2025</t>
        </is>
      </c>
      <c r="B6678" s="1" t="n">
        <v>45838</v>
      </c>
      <c r="C6678" s="1" t="n">
        <v>46093</v>
      </c>
      <c r="D6678" t="inlineStr">
        <is>
          <t>ÖSTERGÖTLANDS LÄN</t>
        </is>
      </c>
      <c r="E6678" t="inlineStr">
        <is>
          <t>LINKÖPING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32464-2025</t>
        </is>
      </c>
      <c r="B6679" s="1" t="n">
        <v>45838.41809027778</v>
      </c>
      <c r="C6679" s="1" t="n">
        <v>46093</v>
      </c>
      <c r="D6679" t="inlineStr">
        <is>
          <t>ÖSTERGÖTLANDS LÄN</t>
        </is>
      </c>
      <c r="E6679" t="inlineStr">
        <is>
          <t>ÖDESHÖG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32246-2025</t>
        </is>
      </c>
      <c r="B6680" s="1" t="n">
        <v>45835.61672453704</v>
      </c>
      <c r="C6680" s="1" t="n">
        <v>46093</v>
      </c>
      <c r="D6680" t="inlineStr">
        <is>
          <t>ÖSTERGÖTLANDS LÄN</t>
        </is>
      </c>
      <c r="E6680" t="inlineStr">
        <is>
          <t>FINSPÅNG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27816-2025</t>
        </is>
      </c>
      <c r="B6681" s="1" t="n">
        <v>45817</v>
      </c>
      <c r="C6681" s="1" t="n">
        <v>46093</v>
      </c>
      <c r="D6681" t="inlineStr">
        <is>
          <t>ÖSTERGÖTLANDS LÄN</t>
        </is>
      </c>
      <c r="E6681" t="inlineStr">
        <is>
          <t>BOXHOLM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32586-2025</t>
        </is>
      </c>
      <c r="B6682" s="1" t="n">
        <v>45838.60056712963</v>
      </c>
      <c r="C6682" s="1" t="n">
        <v>46093</v>
      </c>
      <c r="D6682" t="inlineStr">
        <is>
          <t>ÖSTERGÖTLANDS LÄN</t>
        </is>
      </c>
      <c r="E6682" t="inlineStr">
        <is>
          <t>SÖDERKÖPING</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32681-2025</t>
        </is>
      </c>
      <c r="B6683" s="1" t="n">
        <v>45836</v>
      </c>
      <c r="C6683" s="1" t="n">
        <v>46093</v>
      </c>
      <c r="D6683" t="inlineStr">
        <is>
          <t>ÖSTERGÖTLANDS LÄN</t>
        </is>
      </c>
      <c r="E6683" t="inlineStr">
        <is>
          <t>NORRKÖPING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50406-2024</t>
        </is>
      </c>
      <c r="B6684" s="1" t="n">
        <v>45601.35923611111</v>
      </c>
      <c r="C6684" s="1" t="n">
        <v>46093</v>
      </c>
      <c r="D6684" t="inlineStr">
        <is>
          <t>ÖSTERGÖTLANDS LÄN</t>
        </is>
      </c>
      <c r="E6684" t="inlineStr">
        <is>
          <t>KINDA</t>
        </is>
      </c>
      <c r="F6684" t="inlineStr">
        <is>
          <t>Sveaskog</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32466-2025</t>
        </is>
      </c>
      <c r="B6685" s="1" t="n">
        <v>45838.42087962963</v>
      </c>
      <c r="C6685" s="1" t="n">
        <v>46093</v>
      </c>
      <c r="D6685" t="inlineStr">
        <is>
          <t>ÖSTERGÖTLANDS LÄN</t>
        </is>
      </c>
      <c r="E6685" t="inlineStr">
        <is>
          <t>ÖDESHÖG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32643-2025</t>
        </is>
      </c>
      <c r="B6686" s="1" t="n">
        <v>45838.66276620371</v>
      </c>
      <c r="C6686" s="1" t="n">
        <v>46093</v>
      </c>
      <c r="D6686" t="inlineStr">
        <is>
          <t>ÖSTERGÖTLANDS LÄN</t>
        </is>
      </c>
      <c r="E6686" t="inlineStr">
        <is>
          <t>SÖDERKÖPING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32581-2025</t>
        </is>
      </c>
      <c r="B6687" s="1" t="n">
        <v>45838.59538194445</v>
      </c>
      <c r="C6687" s="1" t="n">
        <v>46093</v>
      </c>
      <c r="D6687" t="inlineStr">
        <is>
          <t>ÖSTERGÖTLANDS LÄN</t>
        </is>
      </c>
      <c r="E6687" t="inlineStr">
        <is>
          <t>MJÖLBY</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31980-2025</t>
        </is>
      </c>
      <c r="B6688" s="1" t="n">
        <v>45835.35780092593</v>
      </c>
      <c r="C6688" s="1" t="n">
        <v>46093</v>
      </c>
      <c r="D6688" t="inlineStr">
        <is>
          <t>ÖSTERGÖTLANDS LÄN</t>
        </is>
      </c>
      <c r="E6688" t="inlineStr">
        <is>
          <t>KINDA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62973-2021</t>
        </is>
      </c>
      <c r="B6689" s="1" t="n">
        <v>44504</v>
      </c>
      <c r="C6689" s="1" t="n">
        <v>46093</v>
      </c>
      <c r="D6689" t="inlineStr">
        <is>
          <t>ÖSTERGÖTLANDS LÄN</t>
        </is>
      </c>
      <c r="E6689" t="inlineStr">
        <is>
          <t>NORRKÖPING</t>
        </is>
      </c>
      <c r="F6689" t="inlineStr">
        <is>
          <t>Allmännings- och besparingsskogar</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32633-2025</t>
        </is>
      </c>
      <c r="B6690" s="1" t="n">
        <v>45838.65677083333</v>
      </c>
      <c r="C6690" s="1" t="n">
        <v>46093</v>
      </c>
      <c r="D6690" t="inlineStr">
        <is>
          <t>ÖSTERGÖTLANDS LÄN</t>
        </is>
      </c>
      <c r="E6690" t="inlineStr">
        <is>
          <t>VADSTENA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32646-2025</t>
        </is>
      </c>
      <c r="B6691" s="1" t="n">
        <v>45838.66570601852</v>
      </c>
      <c r="C6691" s="1" t="n">
        <v>46093</v>
      </c>
      <c r="D6691" t="inlineStr">
        <is>
          <t>ÖSTERGÖTLANDS LÄN</t>
        </is>
      </c>
      <c r="E6691" t="inlineStr">
        <is>
          <t>SÖDERKÖPING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32647-2025</t>
        </is>
      </c>
      <c r="B6692" s="1" t="n">
        <v>45838.66701388889</v>
      </c>
      <c r="C6692" s="1" t="n">
        <v>46093</v>
      </c>
      <c r="D6692" t="inlineStr">
        <is>
          <t>ÖSTERGÖTLANDS LÄN</t>
        </is>
      </c>
      <c r="E6692" t="inlineStr">
        <is>
          <t>FINSPÅNG</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32349-2025</t>
        </is>
      </c>
      <c r="B6693" s="1" t="n">
        <v>45837.48210648148</v>
      </c>
      <c r="C6693" s="1" t="n">
        <v>46093</v>
      </c>
      <c r="D6693" t="inlineStr">
        <is>
          <t>ÖSTERGÖTLANDS LÄN</t>
        </is>
      </c>
      <c r="E6693" t="inlineStr">
        <is>
          <t>ÅTVIDABERG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32776-2025</t>
        </is>
      </c>
      <c r="B6694" s="1" t="n">
        <v>45839</v>
      </c>
      <c r="C6694" s="1" t="n">
        <v>46093</v>
      </c>
      <c r="D6694" t="inlineStr">
        <is>
          <t>ÖSTERGÖTLANDS LÄN</t>
        </is>
      </c>
      <c r="E6694" t="inlineStr">
        <is>
          <t>ÖDESHÖG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32811-2025</t>
        </is>
      </c>
      <c r="B6695" s="1" t="n">
        <v>45839.51413194444</v>
      </c>
      <c r="C6695" s="1" t="n">
        <v>46093</v>
      </c>
      <c r="D6695" t="inlineStr">
        <is>
          <t>ÖSTERGÖTLANDS LÄN</t>
        </is>
      </c>
      <c r="E6695" t="inlineStr">
        <is>
          <t>KINDA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32889-2025</t>
        </is>
      </c>
      <c r="B6696" s="1" t="n">
        <v>45839.60538194444</v>
      </c>
      <c r="C6696" s="1" t="n">
        <v>46093</v>
      </c>
      <c r="D6696" t="inlineStr">
        <is>
          <t>ÖSTERGÖTLANDS LÄN</t>
        </is>
      </c>
      <c r="E6696" t="inlineStr">
        <is>
          <t>MOTALA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32756-2025</t>
        </is>
      </c>
      <c r="B6697" s="1" t="n">
        <v>45839.43380787037</v>
      </c>
      <c r="C6697" s="1" t="n">
        <v>46093</v>
      </c>
      <c r="D6697" t="inlineStr">
        <is>
          <t>ÖSTERGÖTLANDS LÄN</t>
        </is>
      </c>
      <c r="E6697" t="inlineStr">
        <is>
          <t>MOTALA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32774-2025</t>
        </is>
      </c>
      <c r="B6698" s="1" t="n">
        <v>45839</v>
      </c>
      <c r="C6698" s="1" t="n">
        <v>46093</v>
      </c>
      <c r="D6698" t="inlineStr">
        <is>
          <t>ÖSTERGÖTLANDS LÄN</t>
        </is>
      </c>
      <c r="E6698" t="inlineStr">
        <is>
          <t>ÖDESHÖG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33004-2025</t>
        </is>
      </c>
      <c r="B6699" s="1" t="n">
        <v>45840.35300925926</v>
      </c>
      <c r="C6699" s="1" t="n">
        <v>46093</v>
      </c>
      <c r="D6699" t="inlineStr">
        <is>
          <t>ÖSTERGÖTLANDS LÄN</t>
        </is>
      </c>
      <c r="E6699" t="inlineStr">
        <is>
          <t>FINSPÅNG</t>
        </is>
      </c>
      <c r="F6699" t="inlineStr">
        <is>
          <t>Holmen skog AB</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33018-2025</t>
        </is>
      </c>
      <c r="B6700" s="1" t="n">
        <v>45840.37001157407</v>
      </c>
      <c r="C6700" s="1" t="n">
        <v>46093</v>
      </c>
      <c r="D6700" t="inlineStr">
        <is>
          <t>ÖSTERGÖTLANDS LÄN</t>
        </is>
      </c>
      <c r="E6700" t="inlineStr">
        <is>
          <t>FINSPÅNG</t>
        </is>
      </c>
      <c r="F6700" t="inlineStr">
        <is>
          <t>Holmen skog AB</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33278-2025</t>
        </is>
      </c>
      <c r="B6701" s="1" t="n">
        <v>45840.70689814815</v>
      </c>
      <c r="C6701" s="1" t="n">
        <v>46093</v>
      </c>
      <c r="D6701" t="inlineStr">
        <is>
          <t>ÖSTERGÖTLANDS LÄN</t>
        </is>
      </c>
      <c r="E6701" t="inlineStr">
        <is>
          <t>ÅTVIDABERG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33283-2025</t>
        </is>
      </c>
      <c r="B6702" s="1" t="n">
        <v>45840.71472222222</v>
      </c>
      <c r="C6702" s="1" t="n">
        <v>46093</v>
      </c>
      <c r="D6702" t="inlineStr">
        <is>
          <t>ÖSTERGÖTLANDS LÄN</t>
        </is>
      </c>
      <c r="E6702" t="inlineStr">
        <is>
          <t>VALDEMARSVIK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33246-2025</t>
        </is>
      </c>
      <c r="B6703" s="1" t="n">
        <v>45840.65592592592</v>
      </c>
      <c r="C6703" s="1" t="n">
        <v>46093</v>
      </c>
      <c r="D6703" t="inlineStr">
        <is>
          <t>ÖSTERGÖTLANDS LÄN</t>
        </is>
      </c>
      <c r="E6703" t="inlineStr">
        <is>
          <t>NORRKÖPING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32613-2025</t>
        </is>
      </c>
      <c r="B6704" s="1" t="n">
        <v>45838.64005787037</v>
      </c>
      <c r="C6704" s="1" t="n">
        <v>46093</v>
      </c>
      <c r="D6704" t="inlineStr">
        <is>
          <t>ÖSTERGÖTLANDS LÄN</t>
        </is>
      </c>
      <c r="E6704" t="inlineStr">
        <is>
          <t>YDRE</t>
        </is>
      </c>
      <c r="F6704" t="inlineStr">
        <is>
          <t>Övriga Aktiebolag</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33159-2025</t>
        </is>
      </c>
      <c r="B6705" s="1" t="n">
        <v>45840.56216435185</v>
      </c>
      <c r="C6705" s="1" t="n">
        <v>46093</v>
      </c>
      <c r="D6705" t="inlineStr">
        <is>
          <t>ÖSTERGÖTLANDS LÄN</t>
        </is>
      </c>
      <c r="E6705" t="inlineStr">
        <is>
          <t>FINSPÅNG</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32725-2025</t>
        </is>
      </c>
      <c r="B6706" s="1" t="n">
        <v>45839.39615740741</v>
      </c>
      <c r="C6706" s="1" t="n">
        <v>46093</v>
      </c>
      <c r="D6706" t="inlineStr">
        <is>
          <t>ÖSTERGÖTLANDS LÄN</t>
        </is>
      </c>
      <c r="E6706" t="inlineStr">
        <is>
          <t>YDRE</t>
        </is>
      </c>
      <c r="F6706" t="inlineStr">
        <is>
          <t>Övriga Aktiebolag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33255-2025</t>
        </is>
      </c>
      <c r="B6707" s="1" t="n">
        <v>45840.66780092593</v>
      </c>
      <c r="C6707" s="1" t="n">
        <v>46093</v>
      </c>
      <c r="D6707" t="inlineStr">
        <is>
          <t>ÖSTERGÖTLANDS LÄN</t>
        </is>
      </c>
      <c r="E6707" t="inlineStr">
        <is>
          <t>NORRKÖPING</t>
        </is>
      </c>
      <c r="G6707" t="n">
        <v>20.3</v>
      </c>
      <c r="H6707" t="n">
        <v>0</v>
      </c>
      <c r="I6707" t="n">
        <v>0</v>
      </c>
      <c r="J6707" t="n">
        <v>0</v>
      </c>
      <c r="K6707" t="n">
        <v>0</v>
      </c>
      <c r="L6707" t="n">
        <v>0</v>
      </c>
      <c r="M6707" t="n">
        <v>0</v>
      </c>
      <c r="N6707" t="n">
        <v>0</v>
      </c>
      <c r="O6707" t="n">
        <v>0</v>
      </c>
      <c r="P6707" t="n">
        <v>0</v>
      </c>
      <c r="Q6707" t="n">
        <v>0</v>
      </c>
      <c r="R6707" s="2" t="inlineStr"/>
    </row>
    <row r="6708" ht="15" customHeight="1">
      <c r="A6708" t="inlineStr">
        <is>
          <t>A 32838-2025</t>
        </is>
      </c>
      <c r="B6708" s="1" t="n">
        <v>45839.55930555556</v>
      </c>
      <c r="C6708" s="1" t="n">
        <v>46093</v>
      </c>
      <c r="D6708" t="inlineStr">
        <is>
          <t>ÖSTERGÖTLANDS LÄN</t>
        </is>
      </c>
      <c r="E6708" t="inlineStr">
        <is>
          <t>YDRE</t>
        </is>
      </c>
      <c r="F6708" t="inlineStr">
        <is>
          <t>Sveaskog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32740-2025</t>
        </is>
      </c>
      <c r="B6709" s="1" t="n">
        <v>45839</v>
      </c>
      <c r="C6709" s="1" t="n">
        <v>46093</v>
      </c>
      <c r="D6709" t="inlineStr">
        <is>
          <t>ÖSTERGÖTLANDS LÄN</t>
        </is>
      </c>
      <c r="E6709" t="inlineStr">
        <is>
          <t>FINSPÅNG</t>
        </is>
      </c>
      <c r="F6709" t="inlineStr">
        <is>
          <t>Holmen skog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32674-2025</t>
        </is>
      </c>
      <c r="B6710" s="1" t="n">
        <v>45838.72785879629</v>
      </c>
      <c r="C6710" s="1" t="n">
        <v>46093</v>
      </c>
      <c r="D6710" t="inlineStr">
        <is>
          <t>ÖSTERGÖTLANDS LÄN</t>
        </is>
      </c>
      <c r="E6710" t="inlineStr">
        <is>
          <t>KINDA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32809-2025</t>
        </is>
      </c>
      <c r="B6711" s="1" t="n">
        <v>45839.50966435186</v>
      </c>
      <c r="C6711" s="1" t="n">
        <v>46093</v>
      </c>
      <c r="D6711" t="inlineStr">
        <is>
          <t>ÖSTERGÖTLANDS LÄN</t>
        </is>
      </c>
      <c r="E6711" t="inlineStr">
        <is>
          <t>KINDA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32635-2025</t>
        </is>
      </c>
      <c r="B6712" s="1" t="n">
        <v>45838.65701388889</v>
      </c>
      <c r="C6712" s="1" t="n">
        <v>46093</v>
      </c>
      <c r="D6712" t="inlineStr">
        <is>
          <t>ÖSTERGÖTLANDS LÄN</t>
        </is>
      </c>
      <c r="E6712" t="inlineStr">
        <is>
          <t>YDRE</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33256-2025</t>
        </is>
      </c>
      <c r="B6713" s="1" t="n">
        <v>45840.66978009259</v>
      </c>
      <c r="C6713" s="1" t="n">
        <v>46093</v>
      </c>
      <c r="D6713" t="inlineStr">
        <is>
          <t>ÖSTERGÖTLANDS LÄN</t>
        </is>
      </c>
      <c r="E6713" t="inlineStr">
        <is>
          <t>NORRKÖPING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33665-2025</t>
        </is>
      </c>
      <c r="B6714" s="1" t="n">
        <v>45841.66960648148</v>
      </c>
      <c r="C6714" s="1" t="n">
        <v>46093</v>
      </c>
      <c r="D6714" t="inlineStr">
        <is>
          <t>ÖSTERGÖTLANDS LÄN</t>
        </is>
      </c>
      <c r="E6714" t="inlineStr">
        <is>
          <t>MOTALA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33947-2025</t>
        </is>
      </c>
      <c r="B6715" s="1" t="n">
        <v>45842.65444444444</v>
      </c>
      <c r="C6715" s="1" t="n">
        <v>46093</v>
      </c>
      <c r="D6715" t="inlineStr">
        <is>
          <t>ÖSTERGÖTLANDS LÄN</t>
        </is>
      </c>
      <c r="E6715" t="inlineStr">
        <is>
          <t>LINKÖPING</t>
        </is>
      </c>
      <c r="F6715" t="inlineStr">
        <is>
          <t>Sveaskog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33744-2025</t>
        </is>
      </c>
      <c r="B6716" s="1" t="n">
        <v>45842.35203703704</v>
      </c>
      <c r="C6716" s="1" t="n">
        <v>46093</v>
      </c>
      <c r="D6716" t="inlineStr">
        <is>
          <t>ÖSTERGÖTLANDS LÄN</t>
        </is>
      </c>
      <c r="E6716" t="inlineStr">
        <is>
          <t>KINDA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33289-2025</t>
        </is>
      </c>
      <c r="B6717" s="1" t="n">
        <v>45840.85745370371</v>
      </c>
      <c r="C6717" s="1" t="n">
        <v>46093</v>
      </c>
      <c r="D6717" t="inlineStr">
        <is>
          <t>ÖSTERGÖTLANDS LÄN</t>
        </is>
      </c>
      <c r="E6717" t="inlineStr">
        <is>
          <t>KINDA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33669-2025</t>
        </is>
      </c>
      <c r="B6718" s="1" t="n">
        <v>45841.67475694444</v>
      </c>
      <c r="C6718" s="1" t="n">
        <v>46093</v>
      </c>
      <c r="D6718" t="inlineStr">
        <is>
          <t>ÖSTERGÖTLANDS LÄN</t>
        </is>
      </c>
      <c r="E6718" t="inlineStr">
        <is>
          <t>MOTALA</t>
        </is>
      </c>
      <c r="G6718" t="n">
        <v>10.5</v>
      </c>
      <c r="H6718" t="n">
        <v>0</v>
      </c>
      <c r="I6718" t="n">
        <v>0</v>
      </c>
      <c r="J6718" t="n">
        <v>0</v>
      </c>
      <c r="K6718" t="n">
        <v>0</v>
      </c>
      <c r="L6718" t="n">
        <v>0</v>
      </c>
      <c r="M6718" t="n">
        <v>0</v>
      </c>
      <c r="N6718" t="n">
        <v>0</v>
      </c>
      <c r="O6718" t="n">
        <v>0</v>
      </c>
      <c r="P6718" t="n">
        <v>0</v>
      </c>
      <c r="Q6718" t="n">
        <v>0</v>
      </c>
      <c r="R6718" s="2" t="inlineStr"/>
    </row>
    <row r="6719">
      <c r="A6719" t="inlineStr">
        <is>
          <t>A 33493-2025</t>
        </is>
      </c>
      <c r="B6719" s="1" t="n">
        <v>45841.50858796296</v>
      </c>
      <c r="C6719" s="1" t="n">
        <v>46093</v>
      </c>
      <c r="D6719" t="inlineStr">
        <is>
          <t>ÖSTERGÖTLANDS LÄN</t>
        </is>
      </c>
      <c r="E6719" t="inlineStr">
        <is>
          <t>KINDA</t>
        </is>
      </c>
      <c r="G6719" t="n">
        <v>1.6</v>
      </c>
      <c r="H6719" t="n">
        <v>0</v>
      </c>
      <c r="I6719" t="n">
        <v>0</v>
      </c>
      <c r="J6719" t="n">
        <v>0</v>
      </c>
      <c r="K6719" t="n">
        <v>0</v>
      </c>
      <c r="L6719" t="n">
        <v>0</v>
      </c>
      <c r="M6719" t="n">
        <v>0</v>
      </c>
      <c r="N6719" t="n">
        <v>0</v>
      </c>
      <c r="O6719" t="n">
        <v>0</v>
      </c>
      <c r="P6719" t="n">
        <v>0</v>
      </c>
      <c r="Q6719" t="n">
        <v>0</v>
      </c>
      <c r="R6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2026-03-12T11:16:01Z</dcterms:created>
  <dcterms:modified xmlns:dcterms="http://purl.org/dc/terms/" xmlns:xsi="http://www.w3.org/2001/XMLSchema-instance" xsi:type="dcterms:W3CDTF">2026-03-12T11:16:07Z</dcterms:modified>
</cp:coreProperties>
</file>