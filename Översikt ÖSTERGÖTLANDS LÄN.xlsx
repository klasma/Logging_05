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45505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45505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45505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45505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45505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45505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45505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45505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45505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45505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45505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45505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45505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45505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45505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45505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45505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45505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45505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45505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45505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45505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45505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45505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45505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45505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45505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45505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45505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45505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45505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45505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45505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45505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45505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45505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45505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45505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45505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45505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45505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45505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45505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45505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45505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45505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45505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45505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45505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45505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45505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45505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45505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45505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45505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45505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45505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45505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45505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45505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45505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45505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45505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45505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45505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45505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45505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45505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45505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45505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45505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45505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45505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45505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45505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45505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45505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45505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45505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45505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45505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45505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45505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45505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45505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45505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45505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45505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45505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45505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45505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45505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45505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45505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45505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45505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45505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45505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45505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45505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45505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45505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45505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45505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45505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45505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45505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45505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45505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45505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45505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45505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45505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45505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45505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45505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45505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45505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45505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45505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45505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45505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45505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45505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45505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45505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45505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45505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45505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45505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45505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45505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45505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45505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45505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45505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45505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45505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45505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45505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45505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45505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45505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45505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45505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45505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45505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45505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45505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45505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45505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45505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45505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45505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45505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45505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45505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45505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45505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45505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45505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45505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45505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45505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45505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45505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45505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45505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45505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45505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45505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45505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45505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45505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45505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45505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45505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45505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45505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45505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45505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45505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45505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45505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45505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45505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45505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45505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45505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45505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45505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45505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45505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45505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45505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45505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45505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45505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45505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45505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45505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45505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45505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45505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45505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45505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45505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45505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45505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45505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45505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45505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45505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45505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45505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45505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45505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45505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45505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45505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45505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45505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45505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45505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28395-2024</t>
        </is>
      </c>
      <c r="B226" s="1" t="n">
        <v>45477</v>
      </c>
      <c r="C226" s="1" t="n">
        <v>45505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Naturvårdsverket</t>
        </is>
      </c>
      <c r="G226" t="n">
        <v>0.6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Fläcknycklar</t>
        </is>
      </c>
      <c r="S226">
        <f>HYPERLINK("https://klasma.github.io/Logging_0562/artfynd/A 28395-2024 artfynd.xlsx", "A 28395-2024")</f>
        <v/>
      </c>
      <c r="T226">
        <f>HYPERLINK("https://klasma.github.io/Logging_0562/kartor/A 28395-2024 karta.png", "A 28395-2024")</f>
        <v/>
      </c>
      <c r="V226">
        <f>HYPERLINK("https://klasma.github.io/Logging_0562/klagomål/A 28395-2024 FSC-klagomål.docx", "A 28395-2024")</f>
        <v/>
      </c>
      <c r="W226">
        <f>HYPERLINK("https://klasma.github.io/Logging_0562/klagomålsmail/A 28395-2024 FSC-klagomål mail.docx", "A 28395-2024")</f>
        <v/>
      </c>
      <c r="X226">
        <f>HYPERLINK("https://klasma.github.io/Logging_0562/tillsyn/A 28395-2024 tillsynsbegäran.docx", "A 28395-2024")</f>
        <v/>
      </c>
      <c r="Y226">
        <f>HYPERLINK("https://klasma.github.io/Logging_0562/tillsynsmail/A 28395-2024 tillsynsbegäran mail.docx", "A 28395-2024")</f>
        <v/>
      </c>
      <c r="Z226">
        <f>HYPERLINK("https://klasma.github.io/Logging_0562/fåglar/A 28395-2024 prioriterade fågelarter.docx", "A 28395-2024")</f>
        <v/>
      </c>
    </row>
    <row r="227" ht="15" customHeight="1">
      <c r="A227" t="inlineStr">
        <is>
          <t>A 28412-2024</t>
        </is>
      </c>
      <c r="B227" s="1" t="n">
        <v>45477</v>
      </c>
      <c r="C227" s="1" t="n">
        <v>45505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Naturvårdsverket</t>
        </is>
      </c>
      <c r="G227" t="n">
        <v>2.6</v>
      </c>
      <c r="H227" t="n">
        <v>1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Ullticka</t>
        </is>
      </c>
      <c r="S227">
        <f>HYPERLINK("https://klasma.github.io/Logging_0581/artfynd/A 28412-2024 artfynd.xlsx", "A 28412-2024")</f>
        <v/>
      </c>
      <c r="T227">
        <f>HYPERLINK("https://klasma.github.io/Logging_0581/kartor/A 28412-2024 karta.png", "A 28412-2024")</f>
        <v/>
      </c>
      <c r="U227">
        <f>HYPERLINK("https://klasma.github.io/Logging_0581/knärot/A 28412-2024 karta knärot.png", "A 28412-2024")</f>
        <v/>
      </c>
      <c r="V227">
        <f>HYPERLINK("https://klasma.github.io/Logging_0581/klagomål/A 28412-2024 FSC-klagomål.docx", "A 28412-2024")</f>
        <v/>
      </c>
      <c r="W227">
        <f>HYPERLINK("https://klasma.github.io/Logging_0581/klagomålsmail/A 28412-2024 FSC-klagomål mail.docx", "A 28412-2024")</f>
        <v/>
      </c>
      <c r="X227">
        <f>HYPERLINK("https://klasma.github.io/Logging_0581/tillsyn/A 28412-2024 tillsynsbegäran.docx", "A 28412-2024")</f>
        <v/>
      </c>
      <c r="Y227">
        <f>HYPERLINK("https://klasma.github.io/Logging_0581/tillsynsmail/A 28412-2024 tillsynsbegäran mail.docx", "A 28412-2024")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45505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45505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45505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45505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45505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45505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45505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45505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45505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45505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45505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45505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45505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45505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45505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45505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45505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45505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45505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45505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45505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45505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45505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45505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45505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45505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45505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45505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45505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45505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45505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45505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45505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45505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45505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45505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45505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45505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45505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45505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45505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45505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45505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45505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45505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45505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45505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45505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45505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45505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45505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45505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45505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45505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45505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45505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45505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45505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45505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45505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45505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45505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45505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45505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45505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45505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45505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45505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45505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45505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45505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45505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45505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45505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45505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45505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45505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45505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45505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45505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45505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45505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45505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45505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45505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45505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45505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45505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45505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45505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45505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45505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45505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45505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45505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45505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45505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45505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45505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45505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45505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45505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45505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45505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45505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45505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45505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45505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45505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45505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45505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45505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45505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45505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45505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45505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45505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45505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45505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45505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45505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45505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45505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45505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45505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45505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45505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45505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45505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45505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45505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45505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45505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45505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45505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45505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45505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45505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45505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45505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45505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45505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45505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45505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45505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45505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45505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45505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45505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45505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45505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45505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45505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45505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45505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45505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45505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45505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45505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45505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45505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45505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45505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45505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45505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45505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45505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45505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45505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45505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45505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45505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45505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45505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45505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45505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45505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45505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45505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45505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45505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45505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45505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45505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45505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45505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45505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45505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45505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45505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45505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45505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45505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45505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45505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45505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45505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45505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45505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45505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45505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45505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45505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45505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45505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45505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45505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45505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45505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45505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45505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45505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45505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45505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45505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45505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45505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45505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45505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45505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45505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45505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45505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45505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45505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45505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45505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45505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45505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45505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45505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45505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45505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45505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45505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45505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45505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45505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45505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45505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45505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45505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45505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45505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45505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45505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45505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45505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45505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45505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45505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45505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45505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45505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45505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45505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45505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45505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45505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45505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45505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45505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45505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45505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45505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45505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45505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45505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45505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45505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45505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45505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45505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45505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45505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45505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45505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45505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45505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45505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45505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45505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45505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45505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45505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45505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45505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45505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45505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45505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45505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45505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45505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45505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45505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45505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45505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45505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45505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45505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45505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45505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45505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45505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45505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45505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45505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45505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45505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45505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45505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45505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29509-2024</t>
        </is>
      </c>
      <c r="B540" s="1" t="n">
        <v>45484</v>
      </c>
      <c r="C540" s="1" t="n">
        <v>45505</v>
      </c>
      <c r="D540" t="inlineStr">
        <is>
          <t>ÖSTERGÖTLANDS LÄN</t>
        </is>
      </c>
      <c r="E540" t="inlineStr">
        <is>
          <t>KINDA</t>
        </is>
      </c>
      <c r="G540" t="n">
        <v>10.4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Månlåsbräken</t>
        </is>
      </c>
      <c r="S540">
        <f>HYPERLINK("https://klasma.github.io/Logging_0513/artfynd/A 29509-2024 artfynd.xlsx", "A 29509-2024")</f>
        <v/>
      </c>
      <c r="T540">
        <f>HYPERLINK("https://klasma.github.io/Logging_0513/kartor/A 29509-2024 karta.png", "A 29509-2024")</f>
        <v/>
      </c>
      <c r="V540">
        <f>HYPERLINK("https://klasma.github.io/Logging_0513/klagomål/A 29509-2024 FSC-klagomål.docx", "A 29509-2024")</f>
        <v/>
      </c>
      <c r="W540">
        <f>HYPERLINK("https://klasma.github.io/Logging_0513/klagomålsmail/A 29509-2024 FSC-klagomål mail.docx", "A 29509-2024")</f>
        <v/>
      </c>
      <c r="X540">
        <f>HYPERLINK("https://klasma.github.io/Logging_0513/tillsyn/A 29509-2024 tillsynsbegäran.docx", "A 29509-2024")</f>
        <v/>
      </c>
      <c r="Y540">
        <f>HYPERLINK("https://klasma.github.io/Logging_0513/tillsynsmail/A 29509-2024 tillsynsbegäran mail.docx", "A 29509-2024")</f>
        <v/>
      </c>
    </row>
    <row r="541" ht="15" customHeight="1">
      <c r="A541" t="inlineStr">
        <is>
          <t>A 29514-2024</t>
        </is>
      </c>
      <c r="B541" s="1" t="n">
        <v>45484</v>
      </c>
      <c r="C541" s="1" t="n">
        <v>45505</v>
      </c>
      <c r="D541" t="inlineStr">
        <is>
          <t>ÖSTERGÖTLANDS LÄN</t>
        </is>
      </c>
      <c r="E541" t="inlineStr">
        <is>
          <t>KINDA</t>
        </is>
      </c>
      <c r="G541" t="n">
        <v>18.9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Aspelandsfibbla</t>
        </is>
      </c>
      <c r="S541">
        <f>HYPERLINK("https://klasma.github.io/Logging_0513/artfynd/A 29514-2024 artfynd.xlsx", "A 29514-2024")</f>
        <v/>
      </c>
      <c r="T541">
        <f>HYPERLINK("https://klasma.github.io/Logging_0513/kartor/A 29514-2024 karta.png", "A 29514-2024")</f>
        <v/>
      </c>
      <c r="V541">
        <f>HYPERLINK("https://klasma.github.io/Logging_0513/klagomål/A 29514-2024 FSC-klagomål.docx", "A 29514-2024")</f>
        <v/>
      </c>
      <c r="W541">
        <f>HYPERLINK("https://klasma.github.io/Logging_0513/klagomålsmail/A 29514-2024 FSC-klagomål mail.docx", "A 29514-2024")</f>
        <v/>
      </c>
      <c r="X541">
        <f>HYPERLINK("https://klasma.github.io/Logging_0513/tillsyn/A 29514-2024 tillsynsbegäran.docx", "A 29514-2024")</f>
        <v/>
      </c>
      <c r="Y541">
        <f>HYPERLINK("https://klasma.github.io/Logging_0513/tillsynsmail/A 29514-2024 tillsynsbegäran mail.docx", "A 29514-2024")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45505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45505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45505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45505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45505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45505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45505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45505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45505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45505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45505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45505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45505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45505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45505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45505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45505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45505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45505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45505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45505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45505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45505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45505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45505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45505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45505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45505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45505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45505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45505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45505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45505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45505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45505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45505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45505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45505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45505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45505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45505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45505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45505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45505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45505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45505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45505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45505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45505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45505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45505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45505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45505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45505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45505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45505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45505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45505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45505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45505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45505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45505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45505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45505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45505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45505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45505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45505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45505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45505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45505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45505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45505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45505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45505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45505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45505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45505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45505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45505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45505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45505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45505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45505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45505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45505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45505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45505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45505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45505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45505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45505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45505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45505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45505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45505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45505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45505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45505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45505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45505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45505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45505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45505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45505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45505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45505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45505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45505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45505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45505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45505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45505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45505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45505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45505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45505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45505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45505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45505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45505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45505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45505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45505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45505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45505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45505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45505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45505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45505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45505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45505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45505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45505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45505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45505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45505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45505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45505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45505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45505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45505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45505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45505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45505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45505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45505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45505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45505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45505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45505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45505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45505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45505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45505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45505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45505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45505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45505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45505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45505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45505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45505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45505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45505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45505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45505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45505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45505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45505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45505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45505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45505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45505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45505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45505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45505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45505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45505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45505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45505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45505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45505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45505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45505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45505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45505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45505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45505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45505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45505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45505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45505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45505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45505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45505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45505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45505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45505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45505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45505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45505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45505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45505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45505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45505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45505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45505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45505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45505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45505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45505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45505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45505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45505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45505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45505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45505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45505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45505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45505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45505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45505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45505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45505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45505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45505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45505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45505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45505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45505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45505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45505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45505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45505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45505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45505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45505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45505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45505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45505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45505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45505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45505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45505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45505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45505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45505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45505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45505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45505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45505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45505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45505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45505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45505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45505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45505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45505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45505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45505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45505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45505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45505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45505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45505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45505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45505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45505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45505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45505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45505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45505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45505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45505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45505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45505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45505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45505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45505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45505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45505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45505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45505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45505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45505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45505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45505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45505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45505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45505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45505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45505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45505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45505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45505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45505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45505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45505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45505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45505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45505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45505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45505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45505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45505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45505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45505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45505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45505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45505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45505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45505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45505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45505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45505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45505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45505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45505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45505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45505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45505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45505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45505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45505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45505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45505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45505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45505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45505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45505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45505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45505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45505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45505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45505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45505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45505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45505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45505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45505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45505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45505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45505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45505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45505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45505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45505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45505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45505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45505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45505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45505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45505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45505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45505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45505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45505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45505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45505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45505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45505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45505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45505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45505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45505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45505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45505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45505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45505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45505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45505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45505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45505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45505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45505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45505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45505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45505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45505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45505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45505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45505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45505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45505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45505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45505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45505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45505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45505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45505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45505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45505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45505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45505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45505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45505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45505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45505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45505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45505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45505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45505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45505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45505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45505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45505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45505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45505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45505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45505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45505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45505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45505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45505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45505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45505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45505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45505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45505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45505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45505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45505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45505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45505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45505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45505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45505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45505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45505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45505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45505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45505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45505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45505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45505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45505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45505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45505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45505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45505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45505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45505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45505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45505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45505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45505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45505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45505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45505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45505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45505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45505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45505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45505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45505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45505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45505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45505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45505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45505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45505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45505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45505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45505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45505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45505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45505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45505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45505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45505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45505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45505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45505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45505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45505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45505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45505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45505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45505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45505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45505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45505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45505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45505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45505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45505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45505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45505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45505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45505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45505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45505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45505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45505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45505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45505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45505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45505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45505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45505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45505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45505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45505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45505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45505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45505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45505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45505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45505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45505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45505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45505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45505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45505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45505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45505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45505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45505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45505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45505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45505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45505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45505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45505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45505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45505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45505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45505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45505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45505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45505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45505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45505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45505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45505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45505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45505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45505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45505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45505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45505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45505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45505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45505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45505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45505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45505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45505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45505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45505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45505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45505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45505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45505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45505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45505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45505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45505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45505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45505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45505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45505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45505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45505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45505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45505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45505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45505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45505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45505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45505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45505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45505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45505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45505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45505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45505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45505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45505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45505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45505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45505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45505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45505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45505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45505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45505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45505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45505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45505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45505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45505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45505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45505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45505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45505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45505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45505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45505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45505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45505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45505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45505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45505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45505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45505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45505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45505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45505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45505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45505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45505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45505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45505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45505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45505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45505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45505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45505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45505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45505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45505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45505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45505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45505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45505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45505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45505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45505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45505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45505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45505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45505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45505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45505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45505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45505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45505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45505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45505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45505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45505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45505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45505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45505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45505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45505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45505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45505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45505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45505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45505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45505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45505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45505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45505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45505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45505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45505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45505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45505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45505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45505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45505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45505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45505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45505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45505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45505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45505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45505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45505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45505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45505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45505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45505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45505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45505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45505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45505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45505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45505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45505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45505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45505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45505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45505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45505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45505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45505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45505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45505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45505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45505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45505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45505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45505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45505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45505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45505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45505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45505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45505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45505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45505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45505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45505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45505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45505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45505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45505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45505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45505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45505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45505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45505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45505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45505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45505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45505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45505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45505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45505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45505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45505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45505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45505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45505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45505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45505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45505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45505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45505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45505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45505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45505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45505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45505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45505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45505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45505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45505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45505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45505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45505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45505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45505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45505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45505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45505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45505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45505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45505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45505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45505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45505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45505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45505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45505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45505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45505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45505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45505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45505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45505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45505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45505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45505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45505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45505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45505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45505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45505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45505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45505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45505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45505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45505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45505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45505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45505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45505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45505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45505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45505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45505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45505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45505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45505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45505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45505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45505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45505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45505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45505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45505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45505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45505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45505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45505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45505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45505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45505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45505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45505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45505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45505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45505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45505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45505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45505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45505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45505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45505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45505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45505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45505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45505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45505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45505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45505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45505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45505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45505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45505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45505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45505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45505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45505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45505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45505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45505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45505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45505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45505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45505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45505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45505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45505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45505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45505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45505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45505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45505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45505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45505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45505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45505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45505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45505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45505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45505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45505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45505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45505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45505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45505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45505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45505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45505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45505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45505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45505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45505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45505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45505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45505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45505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45505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45505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45505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45505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45505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45505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45505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45505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45505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45505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45505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45505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45505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45505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45505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45505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45505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45505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45505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45505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45505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45505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45505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45505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45505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45505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45505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45505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45505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45505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45505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45505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45505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45505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45505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45505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45505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45505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45505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45505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45505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45505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45505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45505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45505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45505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45505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45505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45505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45505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45505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45505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45505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45505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45505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45505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45505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45505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45505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45505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45505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45505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45505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45505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45505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45505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45505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45505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45505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45505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45505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45505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45505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45505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45505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45505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45505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45505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45505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45505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45505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45505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45505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45505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45505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45505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45505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45505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45505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45505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45505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45505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45505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45505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45505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45505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45505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45505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45505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45505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45505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45505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45505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45505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45505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45505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45505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45505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45505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45505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45505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45505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45505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45505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45505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45505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45505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45505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45505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45505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45505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45505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45505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45505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45505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45505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45505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45505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45505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45505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45505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45505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45505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45505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45505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45505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45505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45505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45505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45505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45505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45505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45505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45505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45505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45505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45505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45505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45505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45505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45505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45505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45505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45505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45505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45505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45505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45505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45505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45505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45505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45505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45505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45505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45505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45505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45505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45505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45505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45505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45505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45505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45505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45505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45505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45505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45505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45505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45505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45505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45505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45505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45505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45505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45505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45505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45505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45505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45505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45505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45505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45505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45505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45505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45505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45505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45505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45505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45505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45505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45505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45505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45505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45505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45505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45505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45505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45505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45505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45505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45505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45505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45505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45505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45505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45505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45505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45505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45505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45505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45505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45505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45505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45505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45505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45505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45505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45505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45505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45505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45505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45505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45505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45505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45505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45505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45505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45505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45505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45505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45505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45505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45505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45505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45505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45505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45505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45505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45505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45505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45505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45505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45505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45505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45505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45505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45505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45505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45505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45505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45505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45505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45505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45505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45505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45505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45505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45505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45505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45505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45505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45505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45505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45505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45505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45505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45505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45505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45505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45505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45505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45505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45505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45505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45505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45505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45505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45505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45505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45505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45505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45505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45505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45505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45505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45505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45505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45505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45505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45505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45505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45505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45505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45505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45505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45505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45505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45505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45505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45505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45505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45505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45505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45505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45505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45505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45505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45505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45505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45505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45505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45505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45505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45505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45505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45505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45505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45505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45505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45505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45505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45505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45505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45505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45505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45505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45505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45505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45505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45505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45505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45505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45505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45505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45505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45505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45505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45505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45505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45505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45505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45505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45505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45505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45505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45505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45505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45505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45505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45505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45505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45505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45505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45505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45505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45505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45505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45505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45505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45505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45505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45505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45505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45505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45505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45505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45505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45505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45505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45505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45505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45505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45505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45505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45505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45505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45505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45505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45505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45505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45505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45505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45505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45505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45505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45505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45505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45505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45505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45505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45505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45505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45505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45505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45505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45505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45505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45505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45505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45505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45505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45505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45505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45505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45505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45505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45505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45505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45505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45505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45505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45505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45505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45505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45505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45505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45505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45505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45505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45505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45505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45505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45505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45505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45505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45505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45505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45505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45505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45505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45505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45505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45505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45505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45505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45505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45505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45505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45505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45505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45505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45505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45505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45505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45505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45505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45505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45505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45505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45505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45505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45505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45505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45505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45505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45505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45505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45505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45505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45505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45505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45505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45505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45505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45505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45505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45505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45505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45505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45505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45505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45505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45505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45505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45505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45505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45505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45505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45505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45505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45505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45505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45505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45505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45505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45505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45505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45505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45505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45505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45505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45505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45505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45505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45505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45505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45505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45505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45505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45505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45505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45505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45505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45505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45505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45505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45505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45505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45505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45505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45505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45505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45505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45505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45505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45505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45505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45505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45505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45505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45505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45505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45505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45505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45505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45505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45505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45505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45505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45505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45505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45505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45505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45505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45505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45505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45505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45505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45505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45505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45505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45505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45505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45505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45505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45505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45505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45505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45505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45505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45505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45505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45505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45505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45505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45505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45505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45505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45505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45505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45505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45505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45505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45505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45505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45505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45505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45505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45505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45505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45505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45505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45505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45505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45505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45505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45505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45505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45505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45505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45505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45505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45505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45505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45505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45505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45505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45505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45505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45505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45505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45505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45505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45505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45505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45505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45505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45505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45505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45505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45505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45505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45505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45505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45505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45505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45505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45505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45505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45505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45505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45505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45505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45505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45505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45505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45505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45505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45505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45505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45505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45505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45505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45505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45505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45505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45505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45505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45505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45505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45505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45505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45505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45505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45505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45505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45505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45505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45505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45505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45505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45505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45505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45505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45505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45505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45505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45505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45505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45505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45505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45505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45505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45505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45505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45505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45505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45505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45505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45505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45505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45505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45505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45505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45505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45505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45505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45505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45505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45505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45505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45505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45505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45505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45505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45505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45505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45505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45505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45505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45505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45505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45505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45505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45505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45505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45505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45505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45505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45505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45505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45505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45505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45505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45505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45505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45505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45505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45505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45505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45505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45505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45505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45505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45505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45505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45505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45505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45505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45505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45505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45505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45505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45505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45505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45505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45505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45505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45505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45505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45505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45505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45505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45505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45505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45505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45505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45505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45505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45505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45505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45505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45505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45505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45505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45505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45505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45505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45505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45505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45505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45505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45505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45505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45505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45505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45505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45505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45505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45505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45505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45505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45505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45505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45505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45505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45505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45505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45505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45505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45505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45505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45505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45505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45505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45505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45505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45505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45505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45505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45505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45505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45505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45505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45505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45505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45505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45505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45505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45505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45505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45505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45505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45505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45505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45505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45505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45505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45505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45505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45505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45505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45505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45505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45505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45505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45505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45505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45505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45505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45505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45505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45505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45505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45505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45505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45505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45505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45505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45505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45505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45505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45505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45505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45505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45505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45505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45505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45505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45505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45505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45505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45505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45505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45505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45505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45505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45505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45505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45505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45505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45505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45505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45505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45505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45505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45505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45505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45505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45505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45505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45505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45505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45505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45505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45505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45505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45505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45505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45505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45505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45505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45505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45505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45505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45505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45505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45505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45505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45505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45505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45505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45505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45505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45505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45505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45505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45505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45505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45505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45505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45505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45505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45505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45505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45505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45505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45505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45505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45505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45505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45505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45505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45505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45505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45505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45505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45505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45505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45505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45505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45505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45505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45505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45505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45505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45505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45505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45505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45505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45505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45505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45505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45505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45505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45505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45505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45505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45505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45505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45505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45505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45505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45505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45505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45505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45505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45505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45505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45505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45505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45505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45505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45505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45505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45505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45505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45505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45505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45505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45505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45505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45505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45505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45505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45505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45505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45505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45505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45505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45505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45505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45505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45505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45505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45505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45505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45505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45505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45505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45505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45505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45505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45505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45505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45505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45505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45505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45505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45505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45505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45505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45505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45505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45505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45505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45505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45505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45505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45505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45505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45505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45505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45505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45505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45505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45505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45505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45505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45505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45505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45505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45505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45505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45505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45505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45505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45505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45505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45505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45505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45505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45505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45505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45505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45505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45505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45505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45505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45505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45505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45505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45505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45505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45505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45505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45505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45505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45505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45505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45505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45505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45505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45505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45505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45505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45505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45505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45505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45505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45505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45505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45505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45505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45505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45505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45505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45505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45505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45505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45505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45505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45505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45505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45505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45505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45505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45505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45505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45505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45505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45505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45505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45505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45505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45505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45505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45505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45505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45505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45505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45505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45505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45505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45505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45505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45505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45505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45505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45505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45505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45505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45505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45505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45505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45505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45505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45505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45505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45505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45505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45505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45505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45505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45505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45505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45505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45505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45505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45505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45505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45505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45505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45505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45505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45505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45505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45505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45505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45505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45505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45505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45505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45505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45505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45505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45505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45505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45505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45505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45505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45505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45505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45505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45505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45505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45505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45505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45505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45505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45505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45505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45505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45505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45505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45505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45505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45505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45505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45505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45505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45505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45505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45505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45505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45505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45505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45505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45505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45505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45505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45505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45505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45505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45505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45505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45505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45505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45505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45505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45505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45505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45505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45505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45505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45505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45505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45505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45505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45505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45505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45505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45505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45505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45505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45505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45505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45505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45505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45505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45505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45505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45505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45505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45505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45505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45505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45505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45505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45505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45505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45505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45505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45505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45505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45505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45505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45505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45505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45505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45505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45505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45505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45505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45505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45505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45505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45505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45505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45505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45505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45505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45505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45505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45505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45505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45505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45505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45505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45505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45505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45505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45505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45505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45505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45505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45505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45505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45505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45505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45505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45505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45505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45505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45505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45505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45505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45505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45505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45505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45505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45505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45505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45505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45505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45505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45505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45505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45505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45505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45505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45505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45505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45505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45505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45505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45505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45505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45505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45505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45505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45505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45505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45505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45505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45505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45505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45505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45505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45505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45505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45505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45505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45505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45505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45505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45505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45505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45505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45505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45505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45505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45505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45505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45505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45505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45505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45505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45505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45505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45505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45505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45505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45505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45505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45505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45505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45505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45505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45505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45505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45505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45505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45505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45505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45505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45505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45505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45505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45505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45505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45505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45505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45505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45505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45505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45505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45505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45505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45505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45505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45505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45505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45505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45505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45505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45505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45505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45505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45505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45505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45505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45505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45505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45505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45505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45505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45505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45505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45505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45505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45505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45505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45505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45505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45505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45505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45505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45505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45505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45505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45505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45505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45505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45505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45505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45505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45505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45505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45505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45505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45505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45505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45505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45505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45505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45505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45505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45505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45505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45505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45505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45505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45505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45505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45505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45505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45505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45505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45505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45505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45505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45505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45505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45505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45505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45505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45505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45505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45505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45505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45505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45505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45505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45505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45505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45505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45505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45505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45505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45505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45505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45505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45505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45505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45505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45505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45505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45505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45505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45505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45505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45505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45505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45505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45505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45505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45505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45505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45505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45505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45505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45505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45505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45505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45505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45505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45505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45505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45505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45505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45505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45505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45505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45505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45505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45505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45505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45505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45505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45505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45505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45505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45505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45505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45505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45505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45505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45505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45505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45505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45505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45505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45505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45505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45505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45505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45505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45505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45505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45505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45505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45505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45505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45505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45505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45505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45505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45505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45505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45505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45505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45505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45505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45505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45505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45505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45505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45505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45505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45505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45505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45505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45505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45505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45505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45505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45505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45505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45505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45505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45505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45505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45505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45505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45505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45505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45505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45505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45505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45505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45505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45505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45505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45505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45505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45505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45505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45505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45505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45505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45505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45505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45505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45505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45505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45505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45505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45505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45505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45505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45505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45505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45505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45505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45505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45505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45505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45505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45505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45505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45505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45505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45505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45505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45505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45505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45505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45505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45505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45505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45505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45505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45505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45505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45505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45505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45505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45505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45505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45505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45505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45505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45505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45505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45505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45505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45505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45505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45505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45505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45505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45505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45505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45505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45505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45505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45505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45505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45505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45505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45505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45505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45505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45505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45505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45505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45505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45505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45505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45505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45505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45505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45505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45505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45505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45505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45505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45505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45505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45505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45505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45505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45505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45505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45505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45505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45505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45505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45505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45505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45505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45505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45505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45505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45505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45505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45505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45505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45505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45505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45505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45505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45505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45505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45505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45505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45505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45505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45505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45505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45505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45505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45505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45505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45505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45505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45505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45505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45505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45505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45505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45505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45505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45505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45505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45505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45505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45505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45505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45505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45505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45505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45505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45505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45505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45505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45505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45505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45505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45505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45505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45505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45505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45505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45505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45505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45505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45505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45505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45505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45505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45505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45505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45505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45505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45505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45505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45505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45505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45505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45505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45505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45505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45505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45505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45505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45505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45505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45505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45505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45505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45505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45505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45505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45505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45505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45505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45505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45505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45505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45505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45505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45505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45505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45505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45505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45505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45505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45505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45505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45505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45505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45505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45505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45505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45505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45505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45505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45505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45505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45505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45505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45505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45505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45505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45505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45505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45505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45505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45505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45505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45505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45505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45505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45505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45505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45505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45505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45505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45505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45505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45505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45505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45505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45505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45505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45505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45505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45505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45505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45505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45505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45505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45505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45505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45505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45505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45505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45505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45505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45505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45505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45505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45505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45505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45505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45505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45505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45505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45505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45505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45505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45505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45505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45505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45505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45505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45505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45505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45505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45505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45505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45505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45505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45505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45505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45505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45505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45505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45505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45505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45505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45505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45505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45505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45505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45505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45505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45505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45505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45505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45505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45505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45505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45505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45505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45505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45505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45505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45505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45505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45505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45505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45505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45505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45505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45505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45505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45505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45505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45505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45505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45505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45505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45505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45505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45505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45505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45505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45505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45505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45505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45505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45505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45505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45505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45505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45505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45505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45505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45505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45505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45505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45505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45505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45505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45505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45505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45505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45505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45505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45505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45505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45505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45505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45505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45505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45505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45505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45505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45505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45505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45505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45505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45505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45505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45505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45505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45505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45505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45505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45505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45505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45505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45505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45505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45505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45505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45505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45505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45505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45505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45505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45505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45505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45505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45505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45505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45505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45505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45505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45505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45505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45505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45505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45505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45505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45505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45505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45505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45505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45505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45505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45505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45505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45505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45505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45505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45505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45505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45505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45505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45505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45505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45505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45505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45505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45505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45505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45505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45505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45505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45505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45505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45505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45505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45505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45505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45505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45505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45505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45505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45505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45505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45505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45505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45505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45505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45505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45505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45505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45505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45505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45505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45505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45505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45505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45505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45505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45505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45505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45505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45505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45505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45505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45505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45505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45505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45505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45505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45505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45505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45505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45505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45505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45505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45505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45505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45505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45505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45505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45505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45505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45505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45505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45505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45505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45505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45505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45505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45505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45505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45505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45505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45505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45505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45505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45505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45505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45505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45505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45505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45505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45505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45505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45505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45505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45505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45505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45505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45505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45505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45505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45505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45505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45505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45505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45505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45505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45505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45505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45505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45505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45505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45505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45505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45505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45505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45505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45505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45505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45505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45505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45505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45505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45505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45505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45505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45505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45505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45505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45505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45505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45505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45505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45505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45505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45505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45505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45505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45505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45505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45505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45505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45505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45505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45505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45505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45505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45505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45505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45505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45505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45505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45505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45505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45505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45505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45505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45505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45505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45505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45505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45505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45505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45505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45505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45505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45505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45505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45505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45505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45505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45505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45505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45505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45505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45505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45505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45505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45505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45505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45505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45505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45505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45505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45505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45505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45505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45505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45505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45505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45505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45505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45505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45505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45505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45505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45505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45505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45505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45505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45505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45505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45505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45505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45505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45505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45505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45505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45505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45505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45505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45505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45505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45505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45505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45505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45505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45505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45505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45505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45505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45505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45505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45505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45505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45505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45505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45505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45505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45505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45505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45505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45505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45505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45505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45505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45505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45505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45505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45505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45505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45505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45505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45505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45505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45505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45505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45505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45505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45505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45505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45505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45505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45505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45505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45505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45505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45505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45505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45505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45505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45505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45505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45505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45505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45505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45505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45505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45505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45505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45505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45505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45505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45505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45505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45505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45505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45505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45505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45505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45505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45505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45505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45505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45505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45505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45505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45505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45505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45505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45505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45505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45505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45505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45505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45505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45505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45505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45505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45505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45505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45505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45505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45505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45505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45505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45505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45505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45505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45505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45505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45505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45505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45505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45505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45505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45505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45505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45505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45505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45505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45505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45505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45505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45505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45505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45505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45505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45505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45505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45505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45505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45505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45505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45505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45505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45505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45505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45505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45505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45505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45505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45505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45505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45505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45505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45505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45505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45505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45505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45505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45505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45505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45505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45505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45505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45505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45505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45505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45505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45505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45505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45505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45505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45505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45505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45505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45505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45505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45505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45505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45505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45505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45505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45505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45505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45505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45505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45505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45505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45505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45505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45505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45505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45505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45505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45505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45505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45505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45505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45505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45505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45505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45505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45505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45505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45505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45505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45505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45505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45505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45505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45505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45505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45505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45505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45505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45505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45505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45505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45505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45505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45505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45505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45505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45505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45505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45505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45505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45505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45505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45505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45505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45505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45505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45505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45505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45505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45505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45505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45505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45505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45505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45505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45505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45505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45505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45505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45505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45505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45505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45505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45505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45505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45505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45505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45505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45505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45505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45505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45505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45505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45505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45505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45505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45505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45505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45505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45505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45505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45505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45505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45505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45505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45505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45505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45505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45505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45505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45505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45505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45505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45505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45505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45505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45505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45505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45505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45505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45505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45505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45505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45505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45505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45505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45505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45505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45505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45505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45505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45505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45505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45505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45505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45505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45505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45505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45505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45505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45505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45505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45505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45505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45505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45505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45505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45505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45505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45505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45505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45505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45505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45505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45505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45505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45505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45505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45505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45505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45505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45505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45505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45505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45505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45505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45505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45505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45505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45505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45505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45505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45505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45505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45505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45505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45505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45505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45505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45505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45505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45505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45505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45505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45505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45505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45505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45505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45505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45505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45505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45505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45505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45505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45505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45505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45505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45505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45505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45505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45505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45505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45505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45505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45505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45505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45505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45505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45505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45505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45505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45505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45505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45505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45505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45505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45505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45505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45505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45505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45505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45505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45505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45505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45505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45505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45505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45505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45505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45505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45505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45505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45505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45505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45505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45505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45505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45505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45505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45505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45505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45505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45505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45505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45505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45505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45505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45505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45505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45505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45505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45505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45505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45505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45505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45505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45505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45505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45505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45505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45505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45505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45505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45505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45505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45505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45505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45505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45505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45505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45505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45505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45505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45505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45505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45505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45505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45505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45505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45505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45505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45505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45505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45505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45505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45505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45505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45505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45505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45505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45505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45505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45505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45505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45505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45505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45505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45505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45505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45505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45505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45505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45505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45505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45505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45505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45505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45505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45505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45505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45505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45505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45505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45505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45505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45505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45505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45505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45505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45505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45505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45505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45505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45505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45505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45505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45505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45505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45505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45505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45505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45505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45505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45505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45505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45505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45505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45505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45505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45505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45505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45505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45505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45505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45505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45505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45505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45505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45505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45505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45505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45505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45505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45505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45505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45505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45505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45505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45505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45505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45505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45505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45505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45505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45505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45505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45505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45505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45505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45505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45505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45505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45505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45505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45505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45505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45505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45505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45505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45505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45505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45505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45505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45505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45505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45505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45505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45505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45505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45505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45505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45505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45505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45505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45505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45505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45505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45505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45505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45505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45505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45505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45505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45505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45505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45505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45505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45505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45505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45505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45505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45505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45505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45505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45505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45505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45505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45505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45505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45505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45505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45505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45505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45505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45505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45505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45505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45505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45505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45505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45505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45505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45505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45505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45505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45505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45505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45505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45505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45505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45505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45505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45505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45505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45505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45505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45505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45505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45505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45505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45505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45505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45505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45505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45505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45505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45505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45505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45505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45505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45505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45505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45505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45505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45505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45505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45505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45505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45505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45505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45505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45505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45505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45505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45505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45505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45505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45505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45505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45505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45505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45505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45505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45505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45505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45505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45505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45505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45505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45505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45505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45505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45505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45505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45505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45505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45505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45505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45505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45505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45505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45505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45505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45505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45505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45505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45505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45505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45505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45505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45505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45505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45505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45505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45505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45505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45505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45505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45505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45505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45505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45505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45505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45505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45505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45505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45505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45505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45505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45505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45505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45505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45505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45505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45505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45505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45505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45505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45505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45505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45505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45505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45505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45505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45505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45505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45505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45505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45505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45505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45505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45505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45505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45505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45505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45505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45505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45505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45505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45505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45505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45505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45505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45505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45505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45505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45505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45505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45505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45505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45505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45505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45505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45505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45505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45505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45505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45505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45505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45505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45505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45505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45505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45505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45505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45505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45505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45505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45505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45505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45505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45505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45505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45505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45505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45505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45505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45505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45505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45505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45505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45505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45505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45505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45505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45505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45505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45505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45505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45505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45505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45505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45505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45505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45505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45505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45505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45505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45505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45505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45505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45505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45505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45505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45505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45505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45505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45505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45505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45505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45505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45505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45505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45505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45505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45505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45505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45505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45505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45505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45505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45505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45505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45505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45505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45505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45505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45505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45505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45505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45505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45505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45505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45505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45505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45505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45505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45505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45505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45505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45505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45505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45505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45505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45505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45505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45505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45505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45505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45505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45505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45505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45505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45505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45505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45505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45505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45505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45505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45505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45505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45505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45505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45505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45505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45505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45505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45505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45505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45505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45505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45505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45505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45505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45505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45505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45505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45505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45505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45505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45505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45505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45505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45505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45505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45505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45505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45505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45505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45505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45505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45505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45505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45505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45505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45505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45505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45505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45505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45505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45505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45505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45505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45505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45505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45505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45505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45505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45505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45505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45505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45505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45505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45505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45505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45505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45505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45505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45505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45505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45505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45505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45505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45505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45505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45505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45505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45505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45505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45505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45505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45505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45505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45505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45505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45505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45505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45505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45505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45505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45505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45505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45505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45505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45505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45505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45505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45505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45505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45505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45505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45505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45505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45505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45505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45505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45505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45505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45505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45505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45505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45505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45505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45505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45505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45505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45505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45505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45505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45505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45505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45505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45505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45505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45505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45505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45505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45505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45505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45505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45505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45505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45505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45505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45505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45505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45505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45505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45505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45505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45505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45505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45505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45505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45505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45505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45505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45505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45505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45505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45505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45505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45505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45505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45505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45505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45505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45505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45505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45505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45505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45505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45505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45505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45505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45505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45505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45505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45505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45505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45505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45505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45505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45505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45505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45505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45505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45505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45505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45505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45505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45505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45505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45505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45505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45505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45505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45505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45505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45505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45505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45505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45505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45505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45505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45505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45505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45505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45505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45505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45505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45505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45505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45505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45505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45505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45505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45505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45505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45505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45505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45505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45505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45505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45505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45505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45505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45505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45505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45505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45505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45505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45505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45505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45505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45505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45505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45505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45505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45505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45505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45505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45505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45505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45505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45505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45505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45505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45505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45505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45505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45505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45505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45505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45505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45505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45505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45505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45505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45505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45505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45505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45505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45505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45505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45505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45505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45505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45505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45505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45505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45505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45505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45505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45505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45505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45505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45505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45505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45505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45505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45505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45505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45505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45505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45505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45505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45505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45505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45505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45505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45505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45505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45505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45505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45505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45505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45505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45505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45505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45505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45505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45505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45505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45505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45505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45505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45505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45505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45505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45505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45505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45505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45505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45505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45505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45505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45505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45505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45505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45505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45505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45505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45505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45505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45505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45505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45505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45505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45505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45505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45505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45505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45505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45505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45505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45505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45505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45505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45505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45505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45505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45505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45505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45505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45505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45505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45505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45505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45505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45505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45505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45505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45505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45505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45505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45505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45505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45505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45505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45505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45505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45505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45505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45505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45505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45505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45505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45505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45505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45505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45505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45505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45505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45505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45505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45505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45505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45505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45505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45505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45505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45505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45505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45505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45505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45505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45505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45505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45505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45505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45505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45505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45505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45505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45505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45505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45505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45505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45505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45505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45505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45505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45505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45505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45505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45505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45505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45505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45505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45505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45505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45505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45505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45505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45505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45505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45505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45505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45505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45505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45505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45505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45505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45505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45505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45505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45505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45505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45505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45505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45505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45505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45505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45505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45505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45505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45505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45505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45505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45505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45505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45505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45505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45505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45505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45505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45505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45505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45505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45505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45505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45505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45505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45505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45505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45505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45505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45505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45505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45505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45505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45505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45505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45505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45505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45505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45505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45505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45505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45505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45505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45505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45505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45505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45505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45505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45505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45505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45505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45505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45505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45505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45505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45505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45505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45505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45505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45505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45505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45505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45505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45505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45505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45505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45505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45505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45505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45505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45505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45505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45505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45505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45505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45505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45505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45505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45505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45505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45505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45505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45505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45505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45505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45505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45505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45505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45505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45505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45505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45505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45505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45505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45505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45505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45505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45505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45505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45505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45505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45505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45505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45505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45505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45505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45505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45505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45505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45505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45505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45505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45505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45505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45505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45505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45505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45505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45505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45505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45505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45505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45505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45505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45505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45505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45505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45505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45505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45505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45505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45505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45505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45505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45505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45505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45505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45505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45505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45505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45505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45505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45505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45505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45505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45505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45505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45505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45505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45505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45505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45505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45505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45505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45505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45505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45505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45505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45505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45505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45505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45505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45505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45505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45505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45505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45505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45505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45505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45505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45505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45505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45505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45505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45505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45505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45505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45505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45505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45505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45505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45505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45505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45505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45505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45505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45505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45505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45505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45505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45505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45505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45505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45505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45505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45505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45505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45505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45505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45505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45505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45505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45505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45505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45505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45505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45505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45505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45505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45505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45505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45505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45505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45505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45505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45505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45505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45505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45505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45505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45505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45505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45505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45505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45505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45505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45505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45505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45505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45505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45505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45505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45505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45505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45505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45505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45505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45505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45505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45505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45505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45505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45505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45505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45505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45505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45505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45505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45505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45505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45505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45505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45505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45505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45505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45505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45505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45505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45505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45505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45505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45505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45505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45505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45505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45505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45505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45505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45505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45505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45505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45505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45505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45505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45505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45505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45505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45505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45505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45505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45505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45505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45505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45505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45505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45505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45505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45505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45505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45505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45505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45505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45505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45505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45505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45505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45505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45505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45505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45505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45505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45505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45505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45505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45505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45505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45505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45505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45505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45505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45505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45505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45505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45505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45505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45505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45505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45505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45505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45505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45505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45505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45505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45505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45505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45505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45505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45505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45505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45505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45505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45505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45505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45505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45505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45505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45505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45505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45505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45505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45505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45505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45505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45505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45505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45505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45505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45505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45505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45505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45505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45505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45505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45505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45505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45505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45505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45505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45505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45505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45505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45505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45505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45505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45505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45505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45505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45505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45505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45505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45505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45505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45505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45505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45505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45505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45505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45505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45505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45505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45505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45505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45505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45505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45505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45505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45505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45505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45505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45505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45505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45505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45505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45505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45505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45505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45505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45505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45505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45505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45505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45505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45505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45505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45505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45505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45505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45505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45505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45505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45505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45505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45505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45505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45505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45505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45505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45505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45505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45505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45505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45505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45505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45505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45505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45505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45505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45505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45505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45505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45505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45505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45505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45505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45505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45505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45505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45505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45505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45505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45505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45505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45505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45505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45505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45505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45505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45505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45505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45505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45505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45505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45505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45505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45505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45505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45505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45505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45505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45505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45505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45505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45505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45505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45505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45505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45505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45505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45505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45505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45505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45505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45505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45505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45505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45505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45505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45505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45505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45505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45505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45505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45505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45505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45505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45505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45505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45505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45505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45505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45505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45505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45505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45505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45505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45505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45505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45505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45505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45505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45505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45505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45505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45505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45505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45505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45505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45505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45505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45505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45505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45505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45505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45505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45505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45505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45505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45505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45505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45505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45505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45505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45505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45505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45505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45505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45505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45505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45505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45505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45505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45505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45505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45505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45505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45505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45505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45505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45505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45505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45505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45505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45505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45505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45505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45505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45505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45505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45505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45505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45505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45505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45505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45505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45505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45505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45505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45505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45505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45505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45505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45505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45505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45505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45505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45505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45505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45505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45505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45505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45505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45505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45505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45505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45505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45505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45505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45505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45505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45505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45505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45505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45505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45505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45505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45505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45505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45505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45505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45505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45505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45505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45505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45505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45505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45505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45505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45505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45505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45505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45505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45505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45505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45505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45505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45505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45505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45505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45505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45505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45505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45505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45505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45505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45505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45505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45505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45505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45505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45505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45505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45505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45505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45505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45505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45505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45505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45505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45505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45505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45505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45505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45505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45505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45505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45505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45505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45505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45505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45505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45505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45505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45505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45505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45505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45505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45505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45505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45505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45505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45505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45505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45505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45505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45505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45505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45505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45505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45505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45505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45505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45505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45505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45505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45505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45505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45505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45505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45505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45505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45505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45505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45505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45505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45505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45505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45505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45505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45505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45505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45505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45505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45505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45505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45505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45505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45505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45505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45505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45505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45505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45505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45505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45505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45505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45505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45505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45505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45505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45505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45505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45505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45505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45505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45505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45505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45505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45505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45505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45505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45505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45505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45505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45505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45505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45505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45505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45505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45505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45505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45505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45505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45505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45505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45505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45505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45505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45505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45505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45505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45505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45505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45505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45505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45505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45505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45505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45505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45505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45505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45505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45505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45505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45505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45505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45505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45505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45505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45505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45505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45505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45505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45505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45505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45505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45505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45505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45505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45505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45505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45505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45505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45505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45505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45505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45505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45505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45505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45505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45505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45505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45505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45505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45505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45505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45505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45505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45505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45505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45505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45505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45505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45505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45505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45505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45505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45505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45505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45505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45505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45505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45505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45505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45505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45505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45505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45505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45505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45505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45505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45505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45505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45505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45505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45505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45505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45505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45505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45505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45505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45505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45505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45505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45505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45505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45505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45505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45505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45505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45505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45505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45505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45505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45505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45505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45505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45505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45505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45505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45505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45505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45505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45505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45505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45505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45505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45505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45505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45505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45505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45505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45505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45505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45505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45505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45505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45505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45505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45505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45505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45505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45505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45505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45505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45505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45505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45505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45505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45505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45505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45505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45505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45505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45505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45505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45505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45505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45505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45505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45505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45505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45505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45505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45505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45505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45505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45505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45505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45505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45505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45505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45505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45505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45505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45505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45505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45505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45505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45505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45505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45505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45505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45505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45505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45505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45505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45505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45505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45505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45505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45505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45505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45505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45505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45505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45505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45505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45505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45505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45505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45505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45505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45505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45505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45505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45505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45505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45505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45505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45505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45505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45505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45505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45505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45505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45505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45505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45505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45505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45505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45505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45505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45505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45505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45505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45505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45505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45505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45505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45505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45505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45505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45505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45505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45505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45505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45505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45505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45505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45505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45505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45505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45505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45505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45505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45505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45505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45505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45505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45505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45505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45505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45505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45505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45505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45505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45505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45505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45505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45505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45505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45505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45505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45505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45505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45505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45505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45505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45505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45505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45505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45505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45505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45505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45505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45505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45505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45505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45505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45505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45505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45505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45505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45505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45505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45505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45505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45505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45505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45505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45505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45505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45505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45505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45505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45505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45505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45505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45505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45505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45505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45505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45505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45505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45505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45505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45505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45505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45505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45505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45505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45505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45505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45505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45505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45505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45505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45505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45505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45505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45505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45505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45505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45505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45505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45505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45505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45505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45505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45505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45505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45505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45505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45505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45505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45505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45505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45505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45505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45505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45505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45505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45505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45505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45505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45505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45505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45505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45505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45505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45505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45505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45505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45505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45505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45505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45505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45505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45505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45505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45505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45505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45505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45505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45505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45505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45505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45505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45505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45505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45505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45505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45505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45505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45505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45505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45505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45505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45505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45505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45505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45505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45505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45505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45505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45505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45505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45505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45505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45505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45505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45505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45505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45505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45505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45505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45505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45505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45505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45505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45505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45505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45505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45505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45505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45505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45505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45505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45505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45505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45505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45505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45505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45505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45505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45505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45505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45505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45505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45505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45505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45505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45505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45505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45505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45505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45505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45505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45505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45505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45505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45505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45505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45505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45505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45505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45505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45505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45505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45505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45505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45505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45505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45505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45505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45505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45505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45505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45505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45505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45505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45505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45505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45505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45505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45505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45505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45505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45505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45505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45505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45505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45505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45505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45505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45505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45505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45505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45505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45505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45505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45505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45505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45505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45505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45505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45505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45505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45505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45505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45505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45505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45505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45505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45505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45505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45505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45505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45505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45505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45505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45505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45505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45505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45505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45505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45505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45505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45505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45505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45505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45505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45505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45505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45505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45505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45505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45505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45505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45505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45505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45505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45505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45505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45505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45505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45505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45505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45505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45505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45505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45505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45505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45505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45505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45505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45505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45505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45505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45505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45505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45505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45505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45505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45505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45505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45505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45505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45505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45505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45505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45505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45505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45505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45505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45505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45505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45505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45505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45505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45505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45505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45505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45505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45505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45505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45505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45505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45505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45505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45505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45505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45505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45505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45505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45505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45505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45505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45505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45505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45505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45505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45505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45505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45505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45505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45505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45505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45505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45505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45505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45505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45505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45505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45505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45505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45505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45505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45505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45505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45505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45505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45505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45505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45505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45505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45505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45505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45505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45505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45505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45505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45505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45505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45505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45505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45505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45505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45505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45505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45505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45505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45505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45505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45505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45505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45505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45505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45505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45505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45505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45505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45505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45505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45505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45505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45505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45505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45505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45505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45505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45505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45505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45505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45505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45505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45505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45505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45505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45505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45505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45505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45505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45505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45505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45505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45505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45505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45505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45505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45505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45505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45505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45505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45505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45505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45505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45505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45505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45505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45505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45505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45505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45505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45505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45505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45505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45505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45505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45505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45505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45505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45505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45505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45505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45505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45505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45505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45505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45505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45505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45505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45505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45505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45505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45505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45505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45505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45505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45505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45505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45505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45505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45505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45505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45505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45505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45505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45505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45505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45505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45505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45505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45505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45505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45505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45505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45505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45505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45505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45505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45505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45505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45505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45505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45505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45505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45505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45505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45505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45505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45505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45505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45505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45505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45505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45505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45505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45505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45505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45505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45505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45505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45505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45505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45505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45505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45505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45505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45505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45505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45505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45505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45505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45505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45505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45505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45505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45505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45505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45505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45505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45505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45505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45505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45505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45505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45505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45505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45505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45505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45505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45505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45505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45505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45505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45505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45505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45505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45505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45505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45505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45505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45505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45505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45505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45505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45505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45505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45505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45505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45505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45505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45505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45505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45505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45505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45505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45505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45505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45505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45505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45505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45505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45505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45505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45505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45505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45505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45505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45505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45505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45505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45505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45505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45505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45505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45505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45505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45505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45505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45505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45505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45505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45505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45505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45505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45505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45505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45505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45505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45505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45505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45505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45505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45505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45505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45505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45505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45505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45505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45505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45505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45505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45505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45505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45505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45505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45505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45505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45505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45505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45505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45505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45505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45505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45505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45505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45505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45505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45505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45505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45505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45505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45505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45505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45505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45505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45505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45505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45505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45505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45505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45505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45505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45505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45505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45505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45505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45505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45505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45505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45505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45505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45505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45505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45505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45505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45505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45505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45505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45505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45505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45505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45505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45505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45505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45505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45505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45505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45505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45505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45505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45505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45505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45505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45505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45505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45505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45505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45505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45505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45505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45505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45505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45505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45505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45505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45505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45505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45505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45505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45505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45505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45505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45505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45505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45505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45505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45505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45505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45505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45505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45505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45505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45505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45505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45505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45505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45505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45505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45505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45505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45505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45505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45505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45505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45505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45505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45505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45505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45505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45505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45505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45505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45505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45505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45505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45505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45505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45505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45505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45505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45505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45505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45505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45505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45505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45505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45505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45505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45505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45505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45505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45505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45505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45505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45505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45505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45505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45505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45505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45505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45505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45505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45505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45505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45505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45505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45505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45505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45505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45505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45505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45505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45505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45505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45505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45505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45505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45505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45505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45505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45505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45505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45505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45505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45505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45505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45505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45505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45505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45505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45505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45505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45505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45505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45505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45505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45505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45505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45505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45505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45505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45505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45505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45505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45505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45505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45505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45505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45505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45505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45505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45505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45505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45505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45505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45505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45505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45505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45505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45505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45505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45505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45505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45505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45505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45505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45505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45505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45505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45505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45505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45505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45505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45505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45505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45505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45505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45505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45505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45505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45505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45505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45505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45505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45505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45505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45505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45505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45505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45505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45505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45505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45505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45505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45505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45505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45505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45505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45505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45505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45505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45505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45505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45505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45505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45505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45505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45505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45505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45505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45505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45505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45505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45505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45505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45505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45505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45505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45505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45505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45505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45505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45505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45505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45505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45505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45505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45505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45505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45505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45505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45505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45505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45505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45505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45505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45505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45505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45505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45505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45505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45505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45505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45505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45505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45505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45505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45505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45505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45505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45505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45505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45505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45505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45505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45505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45505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45505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45505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45505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45505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45505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45505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45505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45505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45505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45505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45505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45505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45505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45505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45505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45505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45505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45505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45505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45505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45505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45505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45505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45505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45505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45505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45505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45505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45505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45505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45505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45505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45505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45505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45505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45505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45505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45505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45505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45505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45505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45505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45505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45505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45505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45505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45505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45505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45505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45505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45505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45505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45505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45505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45505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45505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45505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45505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45505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45505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45505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45505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45505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45505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45505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45505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45505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45505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45505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45505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45505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45505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45505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45505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45505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45505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45505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45505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45505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45505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45505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45505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45505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45505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45505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45505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45505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45505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45505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45505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45505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45505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45505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45505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45505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45505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45505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45505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45505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45505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45505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45505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45505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45505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45505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45505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45505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45505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45505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45505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45505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45505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45505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45505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45505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45505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45505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45505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45505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45505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45505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45505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45505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45505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45505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45505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45505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45505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45505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45505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45505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45505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45505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45505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45505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45505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45505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45505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45505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45505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45505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45505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45505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45505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45505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45505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45505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45505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45505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45505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45505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45505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45505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45505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45505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45505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45505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45505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45505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45505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45505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45505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45505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45505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45505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45505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45505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45505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45505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45505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45505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45505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45505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45505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45505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45505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45505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45505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45505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45505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45505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45505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45505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45505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45505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45505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45505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45505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45505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45505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45505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45505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45505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45505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45505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45505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45505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45505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45505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45505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45505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45505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45505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45505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45505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45505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45505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45505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45505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45505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45505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45505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45505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45505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45505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45505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45505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45505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45505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45505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45505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45505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45505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45505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45505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45505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45505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45505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45505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45505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45505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45505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45505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45505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45505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45505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45505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45505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45505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45505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45505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45505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45505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45505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45505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45505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45505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45505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45505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45505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45505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45505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45505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45505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45505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45505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45505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45505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45505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45505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45505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45505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45505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45505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45505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45505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45505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45505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45505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45505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45505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45505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45505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45505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45505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45505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45505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45505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45505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45505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45505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45505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45505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45505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45505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45505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45505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45505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45505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45505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45505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45505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45505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45505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45505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45505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45505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45505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45505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45505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45505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45505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45505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45505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45505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45505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45505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45505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45505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45505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45505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45505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45505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45505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45505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45505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45505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45505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45505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45505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45505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45505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45505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45505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45505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45505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45505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45505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45505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45505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45505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45505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45505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45505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45505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45505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45505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45505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45505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45505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45505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45505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45505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45505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45505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45505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45505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45505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45505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45505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45505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45505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45505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45505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45505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45505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45505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45505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45505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45505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45505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45505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45505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45505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45505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45505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45505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45505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45505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45505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45505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45505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45505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45505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45505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45505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45505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45505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45505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45505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45505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45505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45505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45505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45505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45505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45505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45505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45505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45505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45505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45505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45505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45505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45505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45505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45505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45505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45505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45505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45505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45505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45505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45505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45505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45505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45505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45505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45505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45505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45505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45505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45505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45505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45505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45505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45505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45505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45505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45505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45505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45505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45505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45505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45505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45505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45505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45505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45505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45505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45505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45505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45505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45505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45505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45505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45505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45505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45505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45505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45505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45505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45505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45505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45505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45505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45505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45505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45505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45505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45505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45505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45505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45505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45505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45505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45505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45505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45505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45505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45505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45505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45505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45505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45505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45505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45505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45505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45505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45505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45505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45505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45505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45505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45505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45505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45505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45505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45505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45505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45505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45505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45505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45505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45505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45505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45505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45505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45505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45505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45505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45505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45505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45505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45505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45505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45505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45505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45505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45505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45505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45505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45505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45505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45505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45505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45505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45505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45505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45505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45505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45505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45505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45505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45505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45505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45505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45505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45505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45505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45505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45505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45505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45505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45505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45505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45505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45505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45505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45505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45505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45505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45505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45505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45505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45505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45505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45505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45505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45505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45505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45505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45505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45505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45505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45505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45505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45505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45505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45505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45505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45505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45505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45505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45505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45505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45505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45505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45505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45505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45505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45505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45505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45505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45505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45505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45505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45505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45505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45505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45505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45505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45505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45505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45505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45505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45505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45505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45505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45505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45505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45505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45505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45505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45505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45505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45505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45505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45505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45505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45505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45505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45505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45505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45505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45505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45505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45505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45505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45505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45505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45505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45505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45505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45505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45505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45505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45505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45505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45505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45505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45505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45505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45505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45505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45505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45505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45505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45505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45505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45505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45505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45505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45505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45505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45505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45505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45505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45505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45505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45505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45505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45505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45505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45505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45505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45505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45505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45505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45505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45505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45505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45505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45505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45505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45505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45505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45505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45505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45505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45505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45505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45505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45505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45505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45505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45505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45505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45505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45505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45505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45505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45505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45505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45505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45505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45505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45505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45505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45505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45505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45505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45505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45505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45505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45505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45505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45505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45505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45505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45505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45505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45505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45505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45505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45505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45505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45505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45505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45505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45505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45505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45505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45505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45505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45505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45505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45505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45505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45505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45505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45505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45505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45505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45505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45505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45505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45505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45505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45505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45505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45505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45505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45505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45505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45505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45505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45505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45505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45505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45505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45505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45505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45505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45505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45505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45505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45505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45505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45505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45505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45505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45505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45505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45505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45505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45505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45505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45505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45505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45505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45505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45505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45505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45505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45505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45505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45505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45505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45505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45505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45505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45505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45505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45505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45505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45505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45505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45505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45505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45505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45505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45505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45505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45505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45505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45505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45505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45505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45505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45505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45505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45505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45505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45505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45505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45505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45505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45505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45505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45505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45505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45505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45505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45505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45505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45505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45505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45505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45505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45505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45505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45505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45505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45505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45505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45505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45505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45505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45505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45505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45505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45505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45505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45505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45505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45505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45505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45505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45505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45505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45505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45505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45505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45505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45505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45505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45505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45505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45505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45505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45505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45505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45505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45505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45505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45505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45505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45505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45505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45505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45505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45505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45505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45505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45505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45505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45505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45505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45505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45505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45505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45505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45505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45505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45505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45505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45505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45505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45505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45505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45505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45505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45505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45505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45505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45505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45505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45505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45505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45505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45505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45505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45505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45505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45505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45505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45505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45505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45505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45505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45505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45505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45505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45505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45505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45505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45505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45505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45505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45505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45505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45505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45505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45505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45505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45505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45505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45505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45505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45505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45505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45505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45505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45505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45505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45505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45505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45505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45505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45505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45505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45505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45505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45505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45505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45505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45505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45505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45505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45505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45505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45505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45505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45505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45505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45505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45505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45505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45505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45505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45505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45505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45505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45505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45505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45505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45505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45505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45505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45505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45505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45505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45505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45505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45505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45505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45505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45505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45505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45505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45505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45505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45505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45505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45505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45505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45505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45505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45505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45505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45505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45505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45505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45505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45505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45505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45505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45505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45505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45505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45505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45505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45505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45505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45505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45505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45505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45505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45505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45505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45505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45505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45505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45505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45505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45505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45505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45505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45505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45505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45505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45505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45505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45505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45505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45505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45505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45505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45505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45505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45505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45505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45505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45505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45505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45505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45505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45505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45505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45505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45505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45505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45505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45505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45505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45505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45505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45505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45505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45505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45505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45505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45505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45505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45505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45505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45505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45505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45505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45505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45505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45505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45505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45505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45505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45505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45505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45505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45505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45505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45505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45505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45505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45505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45505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45505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45505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45505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45505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45505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45505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45505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45505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45505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45505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45505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45505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45505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45505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45505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45505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45505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45505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45505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45505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45505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45505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45505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45505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45505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45505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45505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45505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45505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45505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45505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45505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45505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45505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45505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45505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45505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45505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45505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45505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45505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45505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45505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45505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45505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45505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45505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45505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45505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45505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45505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45505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45505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45505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45505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45505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45505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45505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45505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45505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45505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45505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45505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45505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45505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45505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45505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45505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45505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45505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45505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45505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45505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45505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45505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45505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45505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45505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45505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45505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45505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45505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45505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45505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45505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45505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45505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45505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45505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45505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45505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45505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45505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45505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45505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45505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45505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45505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45505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45505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45505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45505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45505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45505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45505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45505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45505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45505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45505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45505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45505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45505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45505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45505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45505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45505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45505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45505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45505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45505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45505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45505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45505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45505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45505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45505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45505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45505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45505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45505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45505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45505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45505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45505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45505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45505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45505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45505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45505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45505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45505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45505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45505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45505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45505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45505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45505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45505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45505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45505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45505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45505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45505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45505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45505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45505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45505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45505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45505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45505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45505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45505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45505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45505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45505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45505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45505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45505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45505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45505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45505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45505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45505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45505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45505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45505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45505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45505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45505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45505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45505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45505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45505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45505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45505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45505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45505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45505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45505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45505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45505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45505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45505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45505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45505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45505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45505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45505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45505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45505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45505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45505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45505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45505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45505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45505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45505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45505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45505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45505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45505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45505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45505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45505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45505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45505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45505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45505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45505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45505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45505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45505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45505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45505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45505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45505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45505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45505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45505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45505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45505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45505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45505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45505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45505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45505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45505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45505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45505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45505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45505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45505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45505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45505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45505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45505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45505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45505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45505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45505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45505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45505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45505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45505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45505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45505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45505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45505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45505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45505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45505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45505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45505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45505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45505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45505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45505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45505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45505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45505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45505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45505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45505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45505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45505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45505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45505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45505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45505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45505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45505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45505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45505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45505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45505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45505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45505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45505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45505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45505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45505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45505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45505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45505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45505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45505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45505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45505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45505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45505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45505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45505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45505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45505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45505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45505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45505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45505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45505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45505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45505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45505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45505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45505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45505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45505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45505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45505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45505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45505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45505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45505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45505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45505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45505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45505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45505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45505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45505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45505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45505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45505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45505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45505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45505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45505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45505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45505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45505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45505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45505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45505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45505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45505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45505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45505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45505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45505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45505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45505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45505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45505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45505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45505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45505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45505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45505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45505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45505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45505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45505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45505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45505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45505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45505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45505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45505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45505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45505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45505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45505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45505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45505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45505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45505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45505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45505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45505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45505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45505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45505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45505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45505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45505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45505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45505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45505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45505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45505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45505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45505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45505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45505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45505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45505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45505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45505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45505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45505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45505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45505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45505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45505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45505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45505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45505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45505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45505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45505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45505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45505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45505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45505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45505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45505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45505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45505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45505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45505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45505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45505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45505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45505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45505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45505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45505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45505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45505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45505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45505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45505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45505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45505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45505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45505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45505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45505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45505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45505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45505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45505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45505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45505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45505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45505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45505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45505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45505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45505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45505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45505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45505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45505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45505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45505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45505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45505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45505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45505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45505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45505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45505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45505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45505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45505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45505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45505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45505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45505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45505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45505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45505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45505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45505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45505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45505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45505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45505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45505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45505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45505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45505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45505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45505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45505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45505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45505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45505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45505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45505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45505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45505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45505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45505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45505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45505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45505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45505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45505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45505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45505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45505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45505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45505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45505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45505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45505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45505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45505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45505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45505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45505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45505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45505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45505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45505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45505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45505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45505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45505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45505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45505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45505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45505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45505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45505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45505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45505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45505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45505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45505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45505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45505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45505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45505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45505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45505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45505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45505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45505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45505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45505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45505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45505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45505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45505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45505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45505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45505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45505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45505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45505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45505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45505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45505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45505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45505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45505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45505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45505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45505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45505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45505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45505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45505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45505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45505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45505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45505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45505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45505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45505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45505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45505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45505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45505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45505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45505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45505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45505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45505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45505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45505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45505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45505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45505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45505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45505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45505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45505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45505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45505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45505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45505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45505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45505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45505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45505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45505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45505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45505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45505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45505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45505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45505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45505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45505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45505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45505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45505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45505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45505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45505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45505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45505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45505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45505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45505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45505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45505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45505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45505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45505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45505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45505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45505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45505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45505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45505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45505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45505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45505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45505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45505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45505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45505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45505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45505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45505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45505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45505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45505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45505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45505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45505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45505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45505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45505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45505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45505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45505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45505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45505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45505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45505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45505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45505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45505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45505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45505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45505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45505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45505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45505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45505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45505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45505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45505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45505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45505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45505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45505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45505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45505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45505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45505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45505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45505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45505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45505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45505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45505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45505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45505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45505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45505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45505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45505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45505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45505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45505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45505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45505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45505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45505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45505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45505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45505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45505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45505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45505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45505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45505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45505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45505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45505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45505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45505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45505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45505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45505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45505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45505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45505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45505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45505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45505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45505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45505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45505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45505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45505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45505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45505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45505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45505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45505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45505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45505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45505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45505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45505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45505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45505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45505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45505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45505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45505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45505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45505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45505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45505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45505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45505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45505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45505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45505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45505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45505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45505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45505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45505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45505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45505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45505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45505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45505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45505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45505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45505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45505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45505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45505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45505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45505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45505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45505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45505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45505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45505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45505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45505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45505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45505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45505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45505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45505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45505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45505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45505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45505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45505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45505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45505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45505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45505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45505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45505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45505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45505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45505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45505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45505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45505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45505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45505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45505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45505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45505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45505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45505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45505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45505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45505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45505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45505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45505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45505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45505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45505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45505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45505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45505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45505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45505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45505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45505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45505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45505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45505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45505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45505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45505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45505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45505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45505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45505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45505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45505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45505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45505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45505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45505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45505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45505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45505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45505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45505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45505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45505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45505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45505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45505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45505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45505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45505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45505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45505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45505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45505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45505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45505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45505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45505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45505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45505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45505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45505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45505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45505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45505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45505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45505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45505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45505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45505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45505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45505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45505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45505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45505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45505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45505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45505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45505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45505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45505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45505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45505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45505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45505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45505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45505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45505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45505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45505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45505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45505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45505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45505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45505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45505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45505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45505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45505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45505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45505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45505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45505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45505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45505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45505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45505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45505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45505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45505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45505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45505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45505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45505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45505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45505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45505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45505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45505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45505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45505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45505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45505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45505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45505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45505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45505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45505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45505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45505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45505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45505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45505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45505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45505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45505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45505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45505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45505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45505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45505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45505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45505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45505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45505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45505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45505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45505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45505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45505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45505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45505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45505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45505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45505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45505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45505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45505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45505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45505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45505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45505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45505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45505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45505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45505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45505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45505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45505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45505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45505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45505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45505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45505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45505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45505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45505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45505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45505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45505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45505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45505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45505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45505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45505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45505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45505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45505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45505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45505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45505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45505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45505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45505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45505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45505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45505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45505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45505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45505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45505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45505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45505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45505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45505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45505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45505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45505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45505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45505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45505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45505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45505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45505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45505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45505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45505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45505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45505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45505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45505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45505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45505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45505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45505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45505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45505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45505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45505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45505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45505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45505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45505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45505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45505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45505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45505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45505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45505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45505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45505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45505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45505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45505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45505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45505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45505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45505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45505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45505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45505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45505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45505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45505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45505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45505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45505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45505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45505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45505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45505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45505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45505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45505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45505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45505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45505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45505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45505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45505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45505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45505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45505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45505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45505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45505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45505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45505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45505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45505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45505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45505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45505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45505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45505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45505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45505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45505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45505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45505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45505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45505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45505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45505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45505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45505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45505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45505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45505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45505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45505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45505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45505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45505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45505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45505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45505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45505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45505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45505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45505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45505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45505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45505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45505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45505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45505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45505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45505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45505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45505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45505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45505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45505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45505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45505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45505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45505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45505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45505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45505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45505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45505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45505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45505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45505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45505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45505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45505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45505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45505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45505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45505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45505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45505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45505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45505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45505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45505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45505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45505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45505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45505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45505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45505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45505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45505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45505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45505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45505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45505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45505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45505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45505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45505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45505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45505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45505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45505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45505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45505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45505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45505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45505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45505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45505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45505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45505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45505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45505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45505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45505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45505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45505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45505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45505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45505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45505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45505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45505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45505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45505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45505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45505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45505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45505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45505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45505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45505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45505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45505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45505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45505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45505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45505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45505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45505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45505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45505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45505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45505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45505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45505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45505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45505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45505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45505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45505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45505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45505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45505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45505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45505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45505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45505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45505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45505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45505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45505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45505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45505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45505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45505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45505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45505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45505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45505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45505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45505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45505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45505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45505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45505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45505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45505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45505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45505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45505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45505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45505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45505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45505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45505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45505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45505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45505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45505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45505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45505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45505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45505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45505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45505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45505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45505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45505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45505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45505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45505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45505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45505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45505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45505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45505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45505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45505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45505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45505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45505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45505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45505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45505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45505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45505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45505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45505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45505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45505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45505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45505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45505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45505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45505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45505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45505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45505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45505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45505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45505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45505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45505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45505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45505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45505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45505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45505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45505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45505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45505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45505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45505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45505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45505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45505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45505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45505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45505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45505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45505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45505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45505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45505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45505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45505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45505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45505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45505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45505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45505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45505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45505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45505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45505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45505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45505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45505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45505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45505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45505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45505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45505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45505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45505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45505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45505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45505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45505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45505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45505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45505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45505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45505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45505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45505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45505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45505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45505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45505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45505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45505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45505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45505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45505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45505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45505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45505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45505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45505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45505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45505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45505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45505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45505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45505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45505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45505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45505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45505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45505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45505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45505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45505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45505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45505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45505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45505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45505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45505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45505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45505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45505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45505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45505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45505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45505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45505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45505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45505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45505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45505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45505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45505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45505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45505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45505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45505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45505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45505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45505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45505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45505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45505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45505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45505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45505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45505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45505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45505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45505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45505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45505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45505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45505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45505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45505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45505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45505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45505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45505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45505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45505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45505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45505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45505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45505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45505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45505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45505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45505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45505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45505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45505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45505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45505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45505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45505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45505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45505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45505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45505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45505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45505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45505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45505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45505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45505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45505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45505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45505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45505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45505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45505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45505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45505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45505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45505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45505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45505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45505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45505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45505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45505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45505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45505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45505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45505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45505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45505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45505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45505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45505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45505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45505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45505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45505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45505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45505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45505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45505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45505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45505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45505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45505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45505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45505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45505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45505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45505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45505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45505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45505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45505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45505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45505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45505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45505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45505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45505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45505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45505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45505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45505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45505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45505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45505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45505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45505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45505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45505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45505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45505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45505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45505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45505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45505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45505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45505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45505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45505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45505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45505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45505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45505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45505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45505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45505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45505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45505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45505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45505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45505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45505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45505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45505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45505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45505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45505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45505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45505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45505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45505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45505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45505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45505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45505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45505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45505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45505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45505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45505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45505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45505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45505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45505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45505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45505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45505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45505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45505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45505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45505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45505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45505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45505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45505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45505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45505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45505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45505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45505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45505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45505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45505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45505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45505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45505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45505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45505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45505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45505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45505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45505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45505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45505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45505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45505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45505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45505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45505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45505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45505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45505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45505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45505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45505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45505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45505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45505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45505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45505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45505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45505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45505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45505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45505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45505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45505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45505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45505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45505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45505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45505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45505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45505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45505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45505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45505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45505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45505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45505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45505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45505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45505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45505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45505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45505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45505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45505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45505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45505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45505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45505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45505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45505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45505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45505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45505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45505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45505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45505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45505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45505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45505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45505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45505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45505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45505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45505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45505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45505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45505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45505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45505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45505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45505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45505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45505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45505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45505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45505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45505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45505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45505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45505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45505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45505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45505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45505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45505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45505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45505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45505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45505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45505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45505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45505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45505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45505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45505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45505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45505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45505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45505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45505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45505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45505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45505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45505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45505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45505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45505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45505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45505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45505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45505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45505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45505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45505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45505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45505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45505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45505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45505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45505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45505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45505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45505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45505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45505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45505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45505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45505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45505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45505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45505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45505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45505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45505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45505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45505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45505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45505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45505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45505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45505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45505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45505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45505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45505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45505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45505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45505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45505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45505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45505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45505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45505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45505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45505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45505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45505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45505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45505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45505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45505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45505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45505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45505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45505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45505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45505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45505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45505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45505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45505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45505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45505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45505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45505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45505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45505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45505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45505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45505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45505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45505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45505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45505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45505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45505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45505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45505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45505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45505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45505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45505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45505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45505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45505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45505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45505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45505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45505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45505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45505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45505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45505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45505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45505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45505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45505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45505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45505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45505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45505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45505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45505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45505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45505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45505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45505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45505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45505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45505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45505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45505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45505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45505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45505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45505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45505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45505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45505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45505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45505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45505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45505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45505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45505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45505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45505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45505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45505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45505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45505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45505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45505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45505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45505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45505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45505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45505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45505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45505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45505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45505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45505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45505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45505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45505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45505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45505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45505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45505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45505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45505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45505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45505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45505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45505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45505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45505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45505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45505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45505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45505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45505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45505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45505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45505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45505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45505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45505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45505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45505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45505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45505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45505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45505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45505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45505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45505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45505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45505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45505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45505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45505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45505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45505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45505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45505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45505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45505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45505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45505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45505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45505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45505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45505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45505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45505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45505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45505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45505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45505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45505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45505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45505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45505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45505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45505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45505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45505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45505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45505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45505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45505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45505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45505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45505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45505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45505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45505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45505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45505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45505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45505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45505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45505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45505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45505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45505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45505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45505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45505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45505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45505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45505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45505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45505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45505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45505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45505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45505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45505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45505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45505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45505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45505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45505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45505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45505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45505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45505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45505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45505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45505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45505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45505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45505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45505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45505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45505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45505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45505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45505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45505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45505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45505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45505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45505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45505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45505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45505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27965-2024</t>
        </is>
      </c>
      <c r="B9588" s="1" t="n">
        <v>45476</v>
      </c>
      <c r="C9588" s="1" t="n">
        <v>45505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0.4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27959-2024</t>
        </is>
      </c>
      <c r="B9589" s="1" t="n">
        <v>45476</v>
      </c>
      <c r="C9589" s="1" t="n">
        <v>45505</v>
      </c>
      <c r="D9589" t="inlineStr">
        <is>
          <t>ÖSTERGÖTLANDS LÄN</t>
        </is>
      </c>
      <c r="E9589" t="inlineStr">
        <is>
          <t>KINDA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45505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28068-2024</t>
        </is>
      </c>
      <c r="B9591" s="1" t="n">
        <v>45476</v>
      </c>
      <c r="C9591" s="1" t="n">
        <v>45505</v>
      </c>
      <c r="D9591" t="inlineStr">
        <is>
          <t>ÖSTERGÖTLANDS LÄN</t>
        </is>
      </c>
      <c r="E9591" t="inlineStr">
        <is>
          <t>KINDA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28045-2024</t>
        </is>
      </c>
      <c r="B9592" s="1" t="n">
        <v>45476</v>
      </c>
      <c r="C9592" s="1" t="n">
        <v>45505</v>
      </c>
      <c r="D9592" t="inlineStr">
        <is>
          <t>ÖSTERGÖTLANDS LÄN</t>
        </is>
      </c>
      <c r="E9592" t="inlineStr">
        <is>
          <t>KINDA</t>
        </is>
      </c>
      <c r="G9592" t="n">
        <v>6.3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45505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28059-2024</t>
        </is>
      </c>
      <c r="B9594" s="1" t="n">
        <v>45476</v>
      </c>
      <c r="C9594" s="1" t="n">
        <v>45505</v>
      </c>
      <c r="D9594" t="inlineStr">
        <is>
          <t>ÖSTERGÖTLANDS LÄN</t>
        </is>
      </c>
      <c r="E9594" t="inlineStr">
        <is>
          <t>KINDA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27982-2024</t>
        </is>
      </c>
      <c r="B9595" s="1" t="n">
        <v>45476</v>
      </c>
      <c r="C9595" s="1" t="n">
        <v>45505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3.5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28198-2024</t>
        </is>
      </c>
      <c r="B9596" s="1" t="n">
        <v>45477</v>
      </c>
      <c r="C9596" s="1" t="n">
        <v>45505</v>
      </c>
      <c r="D9596" t="inlineStr">
        <is>
          <t>ÖSTERGÖTLANDS LÄN</t>
        </is>
      </c>
      <c r="E9596" t="inlineStr">
        <is>
          <t>KINDA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28255-2024</t>
        </is>
      </c>
      <c r="B9597" s="1" t="n">
        <v>45477</v>
      </c>
      <c r="C9597" s="1" t="n">
        <v>45505</v>
      </c>
      <c r="D9597" t="inlineStr">
        <is>
          <t>ÖSTERGÖTLANDS LÄN</t>
        </is>
      </c>
      <c r="E9597" t="inlineStr">
        <is>
          <t>LINKÖPING</t>
        </is>
      </c>
      <c r="F9597" t="inlineStr">
        <is>
          <t>Sveaskog</t>
        </is>
      </c>
      <c r="G9597" t="n">
        <v>8.800000000000001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28178-2024</t>
        </is>
      </c>
      <c r="B9598" s="1" t="n">
        <v>45477</v>
      </c>
      <c r="C9598" s="1" t="n">
        <v>45505</v>
      </c>
      <c r="D9598" t="inlineStr">
        <is>
          <t>ÖSTERGÖTLANDS LÄN</t>
        </is>
      </c>
      <c r="E9598" t="inlineStr">
        <is>
          <t>KINDA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28480-2024</t>
        </is>
      </c>
      <c r="B9599" s="1" t="n">
        <v>45477</v>
      </c>
      <c r="C9599" s="1" t="n">
        <v>45505</v>
      </c>
      <c r="D9599" t="inlineStr">
        <is>
          <t>ÖSTERGÖTLANDS LÄN</t>
        </is>
      </c>
      <c r="E9599" t="inlineStr">
        <is>
          <t>LINKÖPING</t>
        </is>
      </c>
      <c r="G9599" t="n">
        <v>3.7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28252-2024</t>
        </is>
      </c>
      <c r="B9600" s="1" t="n">
        <v>45477</v>
      </c>
      <c r="C9600" s="1" t="n">
        <v>45505</v>
      </c>
      <c r="D9600" t="inlineStr">
        <is>
          <t>ÖSTERGÖTLANDS LÄN</t>
        </is>
      </c>
      <c r="E9600" t="inlineStr">
        <is>
          <t>ÖDESHÖG</t>
        </is>
      </c>
      <c r="F9600" t="inlineStr">
        <is>
          <t>Sveaskog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28266-2024</t>
        </is>
      </c>
      <c r="B9601" s="1" t="n">
        <v>45477</v>
      </c>
      <c r="C9601" s="1" t="n">
        <v>45505</v>
      </c>
      <c r="D9601" t="inlineStr">
        <is>
          <t>ÖSTERGÖTLANDS LÄN</t>
        </is>
      </c>
      <c r="E9601" t="inlineStr">
        <is>
          <t>LINKÖPING</t>
        </is>
      </c>
      <c r="F9601" t="inlineStr">
        <is>
          <t>Sveaskog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45505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28362-2024</t>
        </is>
      </c>
      <c r="B9603" s="1" t="n">
        <v>45477</v>
      </c>
      <c r="C9603" s="1" t="n">
        <v>45505</v>
      </c>
      <c r="D9603" t="inlineStr">
        <is>
          <t>ÖSTERGÖTLANDS LÄN</t>
        </is>
      </c>
      <c r="E9603" t="inlineStr">
        <is>
          <t>ÅTVIDABERG</t>
        </is>
      </c>
      <c r="G9603" t="n">
        <v>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28398-2024</t>
        </is>
      </c>
      <c r="B9604" s="1" t="n">
        <v>45477</v>
      </c>
      <c r="C9604" s="1" t="n">
        <v>45505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Naturvårdsverket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28313-2024</t>
        </is>
      </c>
      <c r="B9605" s="1" t="n">
        <v>45477</v>
      </c>
      <c r="C9605" s="1" t="n">
        <v>45505</v>
      </c>
      <c r="D9605" t="inlineStr">
        <is>
          <t>ÖSTERGÖTLANDS LÄN</t>
        </is>
      </c>
      <c r="E9605" t="inlineStr">
        <is>
          <t>NORRKÖPING</t>
        </is>
      </c>
      <c r="G9605" t="n">
        <v>2.6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28464-2024</t>
        </is>
      </c>
      <c r="B9606" s="1" t="n">
        <v>45477</v>
      </c>
      <c r="C9606" s="1" t="n">
        <v>45505</v>
      </c>
      <c r="D9606" t="inlineStr">
        <is>
          <t>ÖSTERGÖTLANDS LÄN</t>
        </is>
      </c>
      <c r="E9606" t="inlineStr">
        <is>
          <t>LINKÖPING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28295-2024</t>
        </is>
      </c>
      <c r="B9607" s="1" t="n">
        <v>45477</v>
      </c>
      <c r="C9607" s="1" t="n">
        <v>45505</v>
      </c>
      <c r="D9607" t="inlineStr">
        <is>
          <t>ÖSTERGÖTLANDS LÄN</t>
        </is>
      </c>
      <c r="E9607" t="inlineStr">
        <is>
          <t>NORRKÖPING</t>
        </is>
      </c>
      <c r="G9607" t="n">
        <v>3.5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28482-2024</t>
        </is>
      </c>
      <c r="B9608" s="1" t="n">
        <v>45477</v>
      </c>
      <c r="C9608" s="1" t="n">
        <v>45505</v>
      </c>
      <c r="D9608" t="inlineStr">
        <is>
          <t>ÖSTERGÖTLANDS LÄN</t>
        </is>
      </c>
      <c r="E9608" t="inlineStr">
        <is>
          <t>LINKÖPING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28486-2024</t>
        </is>
      </c>
      <c r="B9609" s="1" t="n">
        <v>45477</v>
      </c>
      <c r="C9609" s="1" t="n">
        <v>45505</v>
      </c>
      <c r="D9609" t="inlineStr">
        <is>
          <t>ÖSTERGÖTLANDS LÄN</t>
        </is>
      </c>
      <c r="E9609" t="inlineStr">
        <is>
          <t>LINKÖPING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28665-2024</t>
        </is>
      </c>
      <c r="B9610" s="1" t="n">
        <v>45478</v>
      </c>
      <c r="C9610" s="1" t="n">
        <v>45505</v>
      </c>
      <c r="D9610" t="inlineStr">
        <is>
          <t>ÖSTERGÖTLANDS LÄN</t>
        </is>
      </c>
      <c r="E9610" t="inlineStr">
        <is>
          <t>NORRKÖPING</t>
        </is>
      </c>
      <c r="F9610" t="inlineStr">
        <is>
          <t>Holmen skog AB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28551-2024</t>
        </is>
      </c>
      <c r="B9611" s="1" t="n">
        <v>45478</v>
      </c>
      <c r="C9611" s="1" t="n">
        <v>45505</v>
      </c>
      <c r="D9611" t="inlineStr">
        <is>
          <t>ÖSTERGÖTLANDS LÄN</t>
        </is>
      </c>
      <c r="E9611" t="inlineStr">
        <is>
          <t>SÖDERKÖPING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28693-2024</t>
        </is>
      </c>
      <c r="B9612" s="1" t="n">
        <v>45478</v>
      </c>
      <c r="C9612" s="1" t="n">
        <v>45505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Holmen skog AB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28585-2024</t>
        </is>
      </c>
      <c r="B9613" s="1" t="n">
        <v>45478</v>
      </c>
      <c r="C9613" s="1" t="n">
        <v>45505</v>
      </c>
      <c r="D9613" t="inlineStr">
        <is>
          <t>ÖSTERGÖTLANDS LÄN</t>
        </is>
      </c>
      <c r="E9613" t="inlineStr">
        <is>
          <t>SÖDERKÖPING</t>
        </is>
      </c>
      <c r="G9613" t="n">
        <v>7.5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28601-2024</t>
        </is>
      </c>
      <c r="B9614" s="1" t="n">
        <v>45478</v>
      </c>
      <c r="C9614" s="1" t="n">
        <v>45505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Holmen skog AB</t>
        </is>
      </c>
      <c r="G9614" t="n">
        <v>0.4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28625-2024</t>
        </is>
      </c>
      <c r="B9615" s="1" t="n">
        <v>45478</v>
      </c>
      <c r="C9615" s="1" t="n">
        <v>45505</v>
      </c>
      <c r="D9615" t="inlineStr">
        <is>
          <t>ÖSTERGÖTLANDS LÄN</t>
        </is>
      </c>
      <c r="E9615" t="inlineStr">
        <is>
          <t>SÖDERKÖPING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28578-2024</t>
        </is>
      </c>
      <c r="B9616" s="1" t="n">
        <v>45478</v>
      </c>
      <c r="C9616" s="1" t="n">
        <v>45505</v>
      </c>
      <c r="D9616" t="inlineStr">
        <is>
          <t>ÖSTERGÖTLANDS LÄN</t>
        </is>
      </c>
      <c r="E9616" t="inlineStr">
        <is>
          <t>SÖDERKÖPING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28606-2024</t>
        </is>
      </c>
      <c r="B9617" s="1" t="n">
        <v>45478</v>
      </c>
      <c r="C9617" s="1" t="n">
        <v>45505</v>
      </c>
      <c r="D9617" t="inlineStr">
        <is>
          <t>ÖSTERGÖTLANDS LÄN</t>
        </is>
      </c>
      <c r="E9617" t="inlineStr">
        <is>
          <t>SÖDERKÖPING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28689-2024</t>
        </is>
      </c>
      <c r="B9618" s="1" t="n">
        <v>45478</v>
      </c>
      <c r="C9618" s="1" t="n">
        <v>45505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28600-2024</t>
        </is>
      </c>
      <c r="B9619" s="1" t="n">
        <v>45478</v>
      </c>
      <c r="C9619" s="1" t="n">
        <v>45505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28844-2024</t>
        </is>
      </c>
      <c r="B9620" s="1" t="n">
        <v>45478</v>
      </c>
      <c r="C9620" s="1" t="n">
        <v>45505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4.5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28663-2024</t>
        </is>
      </c>
      <c r="B9621" s="1" t="n">
        <v>45478</v>
      </c>
      <c r="C9621" s="1" t="n">
        <v>45505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28756-2024</t>
        </is>
      </c>
      <c r="B9622" s="1" t="n">
        <v>45478</v>
      </c>
      <c r="C9622" s="1" t="n">
        <v>45505</v>
      </c>
      <c r="D9622" t="inlineStr">
        <is>
          <t>ÖSTERGÖTLANDS LÄN</t>
        </is>
      </c>
      <c r="E9622" t="inlineStr">
        <is>
          <t>ÅTVIDABERG</t>
        </is>
      </c>
      <c r="G9622" t="n">
        <v>12.6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28842-2024</t>
        </is>
      </c>
      <c r="B9623" s="1" t="n">
        <v>45478</v>
      </c>
      <c r="C9623" s="1" t="n">
        <v>45505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28967-2024</t>
        </is>
      </c>
      <c r="B9624" s="1" t="n">
        <v>45481</v>
      </c>
      <c r="C9624" s="1" t="n">
        <v>45505</v>
      </c>
      <c r="D9624" t="inlineStr">
        <is>
          <t>ÖSTERGÖTLANDS LÄN</t>
        </is>
      </c>
      <c r="E9624" t="inlineStr">
        <is>
          <t>KINDA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29041-2024</t>
        </is>
      </c>
      <c r="B9625" s="1" t="n">
        <v>45481</v>
      </c>
      <c r="C9625" s="1" t="n">
        <v>45505</v>
      </c>
      <c r="D9625" t="inlineStr">
        <is>
          <t>ÖSTERGÖTLANDS LÄN</t>
        </is>
      </c>
      <c r="E9625" t="inlineStr">
        <is>
          <t>VALDEMARSVIK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29050-2024</t>
        </is>
      </c>
      <c r="B9626" s="1" t="n">
        <v>45481</v>
      </c>
      <c r="C9626" s="1" t="n">
        <v>45505</v>
      </c>
      <c r="D9626" t="inlineStr">
        <is>
          <t>ÖSTERGÖTLANDS LÄN</t>
        </is>
      </c>
      <c r="E9626" t="inlineStr">
        <is>
          <t>KINDA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29044-2024</t>
        </is>
      </c>
      <c r="B9627" s="1" t="n">
        <v>45481</v>
      </c>
      <c r="C9627" s="1" t="n">
        <v>45505</v>
      </c>
      <c r="D9627" t="inlineStr">
        <is>
          <t>ÖSTERGÖTLANDS LÄN</t>
        </is>
      </c>
      <c r="E9627" t="inlineStr">
        <is>
          <t>VALDEMARSVIK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29052-2024</t>
        </is>
      </c>
      <c r="B9628" s="1" t="n">
        <v>45481</v>
      </c>
      <c r="C9628" s="1" t="n">
        <v>45505</v>
      </c>
      <c r="D9628" t="inlineStr">
        <is>
          <t>ÖSTERGÖTLANDS LÄN</t>
        </is>
      </c>
      <c r="E9628" t="inlineStr">
        <is>
          <t>NORRKÖPING</t>
        </is>
      </c>
      <c r="G9628" t="n">
        <v>9.5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28994-2024</t>
        </is>
      </c>
      <c r="B9629" s="1" t="n">
        <v>45481</v>
      </c>
      <c r="C9629" s="1" t="n">
        <v>45505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29047-2024</t>
        </is>
      </c>
      <c r="B9630" s="1" t="n">
        <v>45481</v>
      </c>
      <c r="C9630" s="1" t="n">
        <v>45505</v>
      </c>
      <c r="D9630" t="inlineStr">
        <is>
          <t>ÖSTERGÖTLANDS LÄN</t>
        </is>
      </c>
      <c r="E9630" t="inlineStr">
        <is>
          <t>SÖDERKÖPING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29222-2024</t>
        </is>
      </c>
      <c r="B9631" s="1" t="n">
        <v>45482</v>
      </c>
      <c r="C9631" s="1" t="n">
        <v>45505</v>
      </c>
      <c r="D9631" t="inlineStr">
        <is>
          <t>ÖSTERGÖTLANDS LÄN</t>
        </is>
      </c>
      <c r="E9631" t="inlineStr">
        <is>
          <t>MOTALA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29226-2024</t>
        </is>
      </c>
      <c r="B9632" s="1" t="n">
        <v>45482</v>
      </c>
      <c r="C9632" s="1" t="n">
        <v>45505</v>
      </c>
      <c r="D9632" t="inlineStr">
        <is>
          <t>ÖSTERGÖTLANDS LÄN</t>
        </is>
      </c>
      <c r="E9632" t="inlineStr">
        <is>
          <t>MOTALA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45505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29349-2024</t>
        </is>
      </c>
      <c r="B9634" s="1" t="n">
        <v>45483</v>
      </c>
      <c r="C9634" s="1" t="n">
        <v>45505</v>
      </c>
      <c r="D9634" t="inlineStr">
        <is>
          <t>ÖSTERGÖTLANDS LÄN</t>
        </is>
      </c>
      <c r="E9634" t="inlineStr">
        <is>
          <t>ÅTVIDABERG</t>
        </is>
      </c>
      <c r="G9634" t="n">
        <v>2.8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29324-2024</t>
        </is>
      </c>
      <c r="B9635" s="1" t="n">
        <v>45483</v>
      </c>
      <c r="C9635" s="1" t="n">
        <v>45505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29325-2024</t>
        </is>
      </c>
      <c r="B9636" s="1" t="n">
        <v>45483</v>
      </c>
      <c r="C9636" s="1" t="n">
        <v>45505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5.9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29303-2024</t>
        </is>
      </c>
      <c r="B9637" s="1" t="n">
        <v>45483</v>
      </c>
      <c r="C9637" s="1" t="n">
        <v>45505</v>
      </c>
      <c r="D9637" t="inlineStr">
        <is>
          <t>ÖSTERGÖTLANDS LÄN</t>
        </is>
      </c>
      <c r="E9637" t="inlineStr">
        <is>
          <t>LINKÖPING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29307-2024</t>
        </is>
      </c>
      <c r="B9638" s="1" t="n">
        <v>45483</v>
      </c>
      <c r="C9638" s="1" t="n">
        <v>45505</v>
      </c>
      <c r="D9638" t="inlineStr">
        <is>
          <t>ÖSTERGÖTLANDS LÄN</t>
        </is>
      </c>
      <c r="E9638" t="inlineStr">
        <is>
          <t>LINKÖPING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29309-2024</t>
        </is>
      </c>
      <c r="B9639" s="1" t="n">
        <v>45483</v>
      </c>
      <c r="C9639" s="1" t="n">
        <v>45505</v>
      </c>
      <c r="D9639" t="inlineStr">
        <is>
          <t>ÖSTERGÖTLANDS LÄN</t>
        </is>
      </c>
      <c r="E9639" t="inlineStr">
        <is>
          <t>LINKÖPING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29447-2024</t>
        </is>
      </c>
      <c r="B9640" s="1" t="n">
        <v>45483</v>
      </c>
      <c r="C9640" s="1" t="n">
        <v>45505</v>
      </c>
      <c r="D9640" t="inlineStr">
        <is>
          <t>ÖSTERGÖTLANDS LÄN</t>
        </is>
      </c>
      <c r="E9640" t="inlineStr">
        <is>
          <t>KINDA</t>
        </is>
      </c>
      <c r="G9640" t="n">
        <v>2.5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29443-2024</t>
        </is>
      </c>
      <c r="B9641" s="1" t="n">
        <v>45483</v>
      </c>
      <c r="C9641" s="1" t="n">
        <v>45505</v>
      </c>
      <c r="D9641" t="inlineStr">
        <is>
          <t>ÖSTERGÖTLANDS LÄN</t>
        </is>
      </c>
      <c r="E9641" t="inlineStr">
        <is>
          <t>KINDA</t>
        </is>
      </c>
      <c r="G9641" t="n">
        <v>5.4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29312-2024</t>
        </is>
      </c>
      <c r="B9642" s="1" t="n">
        <v>45483</v>
      </c>
      <c r="C9642" s="1" t="n">
        <v>45505</v>
      </c>
      <c r="D9642" t="inlineStr">
        <is>
          <t>ÖSTERGÖTLANDS LÄN</t>
        </is>
      </c>
      <c r="E9642" t="inlineStr">
        <is>
          <t>LINKÖPING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29445-2024</t>
        </is>
      </c>
      <c r="B9643" s="1" t="n">
        <v>45483</v>
      </c>
      <c r="C9643" s="1" t="n">
        <v>45505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29446-2024</t>
        </is>
      </c>
      <c r="B9644" s="1" t="n">
        <v>45483</v>
      </c>
      <c r="C9644" s="1" t="n">
        <v>45505</v>
      </c>
      <c r="D9644" t="inlineStr">
        <is>
          <t>ÖSTERGÖTLANDS LÄN</t>
        </is>
      </c>
      <c r="E9644" t="inlineStr">
        <is>
          <t>KINDA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29442-2024</t>
        </is>
      </c>
      <c r="B9645" s="1" t="n">
        <v>45483</v>
      </c>
      <c r="C9645" s="1" t="n">
        <v>45505</v>
      </c>
      <c r="D9645" t="inlineStr">
        <is>
          <t>ÖSTERGÖTLANDS LÄN</t>
        </is>
      </c>
      <c r="E9645" t="inlineStr">
        <is>
          <t>KINDA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29525-2024</t>
        </is>
      </c>
      <c r="B9646" s="1" t="n">
        <v>45484</v>
      </c>
      <c r="C9646" s="1" t="n">
        <v>45505</v>
      </c>
      <c r="D9646" t="inlineStr">
        <is>
          <t>ÖSTERGÖTLANDS LÄN</t>
        </is>
      </c>
      <c r="E9646" t="inlineStr">
        <is>
          <t>MOTALA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29607-2024</t>
        </is>
      </c>
      <c r="B9647" s="1" t="n">
        <v>45484</v>
      </c>
      <c r="C9647" s="1" t="n">
        <v>45505</v>
      </c>
      <c r="D9647" t="inlineStr">
        <is>
          <t>ÖSTERGÖTLANDS LÄN</t>
        </is>
      </c>
      <c r="E9647" t="inlineStr">
        <is>
          <t>YDRE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29615-2024</t>
        </is>
      </c>
      <c r="B9648" s="1" t="n">
        <v>45484</v>
      </c>
      <c r="C9648" s="1" t="n">
        <v>45505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Holmen skog AB</t>
        </is>
      </c>
      <c r="G9648" t="n">
        <v>7.3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29516-2024</t>
        </is>
      </c>
      <c r="B9649" s="1" t="n">
        <v>45484</v>
      </c>
      <c r="C9649" s="1" t="n">
        <v>45505</v>
      </c>
      <c r="D9649" t="inlineStr">
        <is>
          <t>ÖSTERGÖTLANDS LÄN</t>
        </is>
      </c>
      <c r="E9649" t="inlineStr">
        <is>
          <t>KINDA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29605-2024</t>
        </is>
      </c>
      <c r="B9650" s="1" t="n">
        <v>45484</v>
      </c>
      <c r="C9650" s="1" t="n">
        <v>45505</v>
      </c>
      <c r="D9650" t="inlineStr">
        <is>
          <t>ÖSTERGÖTLANDS LÄN</t>
        </is>
      </c>
      <c r="E9650" t="inlineStr">
        <is>
          <t>YDRE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29507-2024</t>
        </is>
      </c>
      <c r="B9651" s="1" t="n">
        <v>45484</v>
      </c>
      <c r="C9651" s="1" t="n">
        <v>45505</v>
      </c>
      <c r="D9651" t="inlineStr">
        <is>
          <t>ÖSTERGÖTLANDS LÄN</t>
        </is>
      </c>
      <c r="E9651" t="inlineStr">
        <is>
          <t>KINDA</t>
        </is>
      </c>
      <c r="G9651" t="n">
        <v>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29523-2024</t>
        </is>
      </c>
      <c r="B9652" s="1" t="n">
        <v>45484</v>
      </c>
      <c r="C9652" s="1" t="n">
        <v>45505</v>
      </c>
      <c r="D9652" t="inlineStr">
        <is>
          <t>ÖSTERGÖTLANDS LÄN</t>
        </is>
      </c>
      <c r="E9652" t="inlineStr">
        <is>
          <t>MOTALA</t>
        </is>
      </c>
      <c r="G9652" t="n">
        <v>4.8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45505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29716-2024</t>
        </is>
      </c>
      <c r="B9654" s="1" t="n">
        <v>45485</v>
      </c>
      <c r="C9654" s="1" t="n">
        <v>45505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11.4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29776-2024</t>
        </is>
      </c>
      <c r="B9655" s="1" t="n">
        <v>45485</v>
      </c>
      <c r="C9655" s="1" t="n">
        <v>45505</v>
      </c>
      <c r="D9655" t="inlineStr">
        <is>
          <t>ÖSTERGÖTLANDS LÄN</t>
        </is>
      </c>
      <c r="E9655" t="inlineStr">
        <is>
          <t>VALDEMARSVIK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29792-2024</t>
        </is>
      </c>
      <c r="B9656" s="1" t="n">
        <v>45485</v>
      </c>
      <c r="C9656" s="1" t="n">
        <v>45505</v>
      </c>
      <c r="D9656" t="inlineStr">
        <is>
          <t>ÖSTERGÖTLANDS LÄN</t>
        </is>
      </c>
      <c r="E9656" t="inlineStr">
        <is>
          <t>KINDA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30088-2024</t>
        </is>
      </c>
      <c r="B9657" s="1" t="n">
        <v>45485</v>
      </c>
      <c r="C9657" s="1" t="n">
        <v>45505</v>
      </c>
      <c r="D9657" t="inlineStr">
        <is>
          <t>ÖSTERGÖTLANDS LÄN</t>
        </is>
      </c>
      <c r="E9657" t="inlineStr">
        <is>
          <t>YDRE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29858-2024</t>
        </is>
      </c>
      <c r="B9658" s="1" t="n">
        <v>45485</v>
      </c>
      <c r="C9658" s="1" t="n">
        <v>45505</v>
      </c>
      <c r="D9658" t="inlineStr">
        <is>
          <t>ÖSTERGÖTLANDS LÄN</t>
        </is>
      </c>
      <c r="E9658" t="inlineStr">
        <is>
          <t>LINKÖPING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29846-2024</t>
        </is>
      </c>
      <c r="B9659" s="1" t="n">
        <v>45485</v>
      </c>
      <c r="C9659" s="1" t="n">
        <v>45505</v>
      </c>
      <c r="D9659" t="inlineStr">
        <is>
          <t>ÖSTERGÖTLANDS LÄN</t>
        </is>
      </c>
      <c r="E9659" t="inlineStr">
        <is>
          <t>NORRKÖPING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29859-2024</t>
        </is>
      </c>
      <c r="B9660" s="1" t="n">
        <v>45485</v>
      </c>
      <c r="C9660" s="1" t="n">
        <v>45505</v>
      </c>
      <c r="D9660" t="inlineStr">
        <is>
          <t>ÖSTERGÖTLANDS LÄN</t>
        </is>
      </c>
      <c r="E9660" t="inlineStr">
        <is>
          <t>LINKÖPING</t>
        </is>
      </c>
      <c r="G9660" t="n">
        <v>0.4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29826-2024</t>
        </is>
      </c>
      <c r="B9661" s="1" t="n">
        <v>45485</v>
      </c>
      <c r="C9661" s="1" t="n">
        <v>45505</v>
      </c>
      <c r="D9661" t="inlineStr">
        <is>
          <t>ÖSTERGÖTLANDS LÄN</t>
        </is>
      </c>
      <c r="E9661" t="inlineStr">
        <is>
          <t>ÅTVIDABERG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29822-2024</t>
        </is>
      </c>
      <c r="B9662" s="1" t="n">
        <v>45485</v>
      </c>
      <c r="C9662" s="1" t="n">
        <v>45505</v>
      </c>
      <c r="D9662" t="inlineStr">
        <is>
          <t>ÖSTERGÖTLANDS LÄN</t>
        </is>
      </c>
      <c r="E9662" t="inlineStr">
        <is>
          <t>ÅTVIDABERG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29806-2024</t>
        </is>
      </c>
      <c r="B9663" s="1" t="n">
        <v>45485</v>
      </c>
      <c r="C9663" s="1" t="n">
        <v>45505</v>
      </c>
      <c r="D9663" t="inlineStr">
        <is>
          <t>ÖSTERGÖTLANDS LÄN</t>
        </is>
      </c>
      <c r="E9663" t="inlineStr">
        <is>
          <t>NORRKÖPING</t>
        </is>
      </c>
      <c r="G9663" t="n">
        <v>7.3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29794-2024</t>
        </is>
      </c>
      <c r="B9664" s="1" t="n">
        <v>45485</v>
      </c>
      <c r="C9664" s="1" t="n">
        <v>45505</v>
      </c>
      <c r="D9664" t="inlineStr">
        <is>
          <t>ÖSTERGÖTLANDS LÄN</t>
        </is>
      </c>
      <c r="E9664" t="inlineStr">
        <is>
          <t>KINDA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30084-2024</t>
        </is>
      </c>
      <c r="B9665" s="1" t="n">
        <v>45485</v>
      </c>
      <c r="C9665" s="1" t="n">
        <v>45505</v>
      </c>
      <c r="D9665" t="inlineStr">
        <is>
          <t>ÖSTERGÖTLANDS LÄN</t>
        </is>
      </c>
      <c r="E9665" t="inlineStr">
        <is>
          <t>YDRE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29727-2024</t>
        </is>
      </c>
      <c r="B9666" s="1" t="n">
        <v>45485</v>
      </c>
      <c r="C9666" s="1" t="n">
        <v>45505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Holmen skog AB</t>
        </is>
      </c>
      <c r="G9666" t="n">
        <v>5.2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29703-2024</t>
        </is>
      </c>
      <c r="B9667" s="1" t="n">
        <v>45485</v>
      </c>
      <c r="C9667" s="1" t="n">
        <v>45505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29857-2024</t>
        </is>
      </c>
      <c r="B9668" s="1" t="n">
        <v>45485</v>
      </c>
      <c r="C9668" s="1" t="n">
        <v>45505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Kommuner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30085-2024</t>
        </is>
      </c>
      <c r="B9669" s="1" t="n">
        <v>45485</v>
      </c>
      <c r="C9669" s="1" t="n">
        <v>45505</v>
      </c>
      <c r="D9669" t="inlineStr">
        <is>
          <t>ÖSTERGÖTLANDS LÄN</t>
        </is>
      </c>
      <c r="E9669" t="inlineStr">
        <is>
          <t>YDRE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29825-2024</t>
        </is>
      </c>
      <c r="B9670" s="1" t="n">
        <v>45485</v>
      </c>
      <c r="C9670" s="1" t="n">
        <v>45505</v>
      </c>
      <c r="D9670" t="inlineStr">
        <is>
          <t>ÖSTERGÖTLANDS LÄN</t>
        </is>
      </c>
      <c r="E9670" t="inlineStr">
        <is>
          <t>ÅTVIDABERG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29777-2024</t>
        </is>
      </c>
      <c r="B9671" s="1" t="n">
        <v>45485</v>
      </c>
      <c r="C9671" s="1" t="n">
        <v>45505</v>
      </c>
      <c r="D9671" t="inlineStr">
        <is>
          <t>ÖSTERGÖTLANDS LÄN</t>
        </is>
      </c>
      <c r="E9671" t="inlineStr">
        <is>
          <t>VALDEMARSVIK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29741-2024</t>
        </is>
      </c>
      <c r="B9672" s="1" t="n">
        <v>45485</v>
      </c>
      <c r="C9672" s="1" t="n">
        <v>45505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45505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45505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30114-2024</t>
        </is>
      </c>
      <c r="B9675" s="1" t="n">
        <v>45489</v>
      </c>
      <c r="C9675" s="1" t="n">
        <v>45505</v>
      </c>
      <c r="D9675" t="inlineStr">
        <is>
          <t>ÖSTERGÖTLANDS LÄN</t>
        </is>
      </c>
      <c r="E9675" t="inlineStr">
        <is>
          <t>SÖDERKÖPING</t>
        </is>
      </c>
      <c r="G9675" t="n">
        <v>0.3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30111-2024</t>
        </is>
      </c>
      <c r="B9676" s="1" t="n">
        <v>45489</v>
      </c>
      <c r="C9676" s="1" t="n">
        <v>45505</v>
      </c>
      <c r="D9676" t="inlineStr">
        <is>
          <t>ÖSTERGÖTLANDS LÄN</t>
        </is>
      </c>
      <c r="E9676" t="inlineStr">
        <is>
          <t>LINKÖPING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30119-2024</t>
        </is>
      </c>
      <c r="B9677" s="1" t="n">
        <v>45489</v>
      </c>
      <c r="C9677" s="1" t="n">
        <v>45505</v>
      </c>
      <c r="D9677" t="inlineStr">
        <is>
          <t>ÖSTERGÖTLANDS LÄN</t>
        </is>
      </c>
      <c r="E9677" t="inlineStr">
        <is>
          <t>LINKÖPING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45505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30324-2024</t>
        </is>
      </c>
      <c r="B9679" s="1" t="n">
        <v>45491</v>
      </c>
      <c r="C9679" s="1" t="n">
        <v>45505</v>
      </c>
      <c r="D9679" t="inlineStr">
        <is>
          <t>ÖSTERGÖTLANDS LÄN</t>
        </is>
      </c>
      <c r="E9679" t="inlineStr">
        <is>
          <t>SÖDERKÖPING</t>
        </is>
      </c>
      <c r="G9679" t="n">
        <v>10.9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30315-2024</t>
        </is>
      </c>
      <c r="B9680" s="1" t="n">
        <v>45490</v>
      </c>
      <c r="C9680" s="1" t="n">
        <v>45505</v>
      </c>
      <c r="D9680" t="inlineStr">
        <is>
          <t>ÖSTERGÖTLANDS LÄN</t>
        </is>
      </c>
      <c r="E9680" t="inlineStr">
        <is>
          <t>NORRKÖPING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30210-2024</t>
        </is>
      </c>
      <c r="B9681" s="1" t="n">
        <v>45490</v>
      </c>
      <c r="C9681" s="1" t="n">
        <v>45505</v>
      </c>
      <c r="D9681" t="inlineStr">
        <is>
          <t>ÖSTERGÖTLANDS LÄN</t>
        </is>
      </c>
      <c r="E9681" t="inlineStr">
        <is>
          <t>BOXHOLM</t>
        </is>
      </c>
      <c r="F9681" t="inlineStr">
        <is>
          <t>Övriga Aktiebolag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30322-2024</t>
        </is>
      </c>
      <c r="B9682" s="1" t="n">
        <v>45490</v>
      </c>
      <c r="C9682" s="1" t="n">
        <v>45505</v>
      </c>
      <c r="D9682" t="inlineStr">
        <is>
          <t>ÖSTERGÖTLANDS LÄN</t>
        </is>
      </c>
      <c r="E9682" t="inlineStr">
        <is>
          <t>SÖDERKÖPING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30434-2024</t>
        </is>
      </c>
      <c r="B9683" s="1" t="n">
        <v>45491</v>
      </c>
      <c r="C9683" s="1" t="n">
        <v>45505</v>
      </c>
      <c r="D9683" t="inlineStr">
        <is>
          <t>ÖSTERGÖTLANDS LÄN</t>
        </is>
      </c>
      <c r="E9683" t="inlineStr">
        <is>
          <t>LINKÖPING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30389-2024</t>
        </is>
      </c>
      <c r="B9684" s="1" t="n">
        <v>45491</v>
      </c>
      <c r="C9684" s="1" t="n">
        <v>45505</v>
      </c>
      <c r="D9684" t="inlineStr">
        <is>
          <t>ÖSTERGÖTLANDS LÄN</t>
        </is>
      </c>
      <c r="E9684" t="inlineStr">
        <is>
          <t>ÖDESHÖG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30429-2024</t>
        </is>
      </c>
      <c r="B9685" s="1" t="n">
        <v>45491</v>
      </c>
      <c r="C9685" s="1" t="n">
        <v>45505</v>
      </c>
      <c r="D9685" t="inlineStr">
        <is>
          <t>ÖSTERGÖTLANDS LÄN</t>
        </is>
      </c>
      <c r="E9685" t="inlineStr">
        <is>
          <t>LINKÖPING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30433-2024</t>
        </is>
      </c>
      <c r="B9686" s="1" t="n">
        <v>45491</v>
      </c>
      <c r="C9686" s="1" t="n">
        <v>45505</v>
      </c>
      <c r="D9686" t="inlineStr">
        <is>
          <t>ÖSTERGÖTLANDS LÄN</t>
        </is>
      </c>
      <c r="E9686" t="inlineStr">
        <is>
          <t>LINKÖPING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30388-2024</t>
        </is>
      </c>
      <c r="B9687" s="1" t="n">
        <v>45491</v>
      </c>
      <c r="C9687" s="1" t="n">
        <v>45505</v>
      </c>
      <c r="D9687" t="inlineStr">
        <is>
          <t>ÖSTERGÖTLANDS LÄN</t>
        </is>
      </c>
      <c r="E9687" t="inlineStr">
        <is>
          <t>ÖDESHÖG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30432-2024</t>
        </is>
      </c>
      <c r="B9688" s="1" t="n">
        <v>45491</v>
      </c>
      <c r="C9688" s="1" t="n">
        <v>45505</v>
      </c>
      <c r="D9688" t="inlineStr">
        <is>
          <t>ÖSTERGÖTLANDS LÄN</t>
        </is>
      </c>
      <c r="E9688" t="inlineStr">
        <is>
          <t>LINKÖPING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30435-2024</t>
        </is>
      </c>
      <c r="B9689" s="1" t="n">
        <v>45491</v>
      </c>
      <c r="C9689" s="1" t="n">
        <v>45505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30517-2024</t>
        </is>
      </c>
      <c r="B9690" s="1" t="n">
        <v>45492</v>
      </c>
      <c r="C9690" s="1" t="n">
        <v>45505</v>
      </c>
      <c r="D9690" t="inlineStr">
        <is>
          <t>ÖSTERGÖTLANDS LÄN</t>
        </is>
      </c>
      <c r="E9690" t="inlineStr">
        <is>
          <t>LINKÖPING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30521-2024</t>
        </is>
      </c>
      <c r="B9691" s="1" t="n">
        <v>45492</v>
      </c>
      <c r="C9691" s="1" t="n">
        <v>45505</v>
      </c>
      <c r="D9691" t="inlineStr">
        <is>
          <t>ÖSTERGÖTLANDS LÄN</t>
        </is>
      </c>
      <c r="E9691" t="inlineStr">
        <is>
          <t>LINKÖPING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30518-2024</t>
        </is>
      </c>
      <c r="B9692" s="1" t="n">
        <v>45492</v>
      </c>
      <c r="C9692" s="1" t="n">
        <v>45505</v>
      </c>
      <c r="D9692" t="inlineStr">
        <is>
          <t>ÖSTERGÖTLANDS LÄN</t>
        </is>
      </c>
      <c r="E9692" t="inlineStr">
        <is>
          <t>LINKÖPING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30519-2024</t>
        </is>
      </c>
      <c r="B9693" s="1" t="n">
        <v>45492</v>
      </c>
      <c r="C9693" s="1" t="n">
        <v>45505</v>
      </c>
      <c r="D9693" t="inlineStr">
        <is>
          <t>ÖSTERGÖTLANDS LÄN</t>
        </is>
      </c>
      <c r="E9693" t="inlineStr">
        <is>
          <t>LINKÖPING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30516-2024</t>
        </is>
      </c>
      <c r="B9694" s="1" t="n">
        <v>45492</v>
      </c>
      <c r="C9694" s="1" t="n">
        <v>45505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30554-2024</t>
        </is>
      </c>
      <c r="B9695" s="1" t="n">
        <v>45492</v>
      </c>
      <c r="C9695" s="1" t="n">
        <v>45505</v>
      </c>
      <c r="D9695" t="inlineStr">
        <is>
          <t>ÖSTERGÖTLANDS LÄN</t>
        </is>
      </c>
      <c r="E9695" t="inlineStr">
        <is>
          <t>YDRE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30678-2024</t>
        </is>
      </c>
      <c r="B9696" s="1" t="n">
        <v>45495</v>
      </c>
      <c r="C9696" s="1" t="n">
        <v>45505</v>
      </c>
      <c r="D9696" t="inlineStr">
        <is>
          <t>ÖSTERGÖTLANDS LÄN</t>
        </is>
      </c>
      <c r="E9696" t="inlineStr">
        <is>
          <t>LINKÖPING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30673-2024</t>
        </is>
      </c>
      <c r="B9697" s="1" t="n">
        <v>45495</v>
      </c>
      <c r="C9697" s="1" t="n">
        <v>45505</v>
      </c>
      <c r="D9697" t="inlineStr">
        <is>
          <t>ÖSTERGÖTLANDS LÄN</t>
        </is>
      </c>
      <c r="E9697" t="inlineStr">
        <is>
          <t>VALDEMARSVIK</t>
        </is>
      </c>
      <c r="G9697" t="n">
        <v>2.9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45505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45505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30929-2024</t>
        </is>
      </c>
      <c r="B9700" s="1" t="n">
        <v>45498</v>
      </c>
      <c r="C9700" s="1" t="n">
        <v>45505</v>
      </c>
      <c r="D9700" t="inlineStr">
        <is>
          <t>ÖSTERGÖTLANDS LÄN</t>
        </is>
      </c>
      <c r="E9700" t="inlineStr">
        <is>
          <t>FINSPÅNG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30932-2024</t>
        </is>
      </c>
      <c r="B9701" s="1" t="n">
        <v>45498</v>
      </c>
      <c r="C9701" s="1" t="n">
        <v>45505</v>
      </c>
      <c r="D9701" t="inlineStr">
        <is>
          <t>ÖSTERGÖTLANDS LÄN</t>
        </is>
      </c>
      <c r="E9701" t="inlineStr">
        <is>
          <t>FINSPÅNG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30930-2024</t>
        </is>
      </c>
      <c r="B9702" s="1" t="n">
        <v>45498</v>
      </c>
      <c r="C9702" s="1" t="n">
        <v>45505</v>
      </c>
      <c r="D9702" t="inlineStr">
        <is>
          <t>ÖSTERGÖTLANDS LÄN</t>
        </is>
      </c>
      <c r="E9702" t="inlineStr">
        <is>
          <t>FINSPÅNG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31042-2024</t>
        </is>
      </c>
      <c r="B9703" s="1" t="n">
        <v>45502</v>
      </c>
      <c r="C9703" s="1" t="n">
        <v>45505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31062-2024</t>
        </is>
      </c>
      <c r="B9704" s="1" t="n">
        <v>45502</v>
      </c>
      <c r="C9704" s="1" t="n">
        <v>45505</v>
      </c>
      <c r="D9704" t="inlineStr">
        <is>
          <t>ÖSTERGÖTLANDS LÄN</t>
        </is>
      </c>
      <c r="E9704" t="inlineStr">
        <is>
          <t>YDRE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31055-2024</t>
        </is>
      </c>
      <c r="B9705" s="1" t="n">
        <v>45502</v>
      </c>
      <c r="C9705" s="1" t="n">
        <v>45505</v>
      </c>
      <c r="D9705" t="inlineStr">
        <is>
          <t>ÖSTERGÖTLANDS LÄN</t>
        </is>
      </c>
      <c r="E9705" t="inlineStr">
        <is>
          <t>YDRE</t>
        </is>
      </c>
      <c r="G9705" t="n">
        <v>2.3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31310-2024</t>
        </is>
      </c>
      <c r="B9706" s="1" t="n">
        <v>45504</v>
      </c>
      <c r="C9706" s="1" t="n">
        <v>45505</v>
      </c>
      <c r="D9706" t="inlineStr">
        <is>
          <t>ÖSTERGÖTLANDS LÄN</t>
        </is>
      </c>
      <c r="E9706" t="inlineStr">
        <is>
          <t>SÖDERKÖPING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31315-2024</t>
        </is>
      </c>
      <c r="B9707" s="1" t="n">
        <v>45504</v>
      </c>
      <c r="C9707" s="1" t="n">
        <v>45505</v>
      </c>
      <c r="D9707" t="inlineStr">
        <is>
          <t>ÖSTERGÖTLANDS LÄN</t>
        </is>
      </c>
      <c r="E9707" t="inlineStr">
        <is>
          <t>SÖDERKÖPING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31308-2024</t>
        </is>
      </c>
      <c r="B9708" s="1" t="n">
        <v>45504</v>
      </c>
      <c r="C9708" s="1" t="n">
        <v>45505</v>
      </c>
      <c r="D9708" t="inlineStr">
        <is>
          <t>ÖSTERGÖTLANDS LÄN</t>
        </is>
      </c>
      <c r="E9708" t="inlineStr">
        <is>
          <t>SÖDERKÖPING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31313-2024</t>
        </is>
      </c>
      <c r="B9709" s="1" t="n">
        <v>45504</v>
      </c>
      <c r="C9709" s="1" t="n">
        <v>45505</v>
      </c>
      <c r="D9709" t="inlineStr">
        <is>
          <t>ÖSTERGÖTLANDS LÄN</t>
        </is>
      </c>
      <c r="E9709" t="inlineStr">
        <is>
          <t>SÖDERKÖPING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31312-2024</t>
        </is>
      </c>
      <c r="B9710" s="1" t="n">
        <v>45504</v>
      </c>
      <c r="C9710" s="1" t="n">
        <v>45505</v>
      </c>
      <c r="D9710" t="inlineStr">
        <is>
          <t>ÖSTERGÖTLANDS LÄN</t>
        </is>
      </c>
      <c r="E9710" t="inlineStr">
        <is>
          <t>SÖDERKÖPING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31342-2024</t>
        </is>
      </c>
      <c r="B9711" s="1" t="n">
        <v>45504</v>
      </c>
      <c r="C9711" s="1" t="n">
        <v>45505</v>
      </c>
      <c r="D9711" t="inlineStr">
        <is>
          <t>ÖSTERGÖTLANDS LÄN</t>
        </is>
      </c>
      <c r="E9711" t="inlineStr">
        <is>
          <t>NORRKÖPING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31305-2024</t>
        </is>
      </c>
      <c r="B9712" s="1" t="n">
        <v>45504</v>
      </c>
      <c r="C9712" s="1" t="n">
        <v>45505</v>
      </c>
      <c r="D9712" t="inlineStr">
        <is>
          <t>ÖSTERGÖTLANDS LÄN</t>
        </is>
      </c>
      <c r="E9712" t="inlineStr">
        <is>
          <t>SÖDERKÖPING</t>
        </is>
      </c>
      <c r="G9712" t="n">
        <v>5.3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>
      <c r="A9713" t="inlineStr">
        <is>
          <t>A 31314-2024</t>
        </is>
      </c>
      <c r="B9713" s="1" t="n">
        <v>45504</v>
      </c>
      <c r="C9713" s="1" t="n">
        <v>45505</v>
      </c>
      <c r="D9713" t="inlineStr">
        <is>
          <t>ÖSTERGÖTLANDS LÄN</t>
        </is>
      </c>
      <c r="E9713" t="inlineStr">
        <is>
          <t>SÖDERKÖPING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2024-08-01T10:39:44Z</dcterms:created>
  <dcterms:modified xmlns:dcterms="http://purl.org/dc/terms/" xmlns:xsi="http://www.w3.org/2001/XMLSchema-instance" xsi:type="dcterms:W3CDTF">2024-08-01T10:39:52Z</dcterms:modified>
</cp:coreProperties>
</file>