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45512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45512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45512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45512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45512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45512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45512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45512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45512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45512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45512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45512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45512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45512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45512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45512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45512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45512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45512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45512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45512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45512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45512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45512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45512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45512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45512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45512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45512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45512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45512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45512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45512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45512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45512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45512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45512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45512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45512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45512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45512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45512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45512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45512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45512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45512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45512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45512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45512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45512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45512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45512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45512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45512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45512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45512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45512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45512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45512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45512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45512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45512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45512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45512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45512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45512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45512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45512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45512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45512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45512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45512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45512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45512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45512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45512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45512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45512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45512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45512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45512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45512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45512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45512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45512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45512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45512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45512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45512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45512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45512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45512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45512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45512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45512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45512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45512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45512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45512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45512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45512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45512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45512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45512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45512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45512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45512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45512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45512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45512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45512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45512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45512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45512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45512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45512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45512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45512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45512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45512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45512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45512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45512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45512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45512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45512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45512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45512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45512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45512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45512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45512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45512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45512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45512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45512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45512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45512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45512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45512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45512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45512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45512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45512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45512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45512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45512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45512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45512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45512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45512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45512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45512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45512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45512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45512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45512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45512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45512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45512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45512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45512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45512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45512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45512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45512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45512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45512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45512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45512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45512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45512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45512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45512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45512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45512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45512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45512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45512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45512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45512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45512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45512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45512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45512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45512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45512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45512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45512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45512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45512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45512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45512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45512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45512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45512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45512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45512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45512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45512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45512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45512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45512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45512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45512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45512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45512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45512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45512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45512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45512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45512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45512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45512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45512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45512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45512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45512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45512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45512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45512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45512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45512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45512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45512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45512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45512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45512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45512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45512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45512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45512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45512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45512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45512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45512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45512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45512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45512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45512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45512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45512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45512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45512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45512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45512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45512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45512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45512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45512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45512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45512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45512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45512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45512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45512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45512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45512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45512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45512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45512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45512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45512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45512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45512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45512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45512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45512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45512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45512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45512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45512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45512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45512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45512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45512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45512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45512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45512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45512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45512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45512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45512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45512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45512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45512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45512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45512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45512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45512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45512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45512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45512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45512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45512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45512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45512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45512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45512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45512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45512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45512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45512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45512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45512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45512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45512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45512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45512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45512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45512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45512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45512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45512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45512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45512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45512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45512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45512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45512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45512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45512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45512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45512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45512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45512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45512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45512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45512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45512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45512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45512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45512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45512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45512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45512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45512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45512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45512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45512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45512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45512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45512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45512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45512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45512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45512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45512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45512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45512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45512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45512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45512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45512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45512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45512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45512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45512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45512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45512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45512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45512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45512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45512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45512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45512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45512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45512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45512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45512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45512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45512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45512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45512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45512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45512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45512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45512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45512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45512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45512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45512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45512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45512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45512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45512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45512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45512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45512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45512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45512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45512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45512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45512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45512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45512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45512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45512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45512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45512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45512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45512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45512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45512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45512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45512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45512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45512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45512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45512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45512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45512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45512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45512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45512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45512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45512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45512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45512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45512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45512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45512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45512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45512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45512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45512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45512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45512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45512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45512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45512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45512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45512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45512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45512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45512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45512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45512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45512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45512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45512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45512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45512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45512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45512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45512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45512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45512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45512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45512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45512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45512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45512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45512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45512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45512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45512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45512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45512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45512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45512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45512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45512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45512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45512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45512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45512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45512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45512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45512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45512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45512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45512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45512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45512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45512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45512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45512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45512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45512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45512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45512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45512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45512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45512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45512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45512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45512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45512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45512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45512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45512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45512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45512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45512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45512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45512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45512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45512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45512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45512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45512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45512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45512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45512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45512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45512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45512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45512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45512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45512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45512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45512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45512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45512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45512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45512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45512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45512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45512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45512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45512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45512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45512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45512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45512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45512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45512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45512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45512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45512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45512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29509-2024</t>
        </is>
      </c>
      <c r="B540" s="1" t="n">
        <v>45484</v>
      </c>
      <c r="C540" s="1" t="n">
        <v>45512</v>
      </c>
      <c r="D540" t="inlineStr">
        <is>
          <t>ÖSTERGÖTLANDS LÄN</t>
        </is>
      </c>
      <c r="E540" t="inlineStr">
        <is>
          <t>KINDA</t>
        </is>
      </c>
      <c r="G540" t="n">
        <v>10.4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Månlåsbräken</t>
        </is>
      </c>
      <c r="S540">
        <f>HYPERLINK("https://klasma.github.io/Logging_0513/artfynd/A 29509-2024 artfynd.xlsx", "A 29509-2024")</f>
        <v/>
      </c>
      <c r="T540">
        <f>HYPERLINK("https://klasma.github.io/Logging_0513/kartor/A 29509-2024 karta.png", "A 29509-2024")</f>
        <v/>
      </c>
      <c r="V540">
        <f>HYPERLINK("https://klasma.github.io/Logging_0513/klagomål/A 29509-2024 FSC-klagomål.docx", "A 29509-2024")</f>
        <v/>
      </c>
      <c r="W540">
        <f>HYPERLINK("https://klasma.github.io/Logging_0513/klagomålsmail/A 29509-2024 FSC-klagomål mail.docx", "A 29509-2024")</f>
        <v/>
      </c>
      <c r="X540">
        <f>HYPERLINK("https://klasma.github.io/Logging_0513/tillsyn/A 29509-2024 tillsynsbegäran.docx", "A 29509-2024")</f>
        <v/>
      </c>
      <c r="Y540">
        <f>HYPERLINK("https://klasma.github.io/Logging_0513/tillsynsmail/A 29509-2024 tillsynsbegäran mail.docx", "A 29509-2024")</f>
        <v/>
      </c>
    </row>
    <row r="541" ht="15" customHeight="1">
      <c r="A541" t="inlineStr">
        <is>
          <t>A 29514-2024</t>
        </is>
      </c>
      <c r="B541" s="1" t="n">
        <v>45484</v>
      </c>
      <c r="C541" s="1" t="n">
        <v>45512</v>
      </c>
      <c r="D541" t="inlineStr">
        <is>
          <t>ÖSTERGÖTLANDS LÄN</t>
        </is>
      </c>
      <c r="E541" t="inlineStr">
        <is>
          <t>KINDA</t>
        </is>
      </c>
      <c r="G541" t="n">
        <v>18.9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Aspelandsfibbla</t>
        </is>
      </c>
      <c r="S541">
        <f>HYPERLINK("https://klasma.github.io/Logging_0513/artfynd/A 29514-2024 artfynd.xlsx", "A 29514-2024")</f>
        <v/>
      </c>
      <c r="T541">
        <f>HYPERLINK("https://klasma.github.io/Logging_0513/kartor/A 29514-2024 karta.png", "A 29514-2024")</f>
        <v/>
      </c>
      <c r="V541">
        <f>HYPERLINK("https://klasma.github.io/Logging_0513/klagomål/A 29514-2024 FSC-klagomål.docx", "A 29514-2024")</f>
        <v/>
      </c>
      <c r="W541">
        <f>HYPERLINK("https://klasma.github.io/Logging_0513/klagomålsmail/A 29514-2024 FSC-klagomål mail.docx", "A 29514-2024")</f>
        <v/>
      </c>
      <c r="X541">
        <f>HYPERLINK("https://klasma.github.io/Logging_0513/tillsyn/A 29514-2024 tillsynsbegäran.docx", "A 29514-2024")</f>
        <v/>
      </c>
      <c r="Y541">
        <f>HYPERLINK("https://klasma.github.io/Logging_0513/tillsynsmail/A 29514-2024 tillsynsbegäran mail.docx", "A 29514-2024")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45512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45512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45512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45512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45512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45512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45512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45512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45512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45512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45512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45512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45512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45512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45512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45512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45512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45512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45512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45512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45512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45512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45512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45512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45512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45512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45512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45512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45512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45512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45512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45512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45512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45512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45512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45512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45512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45512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45512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45512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45512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45512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45512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45512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45512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45512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45512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45512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45512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45512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45512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45512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45512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45512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45512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45512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45512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45512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45512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45512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45512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45512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45512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45512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45512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45512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45512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45512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45512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45512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45512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45512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45512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45512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45512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45512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45512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45512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45512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45512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45512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45512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45512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45512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45512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45512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45512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45512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45512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45512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45512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45512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45512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45512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45512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45512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45512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45512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45512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45512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45512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45512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45512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45512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45512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45512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45512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45512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45512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45512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45512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45512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45512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45512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45512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45512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45512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45512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45512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45512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45512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45512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45512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45512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45512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45512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45512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45512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45512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45512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45512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45512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45512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45512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45512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45512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45512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45512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45512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45512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45512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45512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45512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45512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45512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45512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45512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45512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45512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45512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45512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45512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45512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45512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45512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45512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45512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45512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45512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45512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45512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45512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45512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45512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45512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45512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45512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45512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45512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45512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45512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45512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45512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45512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45512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45512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45512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45512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45512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45512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45512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45512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45512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45512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45512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45512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45512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45512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45512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45512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45512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45512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45512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45512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45512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45512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45512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45512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45512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45512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45512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45512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45512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45512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45512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45512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45512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45512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45512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45512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45512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45512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45512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45512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45512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45512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45512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45512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45512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45512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45512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45512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45512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45512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45512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45512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45512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45512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45512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45512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45512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45512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45512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45512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45512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45512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45512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45512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45512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45512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45512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45512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45512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45512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45512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45512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45512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45512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45512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45512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45512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45512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45512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45512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45512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45512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45512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45512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45512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45512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45512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45512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45512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45512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45512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45512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45512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45512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45512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45512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45512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45512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45512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45512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45512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45512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45512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45512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45512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45512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45512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45512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45512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45512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45512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45512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45512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45512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45512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45512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45512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45512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45512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45512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45512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45512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45512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45512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45512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45512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45512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45512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45512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45512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45512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45512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45512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45512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45512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45512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45512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45512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45512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45512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45512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45512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45512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45512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45512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45512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45512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45512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45512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45512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45512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45512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45512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45512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45512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45512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45512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45512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45512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45512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45512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45512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45512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45512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45512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45512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45512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45512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45512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45512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45512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45512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45512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45512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45512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45512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45512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45512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45512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45512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45512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45512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45512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45512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45512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45512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45512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45512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45512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45512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45512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45512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45512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45512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45512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45512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45512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45512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45512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45512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45512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45512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45512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45512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45512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45512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45512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45512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45512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45512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45512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45512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45512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45512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45512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45512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45512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45512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45512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45512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45512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45512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45512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45512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45512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45512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45512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45512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45512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45512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45512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45512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45512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45512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45512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45512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45512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45512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45512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45512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45512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45512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45512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45512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45512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45512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45512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45512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45512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45512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45512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45512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45512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45512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45512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45512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45512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45512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45512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45512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45512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45512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45512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45512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45512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45512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45512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45512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45512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45512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45512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45512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45512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45512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45512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45512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45512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45512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45512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45512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45512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45512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45512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45512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45512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45512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45512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45512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45512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45512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45512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45512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45512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45512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45512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45512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45512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45512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45512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45512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45512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45512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45512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45512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45512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45512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45512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45512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45512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45512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45512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45512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45512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45512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45512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45512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45512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45512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45512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45512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45512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45512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45512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45512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45512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45512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45512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45512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45512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45512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45512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45512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45512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45512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45512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45512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45512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45512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45512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45512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45512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45512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45512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45512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45512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45512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45512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45512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45512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45512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45512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45512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45512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45512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45512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45512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45512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45512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45512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45512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45512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45512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45512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45512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45512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45512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45512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45512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45512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45512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45512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45512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45512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45512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45512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45512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45512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45512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45512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45512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45512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45512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45512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45512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45512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45512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45512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45512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45512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45512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45512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45512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45512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45512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45512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45512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45512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45512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45512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45512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45512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45512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45512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45512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45512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45512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45512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45512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45512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45512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45512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45512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45512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45512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45512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45512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45512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45512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45512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45512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45512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45512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45512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45512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45512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45512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45512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45512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45512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45512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45512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45512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45512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45512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45512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45512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45512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45512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45512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45512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45512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45512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45512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45512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45512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45512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45512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45512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45512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45512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45512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45512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45512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45512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45512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45512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45512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45512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45512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45512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45512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45512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45512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45512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45512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45512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45512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45512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45512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45512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45512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45512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45512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45512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45512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45512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45512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45512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45512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45512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45512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45512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45512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45512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45512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45512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45512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45512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45512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45512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45512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45512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45512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45512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45512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45512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45512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45512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45512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45512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45512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45512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45512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45512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45512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45512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45512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45512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45512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45512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45512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45512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45512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45512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45512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45512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45512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45512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45512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45512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45512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45512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45512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45512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45512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45512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45512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45512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45512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45512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45512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45512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45512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45512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45512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45512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45512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45512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45512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45512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45512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45512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45512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45512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45512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45512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45512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45512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45512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45512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45512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45512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45512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45512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45512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45512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45512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45512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45512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45512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45512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45512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45512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45512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45512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45512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45512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45512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45512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45512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45512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45512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45512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45512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45512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45512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45512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45512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45512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45512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45512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45512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45512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45512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45512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45512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45512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45512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45512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45512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45512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45512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45512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45512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45512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45512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45512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45512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45512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45512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45512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45512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45512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45512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45512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45512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45512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45512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45512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45512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45512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45512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45512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45512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45512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45512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45512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45512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45512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45512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45512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45512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45512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45512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45512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45512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45512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45512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45512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45512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45512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45512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45512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45512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45512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45512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45512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45512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45512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45512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45512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45512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45512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45512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45512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45512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45512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45512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45512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45512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45512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45512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45512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45512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45512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45512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45512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45512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45512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45512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45512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45512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45512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45512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45512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45512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45512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45512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45512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45512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45512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45512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45512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45512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45512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45512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45512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45512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45512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45512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45512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45512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45512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45512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45512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45512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45512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45512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45512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45512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45512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45512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45512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45512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45512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45512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45512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45512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45512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45512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45512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45512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45512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45512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45512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45512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45512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45512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45512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45512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45512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45512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45512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45512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45512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45512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45512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45512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45512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45512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45512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45512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45512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45512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45512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45512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45512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45512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45512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45512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45512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45512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45512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45512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45512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45512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45512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45512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45512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45512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45512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45512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45512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45512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45512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45512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45512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45512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45512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45512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45512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45512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45512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45512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45512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45512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45512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45512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45512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45512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45512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45512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45512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45512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45512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45512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45512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45512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45512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45512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45512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45512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45512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45512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45512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45512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45512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45512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45512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45512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45512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45512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45512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45512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45512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45512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45512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45512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45512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45512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45512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45512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45512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45512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45512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45512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45512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45512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45512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45512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45512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45512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45512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45512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45512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45512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45512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45512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45512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45512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45512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45512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45512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45512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45512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45512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45512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45512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45512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45512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45512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45512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45512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45512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45512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45512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45512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45512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45512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45512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45512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45512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45512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45512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45512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45512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45512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45512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45512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45512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45512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45512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45512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45512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45512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45512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45512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45512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45512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45512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45512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45512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45512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45512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45512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45512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45512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45512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45512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45512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45512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45512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45512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45512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45512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45512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45512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45512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45512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45512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45512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45512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45512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45512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45512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45512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45512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45512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45512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45512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45512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45512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45512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45512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45512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45512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45512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45512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45512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45512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45512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45512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45512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45512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45512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45512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45512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45512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45512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45512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45512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45512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45512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45512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45512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45512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45512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45512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45512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45512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45512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45512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45512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45512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45512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45512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45512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45512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45512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45512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45512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45512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45512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45512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45512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45512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45512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45512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45512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45512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45512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45512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45512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45512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45512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45512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45512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45512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45512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45512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45512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45512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45512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45512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45512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45512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45512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45512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45512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45512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45512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45512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45512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45512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45512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45512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45512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45512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45512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45512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45512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45512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45512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45512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45512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45512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45512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45512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45512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45512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45512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45512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45512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45512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45512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45512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45512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45512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45512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45512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45512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45512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45512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45512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45512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45512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45512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45512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45512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45512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45512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45512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45512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45512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45512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45512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45512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45512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45512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45512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45512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45512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45512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45512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45512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45512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45512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45512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45512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45512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45512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45512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45512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45512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45512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45512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45512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45512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45512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45512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45512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45512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45512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45512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45512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45512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45512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45512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45512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45512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45512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45512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45512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45512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45512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45512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45512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45512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45512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45512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45512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45512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45512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45512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45512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45512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45512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45512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45512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45512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45512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45512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45512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45512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45512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45512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45512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45512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45512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45512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45512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45512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45512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45512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45512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45512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45512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45512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45512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45512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45512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45512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45512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45512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45512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45512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45512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45512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45512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45512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45512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45512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45512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45512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45512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45512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45512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45512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45512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45512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45512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45512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45512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45512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45512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45512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45512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45512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45512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45512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45512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45512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45512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45512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45512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45512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45512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45512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45512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45512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45512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45512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45512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45512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45512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45512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45512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45512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45512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45512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45512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45512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45512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45512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45512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45512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45512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45512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45512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45512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45512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45512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45512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45512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45512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45512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45512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45512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45512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45512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45512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45512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45512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45512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45512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45512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45512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45512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45512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45512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45512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45512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45512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45512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45512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45512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45512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45512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45512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45512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45512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45512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45512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45512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45512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45512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45512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45512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45512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45512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45512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45512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45512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45512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45512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45512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45512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45512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45512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45512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45512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45512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45512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45512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45512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45512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45512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45512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45512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45512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45512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45512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45512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45512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45512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45512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45512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45512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45512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45512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45512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45512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45512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45512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45512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45512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45512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45512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45512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45512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45512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45512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45512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45512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45512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45512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45512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45512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45512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45512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45512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45512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45512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45512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45512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45512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45512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45512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45512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45512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45512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45512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45512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45512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45512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45512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45512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45512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45512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45512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45512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45512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45512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45512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45512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45512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45512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45512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45512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45512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45512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45512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45512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45512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45512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45512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45512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45512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45512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45512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45512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45512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45512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45512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45512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45512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45512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45512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45512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45512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45512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45512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45512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45512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45512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45512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45512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45512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45512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45512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45512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45512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45512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45512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45512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45512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45512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45512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45512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45512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45512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45512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45512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45512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45512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45512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45512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45512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45512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45512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45512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45512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45512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45512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45512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45512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45512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45512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45512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45512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45512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45512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45512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45512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45512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45512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45512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45512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45512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45512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45512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45512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45512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45512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45512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45512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45512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45512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45512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45512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45512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45512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45512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45512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45512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45512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45512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45512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45512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45512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45512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45512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45512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45512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45512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45512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45512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45512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45512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45512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45512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45512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45512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45512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45512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45512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45512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45512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45512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45512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45512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45512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45512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45512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45512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45512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45512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45512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45512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45512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45512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45512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45512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45512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45512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45512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45512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45512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45512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45512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45512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45512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45512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45512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45512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45512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45512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45512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45512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45512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45512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45512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45512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45512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45512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45512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45512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45512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45512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45512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45512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45512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45512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45512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45512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45512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45512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45512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45512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45512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45512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45512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45512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45512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45512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45512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45512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45512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45512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45512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45512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45512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45512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45512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45512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45512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45512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45512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45512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45512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45512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45512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45512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45512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45512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45512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45512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45512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45512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45512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45512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45512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45512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45512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45512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45512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45512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45512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45512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45512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45512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45512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45512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45512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45512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45512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45512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45512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45512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45512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45512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45512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45512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45512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45512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45512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45512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45512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45512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45512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45512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45512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45512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45512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45512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45512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45512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45512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45512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45512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45512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45512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45512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45512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45512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45512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45512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45512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45512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45512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45512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45512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45512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45512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45512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45512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45512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45512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45512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45512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45512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45512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45512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45512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45512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45512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45512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45512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45512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45512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45512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45512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45512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45512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45512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45512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45512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45512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45512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45512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45512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45512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45512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45512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45512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45512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45512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45512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45512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45512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45512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45512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45512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45512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45512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45512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45512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45512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45512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45512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45512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45512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45512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45512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45512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45512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45512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45512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45512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45512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45512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45512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45512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45512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45512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45512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45512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45512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45512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45512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45512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45512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45512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45512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45512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45512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45512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45512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45512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45512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45512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45512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45512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45512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45512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45512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45512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45512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45512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45512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45512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45512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45512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45512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45512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45512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45512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45512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45512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45512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45512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45512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45512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45512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45512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45512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45512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45512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45512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45512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45512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45512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45512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45512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45512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45512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45512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45512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45512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45512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45512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45512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45512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45512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45512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45512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45512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45512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45512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45512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45512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45512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45512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45512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45512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45512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45512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45512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45512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45512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45512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45512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45512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45512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45512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45512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45512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45512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45512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45512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45512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45512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45512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45512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45512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45512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45512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45512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45512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45512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45512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45512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45512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45512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45512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45512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45512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45512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45512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45512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45512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45512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45512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45512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45512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45512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45512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45512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45512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45512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45512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45512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45512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45512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45512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45512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45512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45512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45512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45512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45512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45512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45512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45512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45512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45512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45512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45512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45512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45512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45512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45512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45512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45512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45512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45512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45512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45512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45512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45512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45512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45512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45512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45512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45512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45512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45512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45512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45512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45512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45512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45512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45512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45512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45512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45512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45512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45512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45512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45512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45512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45512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45512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45512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45512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45512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45512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45512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45512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45512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45512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45512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45512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45512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45512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45512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45512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45512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45512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45512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45512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45512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45512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45512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45512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45512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45512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45512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45512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45512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45512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45512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45512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45512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45512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45512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45512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45512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45512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45512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45512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45512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45512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45512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45512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45512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45512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45512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45512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45512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45512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45512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45512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45512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45512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45512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45512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45512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45512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45512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45512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45512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45512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45512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45512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45512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45512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45512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45512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45512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45512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45512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45512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45512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45512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45512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45512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45512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45512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45512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45512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45512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45512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45512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45512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45512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45512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45512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45512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45512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45512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45512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45512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45512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45512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45512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45512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45512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45512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45512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45512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45512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45512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45512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45512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45512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45512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45512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45512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45512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45512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45512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45512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45512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45512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45512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45512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45512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45512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45512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45512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45512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45512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45512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45512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45512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45512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45512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45512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45512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45512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45512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45512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45512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45512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45512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45512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45512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45512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45512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45512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45512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45512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45512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45512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45512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45512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45512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45512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45512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45512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45512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45512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45512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45512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45512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45512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45512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45512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45512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45512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45512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45512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45512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45512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45512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45512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45512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45512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45512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45512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45512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45512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45512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45512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45512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45512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45512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45512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45512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45512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45512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45512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45512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45512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45512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45512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45512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45512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45512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45512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45512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45512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45512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45512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45512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45512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45512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45512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45512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45512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45512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45512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45512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45512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45512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45512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45512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45512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45512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45512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45512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45512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45512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45512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45512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45512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45512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45512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45512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45512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45512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45512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45512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45512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45512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45512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45512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45512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45512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45512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45512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45512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45512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45512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45512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45512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45512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45512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45512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45512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45512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45512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45512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45512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45512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45512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45512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45512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45512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45512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45512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45512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45512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45512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45512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45512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45512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45512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45512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45512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45512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45512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45512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45512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45512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45512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45512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45512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45512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45512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45512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45512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45512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45512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45512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45512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45512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45512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45512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45512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45512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45512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45512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45512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45512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45512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45512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45512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45512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45512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45512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45512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45512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45512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45512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45512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45512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45512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45512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45512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45512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45512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45512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45512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45512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45512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45512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45512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45512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45512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45512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45512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45512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45512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45512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45512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45512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45512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45512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45512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45512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45512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45512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45512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45512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45512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45512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45512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45512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45512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45512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45512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45512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45512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45512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45512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45512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45512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45512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45512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45512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45512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45512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45512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45512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45512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45512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45512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45512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45512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45512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45512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45512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45512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45512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45512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45512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45512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45512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45512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45512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45512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45512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45512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45512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45512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45512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45512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45512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45512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45512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45512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45512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45512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45512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45512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45512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45512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45512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45512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45512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45512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45512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45512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45512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45512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45512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45512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45512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45512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45512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45512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45512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45512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45512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45512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45512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45512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45512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45512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45512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45512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45512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45512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45512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45512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45512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45512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45512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45512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45512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45512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45512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45512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45512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45512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45512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45512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45512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45512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45512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45512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45512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45512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45512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45512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45512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45512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45512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45512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45512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45512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45512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45512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45512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45512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45512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45512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45512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45512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45512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45512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45512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45512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45512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45512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45512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45512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45512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45512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45512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45512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45512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45512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45512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45512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45512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45512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45512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45512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45512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45512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45512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45512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45512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45512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45512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45512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45512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45512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45512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45512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45512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45512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45512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45512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45512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45512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45512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45512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45512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45512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45512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45512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45512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45512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45512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45512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45512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45512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45512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45512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45512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45512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45512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45512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45512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45512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45512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45512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45512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45512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45512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45512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45512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45512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45512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45512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45512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45512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45512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45512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45512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45512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45512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45512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45512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45512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45512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45512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45512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45512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45512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45512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45512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45512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45512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45512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45512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45512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45512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45512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45512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45512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45512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45512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45512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45512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45512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45512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45512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45512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45512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45512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45512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45512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45512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45512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45512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45512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45512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45512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45512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45512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45512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45512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45512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45512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45512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45512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45512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45512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45512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45512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45512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45512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45512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45512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45512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45512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45512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45512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45512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45512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45512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45512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45512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45512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45512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45512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45512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45512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45512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45512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45512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45512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45512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45512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45512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45512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45512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45512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45512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45512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45512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45512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45512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45512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45512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45512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45512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45512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45512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45512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45512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45512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45512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45512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45512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45512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45512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45512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45512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45512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45512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45512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45512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45512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45512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45512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45512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45512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45512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45512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45512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45512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45512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45512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45512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45512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45512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45512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45512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45512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45512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45512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45512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45512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45512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45512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45512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45512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45512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45512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45512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45512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45512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45512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45512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45512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45512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45512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45512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45512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45512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45512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45512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45512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45512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45512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45512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45512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45512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45512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45512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45512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45512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45512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45512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45512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45512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45512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45512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45512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45512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45512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45512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45512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45512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45512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45512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45512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45512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45512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45512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45512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45512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45512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45512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45512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45512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45512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45512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45512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45512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45512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45512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45512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45512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45512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45512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45512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45512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45512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45512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45512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45512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45512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45512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45512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45512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45512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45512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45512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45512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45512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45512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45512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45512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45512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45512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45512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45512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45512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45512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45512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45512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45512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45512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45512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45512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45512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45512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45512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45512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45512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45512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45512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45512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45512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45512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45512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45512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45512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45512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45512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45512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45512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45512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45512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45512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45512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45512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45512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45512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45512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45512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45512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45512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45512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45512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45512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45512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45512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45512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45512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45512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45512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45512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45512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45512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45512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45512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45512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45512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45512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45512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45512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45512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45512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45512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45512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45512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45512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45512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45512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45512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45512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45512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45512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45512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45512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45512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45512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45512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45512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45512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45512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45512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45512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45512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45512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45512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45512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45512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45512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45512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45512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45512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45512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45512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45512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45512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45512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45512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45512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45512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45512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45512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45512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45512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45512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45512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45512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45512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45512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45512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45512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45512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45512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45512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45512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45512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45512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45512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45512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45512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45512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45512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45512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45512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45512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45512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45512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45512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45512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45512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45512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45512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45512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45512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45512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45512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45512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45512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45512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45512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45512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45512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45512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45512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45512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45512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45512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45512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45512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45512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45512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45512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45512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45512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45512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45512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45512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45512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45512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45512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45512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45512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45512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45512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45512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45512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45512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45512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45512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45512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45512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45512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45512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45512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45512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45512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45512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45512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45512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45512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45512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45512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45512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45512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45512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45512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45512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45512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45512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45512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45512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45512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45512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45512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45512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45512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45512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45512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45512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45512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45512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45512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45512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45512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45512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45512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45512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45512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45512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45512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45512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45512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45512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45512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45512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45512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45512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45512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45512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45512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45512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45512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45512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45512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45512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45512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45512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45512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45512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45512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45512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45512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45512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45512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45512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45512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45512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45512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45512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45512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45512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45512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45512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45512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45512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45512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45512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45512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45512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45512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45512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45512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45512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45512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45512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45512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45512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45512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45512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45512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45512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45512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45512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45512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45512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45512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45512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45512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45512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45512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45512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45512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45512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45512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45512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45512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45512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45512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45512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45512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45512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45512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45512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45512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45512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45512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45512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45512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45512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45512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45512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45512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45512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45512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45512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45512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45512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45512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45512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45512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45512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45512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45512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45512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45512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45512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45512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45512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45512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45512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45512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45512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45512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45512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45512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45512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45512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45512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45512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45512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45512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45512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45512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45512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45512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45512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45512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45512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45512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45512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45512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45512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45512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45512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45512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45512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45512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45512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45512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45512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45512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45512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45512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45512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45512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45512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45512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45512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45512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45512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45512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45512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45512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45512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45512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45512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45512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45512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45512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45512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45512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45512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45512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45512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45512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45512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45512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45512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45512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45512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45512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45512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45512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45512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45512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45512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45512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45512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45512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45512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45512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45512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45512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45512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45512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45512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45512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45512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45512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45512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45512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45512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45512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45512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45512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45512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45512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45512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45512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45512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45512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45512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45512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45512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45512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45512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45512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45512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45512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45512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45512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45512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45512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45512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45512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45512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45512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45512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45512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45512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45512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45512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45512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45512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45512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45512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45512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45512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45512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45512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45512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45512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45512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45512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45512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45512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45512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45512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45512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45512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45512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45512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45512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45512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45512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45512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45512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45512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45512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45512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45512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45512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45512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45512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45512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45512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45512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45512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45512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45512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45512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45512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45512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45512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45512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45512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45512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45512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45512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45512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45512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45512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45512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45512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45512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45512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45512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45512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45512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45512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45512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45512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45512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45512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45512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45512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45512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45512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45512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45512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45512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45512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45512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45512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45512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45512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45512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45512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45512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45512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45512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45512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45512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45512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45512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45512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45512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45512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45512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45512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45512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45512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45512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45512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45512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45512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45512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45512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45512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45512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45512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45512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45512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45512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45512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45512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45512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45512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45512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45512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45512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45512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45512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45512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45512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45512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45512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45512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45512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45512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45512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45512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45512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45512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45512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45512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45512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45512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45512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45512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45512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45512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45512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45512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45512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45512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45512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45512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45512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45512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45512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45512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45512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45512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45512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45512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45512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45512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45512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45512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45512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45512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45512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45512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45512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45512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45512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45512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45512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45512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45512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45512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45512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45512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45512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45512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45512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45512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45512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45512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45512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45512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45512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45512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45512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45512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45512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45512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45512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45512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45512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45512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45512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45512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45512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45512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45512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45512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45512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45512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45512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45512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45512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45512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45512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45512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45512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45512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45512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45512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45512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45512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45512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45512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45512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45512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45512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45512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45512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45512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45512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45512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45512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45512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45512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45512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45512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45512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45512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45512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45512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45512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45512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45512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45512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45512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45512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45512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45512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45512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45512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45512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45512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45512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45512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45512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45512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45512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45512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45512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45512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45512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45512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45512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45512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45512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45512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45512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45512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45512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45512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45512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45512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45512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45512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45512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45512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45512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45512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45512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45512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45512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45512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45512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45512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45512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45512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45512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45512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45512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45512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45512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45512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45512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45512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45512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45512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45512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45512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45512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45512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45512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45512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45512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45512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45512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45512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45512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45512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45512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45512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45512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45512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45512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45512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45512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45512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45512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45512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45512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45512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45512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45512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45512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45512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45512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45512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45512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45512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45512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45512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45512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45512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45512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45512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45512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45512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45512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45512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45512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45512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45512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45512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45512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45512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45512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45512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45512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45512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45512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45512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45512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45512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45512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45512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45512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45512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45512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45512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45512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45512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45512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45512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45512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45512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45512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45512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45512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45512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45512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45512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45512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45512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45512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45512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45512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45512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45512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45512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45512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45512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45512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45512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45512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45512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45512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45512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45512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45512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45512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45512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45512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45512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45512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45512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45512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45512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45512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45512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45512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45512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45512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45512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45512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45512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45512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45512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45512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45512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45512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45512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45512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45512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45512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45512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45512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45512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45512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45512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45512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45512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45512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45512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45512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45512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45512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45512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45512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45512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45512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45512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45512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45512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45512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45512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45512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45512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45512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45512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45512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45512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45512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45512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45512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45512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45512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45512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45512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45512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45512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45512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45512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45512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45512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45512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45512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45512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45512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45512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45512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45512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45512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45512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45512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45512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45512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45512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45512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45512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45512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45512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45512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45512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45512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45512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45512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45512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45512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45512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45512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45512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45512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45512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45512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45512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45512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45512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45512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45512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45512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45512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45512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45512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45512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45512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45512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45512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45512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45512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45512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45512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45512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45512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45512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45512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45512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45512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45512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45512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45512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45512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45512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45512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45512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45512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45512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45512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45512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45512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45512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45512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45512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45512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45512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45512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45512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45512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45512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45512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45512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45512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45512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45512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45512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45512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45512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45512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45512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45512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45512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45512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45512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45512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45512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45512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45512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45512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45512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45512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45512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45512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45512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45512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45512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45512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45512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45512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45512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45512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45512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45512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45512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45512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45512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45512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45512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45512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45512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45512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45512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45512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45512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45512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45512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45512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45512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45512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45512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45512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45512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45512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45512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45512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45512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45512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45512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45512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45512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45512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45512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45512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45512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45512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45512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45512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45512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45512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45512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45512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45512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45512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45512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45512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45512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45512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45512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45512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45512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45512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45512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45512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45512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45512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45512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45512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45512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45512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45512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45512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45512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45512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45512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45512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45512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45512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45512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45512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45512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45512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45512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45512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45512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45512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45512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45512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45512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45512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45512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45512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45512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45512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45512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45512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45512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45512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45512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45512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45512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45512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45512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45512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45512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45512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45512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45512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45512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45512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45512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45512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45512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45512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45512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45512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45512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45512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45512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45512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45512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45512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45512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45512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45512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45512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45512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45512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45512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45512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45512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45512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45512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45512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45512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45512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45512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45512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45512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45512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45512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45512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45512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45512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45512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45512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45512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45512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45512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45512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45512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45512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45512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45512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45512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45512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45512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45512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45512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45512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45512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45512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45512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45512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45512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45512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45512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45512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45512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45512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45512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45512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45512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45512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45512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45512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45512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45512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45512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45512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45512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45512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45512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45512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45512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45512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45512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45512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45512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45512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45512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45512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45512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45512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45512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45512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45512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45512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45512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45512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45512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45512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45512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45512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45512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45512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45512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45512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45512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45512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45512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45512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45512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45512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45512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45512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45512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45512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45512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45512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45512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45512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45512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45512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45512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45512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45512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45512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45512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45512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45512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45512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45512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45512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45512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45512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45512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45512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45512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45512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45512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45512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45512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45512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45512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45512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45512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45512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45512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45512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45512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45512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45512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45512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45512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45512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45512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45512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45512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45512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45512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45512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45512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45512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45512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45512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45512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45512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45512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45512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45512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45512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45512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45512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45512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45512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45512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45512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45512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45512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45512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45512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45512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45512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45512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45512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45512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45512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45512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45512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45512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45512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45512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45512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45512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45512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45512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45512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45512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45512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45512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45512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45512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45512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45512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45512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45512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45512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45512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45512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45512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45512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45512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45512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45512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45512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45512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45512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45512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45512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45512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45512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45512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45512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45512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45512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45512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45512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45512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45512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45512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45512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45512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45512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45512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45512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45512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45512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45512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45512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45512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45512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45512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45512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45512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45512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45512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45512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45512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45512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45512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45512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45512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45512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45512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45512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45512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45512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45512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45512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45512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45512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45512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45512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45512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45512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45512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45512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45512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45512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45512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45512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45512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45512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45512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45512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45512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45512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45512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45512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45512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45512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45512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45512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45512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45512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45512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45512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45512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45512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45512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45512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45512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45512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45512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45512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45512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45512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45512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45512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45512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45512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45512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45512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45512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45512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45512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45512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45512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45512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45512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45512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45512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45512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45512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45512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45512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45512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45512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45512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45512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45512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45512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45512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45512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45512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45512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45512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45512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45512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45512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45512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45512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45512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45512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45512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45512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45512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45512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45512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45512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45512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45512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45512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45512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45512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45512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45512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45512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45512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45512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45512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45512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45512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45512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45512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45512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45512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45512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45512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45512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45512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45512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45512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45512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45512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45512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45512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45512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45512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45512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45512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45512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45512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45512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45512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45512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45512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45512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45512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45512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45512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45512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45512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45512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45512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45512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45512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45512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45512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45512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45512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45512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45512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45512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45512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45512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45512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45512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45512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45512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45512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45512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45512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45512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45512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45512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45512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45512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45512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45512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45512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45512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45512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45512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45512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45512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45512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45512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45512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45512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45512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45512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45512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45512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45512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45512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45512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45512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45512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45512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45512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45512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45512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45512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45512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45512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45512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45512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45512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45512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45512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45512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45512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45512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45512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45512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45512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45512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45512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45512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45512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45512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45512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45512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45512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45512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45512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45512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45512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45512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45512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45512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45512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45512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45512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45512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45512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45512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45512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45512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45512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45512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45512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45512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45512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45512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45512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45512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45512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45512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45512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45512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45512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45512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45512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45512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45512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45512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45512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45512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45512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45512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45512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45512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45512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45512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45512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45512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45512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45512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45512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45512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45512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45512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45512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45512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45512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45512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45512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45512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45512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45512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45512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45512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45512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45512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45512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45512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45512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45512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45512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45512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45512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45512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45512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45512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45512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45512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45512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45512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45512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45512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45512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45512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45512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45512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45512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45512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45512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45512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45512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45512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45512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45512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45512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45512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45512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45512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45512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45512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45512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45512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45512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45512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45512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45512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45512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45512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45512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45512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45512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45512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45512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45512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45512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45512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45512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45512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45512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45512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45512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45512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45512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45512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45512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45512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45512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45512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45512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45512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45512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45512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45512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45512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45512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45512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45512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45512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45512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45512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45512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45512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45512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45512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45512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45512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45512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45512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45512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45512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45512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45512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45512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45512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45512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45512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45512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45512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45512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45512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45512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45512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45512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45512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45512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45512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45512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45512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45512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45512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45512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45512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45512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45512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45512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45512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45512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45512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45512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45512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45512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45512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45512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45512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45512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45512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45512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45512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45512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45512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45512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45512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45512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45512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45512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45512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45512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45512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45512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45512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45512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45512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45512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45512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45512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45512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45512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45512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45512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45512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45512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45512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45512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45512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45512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45512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45512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45512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45512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45512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45512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45512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45512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45512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45512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45512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45512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45512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45512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45512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45512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45512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45512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45512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45512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45512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45512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45512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45512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45512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45512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45512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45512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45512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45512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45512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45512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45512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45512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45512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45512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45512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45512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45512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45512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45512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45512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45512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45512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45512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45512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45512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45512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45512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45512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45512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45512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45512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45512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45512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45512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45512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45512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45512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45512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45512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45512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45512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45512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45512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45512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45512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45512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45512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45512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45512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45512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45512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45512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45512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45512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45512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45512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45512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45512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45512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45512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45512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45512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45512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45512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45512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45512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45512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45512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45512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45512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45512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45512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45512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45512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45512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45512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45512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45512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45512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45512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45512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45512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45512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45512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45512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45512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45512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45512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45512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45512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45512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45512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45512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45512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45512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45512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45512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45512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45512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45512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45512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45512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45512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45512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45512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45512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45512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45512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45512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45512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45512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45512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45512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45512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45512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45512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45512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45512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45512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45512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45512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45512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45512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45512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45512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45512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45512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45512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45512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45512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45512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45512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45512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45512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45512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45512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45512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45512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45512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45512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45512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45512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45512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45512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45512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45512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45512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45512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45512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45512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45512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45512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45512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45512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45512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45512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45512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45512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45512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45512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45512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45512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45512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45512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45512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45512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45512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45512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45512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45512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45512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45512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45512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45512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45512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45512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45512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45512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45512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45512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45512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45512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45512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45512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45512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45512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45512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45512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45512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45512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45512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45512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45512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45512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45512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45512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45512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45512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45512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45512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45512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45512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45512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45512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45512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45512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45512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45512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45512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45512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45512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45512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45512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45512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45512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45512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45512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45512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45512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45512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45512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45512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45512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45512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45512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45512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45512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45512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45512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45512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45512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45512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45512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45512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45512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45512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45512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45512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45512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45512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45512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45512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45512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45512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45512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45512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45512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45512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45512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45512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45512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45512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45512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45512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45512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45512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45512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45512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45512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45512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45512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45512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45512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45512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45512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45512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45512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45512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45512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45512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45512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45512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45512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45512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45512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45512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45512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45512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45512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45512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45512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45512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45512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45512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45512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45512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45512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45512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45512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45512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45512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45512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45512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45512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45512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45512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45512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45512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45512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45512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45512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45512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45512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45512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45512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45512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45512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45512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45512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45512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45512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45512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45512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45512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45512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45512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45512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45512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45512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45512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45512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45512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45512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45512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45512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45512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45512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45512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45512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45512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45512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45512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45512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45512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45512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45512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45512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45512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45512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45512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45512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45512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45512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45512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45512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45512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45512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45512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45512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45512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45512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45512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45512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45512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45512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45512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45512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45512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45512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45512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45512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45512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45512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45512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45512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45512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45512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45512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45512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45512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45512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45512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45512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45512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45512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45512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45512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45512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45512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45512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45512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45512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45512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45512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45512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45512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45512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45512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45512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45512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45512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45512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45512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45512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45512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45512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45512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45512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45512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45512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45512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45512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45512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45512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45512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45512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45512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45512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45512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45512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45512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45512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45512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45512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45512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45512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45512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45512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45512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45512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45512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45512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45512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45512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45512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45512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45512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45512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45512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45512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45512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45512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45512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45512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45512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45512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45512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45512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45512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45512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45512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45512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45512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45512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45512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45512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45512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45512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45512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45512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45512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45512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45512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45512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45512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45512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45512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45512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45512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45512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45512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45512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45512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45512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45512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45512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45512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45512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45512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45512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45512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45512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45512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45512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45512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45512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45512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45512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45512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45512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45512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45512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45512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45512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45512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45512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45512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45512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45512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45512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45512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45512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45512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45512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45512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45512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45512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45512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45512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45512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45512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45512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45512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45512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45512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45512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45512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45512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45512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45512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45512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45512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45512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45512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45512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45512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45512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45512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45512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45512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45512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45512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45512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45512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45512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45512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45512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45512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45512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45512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45512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45512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45512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45512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45512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45512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45512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45512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45512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45512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45512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45512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45512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45512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45512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45512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45512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45512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45512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45512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45512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45512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45512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45512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45512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45512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45512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45512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45512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45512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45512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45512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45512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45512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45512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45512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45512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45512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45512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45512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45512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45512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45512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45512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45512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45512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45512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45512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45512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45512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45512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45512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45512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45512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45512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45512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45512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45512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45512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45512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45512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45512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45512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45512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45512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45512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45512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45512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45512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45512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45512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45512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45512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45512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45512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45512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45512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45512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45512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45512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45512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45512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45512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45512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45512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45512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45512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45512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45512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45512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45512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45512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45512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45512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45512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45512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45512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45512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45512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45512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45512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45512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45512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45512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45512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45512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45512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45512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45512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45512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45512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45512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45512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45512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45512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45512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45512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45512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45512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45512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45512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45512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45512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45512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45512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45512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45512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45512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45512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45512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45512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45512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45512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45512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45512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45512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45512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45512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45512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45512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45512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45512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45512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45512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45512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45512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45512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45512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45512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45512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45512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45512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45512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45512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45512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45512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45512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45512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45512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45512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45512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45512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45512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45512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45512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45512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45512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45512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45512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45512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45512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45512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45512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45512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45512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45512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45512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45512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45512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45512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45512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45512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45512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45512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45512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45512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45512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45512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45512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45512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45512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45512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45512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45512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45512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45512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45512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45512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45512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45512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45512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45512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45512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45512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45512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45512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45512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45512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45512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45512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45512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45512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45512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45512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45512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45512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45512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45512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45512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45512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45512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45512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45512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45512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45512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45512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45512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45512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45512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45512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45512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45512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45512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45512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45512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45512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45512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45512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45512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45512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45512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45512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45512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45512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45512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45512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45512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45512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45512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45512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45512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45512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45512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45512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45512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45512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45512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45512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45512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45512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45512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45512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45512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45512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45512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45512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45512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45512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45512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45512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45512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45512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45512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45512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45512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45512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45512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45512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45512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45512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45512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45512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45512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45512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45512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45512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45512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45512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45512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45512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45512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45512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45512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45512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45512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45512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45512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45512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45512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45512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45512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45512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45512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45512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45512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45512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45512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45512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45512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45512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45512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45512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45512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45512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45512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45512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45512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45512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45512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45512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45512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45512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45512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45512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45512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45512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45512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45512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45512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45512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45512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45512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45512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45512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45512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45512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45512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45512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45512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45512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45512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45512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45512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45512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45512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45512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45512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45512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45512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45512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45512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45512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45512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45512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45512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45512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45512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45512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45512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45512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45512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45512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45512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45512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45512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45512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45512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45512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45512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45512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45512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45512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45512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45512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45512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45512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45512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45512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45512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45512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45512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45512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45512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45512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45512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45512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45512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45512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45512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45512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45512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45512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45512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45512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45512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45512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45512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45512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45512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45512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45512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45512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45512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45512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45512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45512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45512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45512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45512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45512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45512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45512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45512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45512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45512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45512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45512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45512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45512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45512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45512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45512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45512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45512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45512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45512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45512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45512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45512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45512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45512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45512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45512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45512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45512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45512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45512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45512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45512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45512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45512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45512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45512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45512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45512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45512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45512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45512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45512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45512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45512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45512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45512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45512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45512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45512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45512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45512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45512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45512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45512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45512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45512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45512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45512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45512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45512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45512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45512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45512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45512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45512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45512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45512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45512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45512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45512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45512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45512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45512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45512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45512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45512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45512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45512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45512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45512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45512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45512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45512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45512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45512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45512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45512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45512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45512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45512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45512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45512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45512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45512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45512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45512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45512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45512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45512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45512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45512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45512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45512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45512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45512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45512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45512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45512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45512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45512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45512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45512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45512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45512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45512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45512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45512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45512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45512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45512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45512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45512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45512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45512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45512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45512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45512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45512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45512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45512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45512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45512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45512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45512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45512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45512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45512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45512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45512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45512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45512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45512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45512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45512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45512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45512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45512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45512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45512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45512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45512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45512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45512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45512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45512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45512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45512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45512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45512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45512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45512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45512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45512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45512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45512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45512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45512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45512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45512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45512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45512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45512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45512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45512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45512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45512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45512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45512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45512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45512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45512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45512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45512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45512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45512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45512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45512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45512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45512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45512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45512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45512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45512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45512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45512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45512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45512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45512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45512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45512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45512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45512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45512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45512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45512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45512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45512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45512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45512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45512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45512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45512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45512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45512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45512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45512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45512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45512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45512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45512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45512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45512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45512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45512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45512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45512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45512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45512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45512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45512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45512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45512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45512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45512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45512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45512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45512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45512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45512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45512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45512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45512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45512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45512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45512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45512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45512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45512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45512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45512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45512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45512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45512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45512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45512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45512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45512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45512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45512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45512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45512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45512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45512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45512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45512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45512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45512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45512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45512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45512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45512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45512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45512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45512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45512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45512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45512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45512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45512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45512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45512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45512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45512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45512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45512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45512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45512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45512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45512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45512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45512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45512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45512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45512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45512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45512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45512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45512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45512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45512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45512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45512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45512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45512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45512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45512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45512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45512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45512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45512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45512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45512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45512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45512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45512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45512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45512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45512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45512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45512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45512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45512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45512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45512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45512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45512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45512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45512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45512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45512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45512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45512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45512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45512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45512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45512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45512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45512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45512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45512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45512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45512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45512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45512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45512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45512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45512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45512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45512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45512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45512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45512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45512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45512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45512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45512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45512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45512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45512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45512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45512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45512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45512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45512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45512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45512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45512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45512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45512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45512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45512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45512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45512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45512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45512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45512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45512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45512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45512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45512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45512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45512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45512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45512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45512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45512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45512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45512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45512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45512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45512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45512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45512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45512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45512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45512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45512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45512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45512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45512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45512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45512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45512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45512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45512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45512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45512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45512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45512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45512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45512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45512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45512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45512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45512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45512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45512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45512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45512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45512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45512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45512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45512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45512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45512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45512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45512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45512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45512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45512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45512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45512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45512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45512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45512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45512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45512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45512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45512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45512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45512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45512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45512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45512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45512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45512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45512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45512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45512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45512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45512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45512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45512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45512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45512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45512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45512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45512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45512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45512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45512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45512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45512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45512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45512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45512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45512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45512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45512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45512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45512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45512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45512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45512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45512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45512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45512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45512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45512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45512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45512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45512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45512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45512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45512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45512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45512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45512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45512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45512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45512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45512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45512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45512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45512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45512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45512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45512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45512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45512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45512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45512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45512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45512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45512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45512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45512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45512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45512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45512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45512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45512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45512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45512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45512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45512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45512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45512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45512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45512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45512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45512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45512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45512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45512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45512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45512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45512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45512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45512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45512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45512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45512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45512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45512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45512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45512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45512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45512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45512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45512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45512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45512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45512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45512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45512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45512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45512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45512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45512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45512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45512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45512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45512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45512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45512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45512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45512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45512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45512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45512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45512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45512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45512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45512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45512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45512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45512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45512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45512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45512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45512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45512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45512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45512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45512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45512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45512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45512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45512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45512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45512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45512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45512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45512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45512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45512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45512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45512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45512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45512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45512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45512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45512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45512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45512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45512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45512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45512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45512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45512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45512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45512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45512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45512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45512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45512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45512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45512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45512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45512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45512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45512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45512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45512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45512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45512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45512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45512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45512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45512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45512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45512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45512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45512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45512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45512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45512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45512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45512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45512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45512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45512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45512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45512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45512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45512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45512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45512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45512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45512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45512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45512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45512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45512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45512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45512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45512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45512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45512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45512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45512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45512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45512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45512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45512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45512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45512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45512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45512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45512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45512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45512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45512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45512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45512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45512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45512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45512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45512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45512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45512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45512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45512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45512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45512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45512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45512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45512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45512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45512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45512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45512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45512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45512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45512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45512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45512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45512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45512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45512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45512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45512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45512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45512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45512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45512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45512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45512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45512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45512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45512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45512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45512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45512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45512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45512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45512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45512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45512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45512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45512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45512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45512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45512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45512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45512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45512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45512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45512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45512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45512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45512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45512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45512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45512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45512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45512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45512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45512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45512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45512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45512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45512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45512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45512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45512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45512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45512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45512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45512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45512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45512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45512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45512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45512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45512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45512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45512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45512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45512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45512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45512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45512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45512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45512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45512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45512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45512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45512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45512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45512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45512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45512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45512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45512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45512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45512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45512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45512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45512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45512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45512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45512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45512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45512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45512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45512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45512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45512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45512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45512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45512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45512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45512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45512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45512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45512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45512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45512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45512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45512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45512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45512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45512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45512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45512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45512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45512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45512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45512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45512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45512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45512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45512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45512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45512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45512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45512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45512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45512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45512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45512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45512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45512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45512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45512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45512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45512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45512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45512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45512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45512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45512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45512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45512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45512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45512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45512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45512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45512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45512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45512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45512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45512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45512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45512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45512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45512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45512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45512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45512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45512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45512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45512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45512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45512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45512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45512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45512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45512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45512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45512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45512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45512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45512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45512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45512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45512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45512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45512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45512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45512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45512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45512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45512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45512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45512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45512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45512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45512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45512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45512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45512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45512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45512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45512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45512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45512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45512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45512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45512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45512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45512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45512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45512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45512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45512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45512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45512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45512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45512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45512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45512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45512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45512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45512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45512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45512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45512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45512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45512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45512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45512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45512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45512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45512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45512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45512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45512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45512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45512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45512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45512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45512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45512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45512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45512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45512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45512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45512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45512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45512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45512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45512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45512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45512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45512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45512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45512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45512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45512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45512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45512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45512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45512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45512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45512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45512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45512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45512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45512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45512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45512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45512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45512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45512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45512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45512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45512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45512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45512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45512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45512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45512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45512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45512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45512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45512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45512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45512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45512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45512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45512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45512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45512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45512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45512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45512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45512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45512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45512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45512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45512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45512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45512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45512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45512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45512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45512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45512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45512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45512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45512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45512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45512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45512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45512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45512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45512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45512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45512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45512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45512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45512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45512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45512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45512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45512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45512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45512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45512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45512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45512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45512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45512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45512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45512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45512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45512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45512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45512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45512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45512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45512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45512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45512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45512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45512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45512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45512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45512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45512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45512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45512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45512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45512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45512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45512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45512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45512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45512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45512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45512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45512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45512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45512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45512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45512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45512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45512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45512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45512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45512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45512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45512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45512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45512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45512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45512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45512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45512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45512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45512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45512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45512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45512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45512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45512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45512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45512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45512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45512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45512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45512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45512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45512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45512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45512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45512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45512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45512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45512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45512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45512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45512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45512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45512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45512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45512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45512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45512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45512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45512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45512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45512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45512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45512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45512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45512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45512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45512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45512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45512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45512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45512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45512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45512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45512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45512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45512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45512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45512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45512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45512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45512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45512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45512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45512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45512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45512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45512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45512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45512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45512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45512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45512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45512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45512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45512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45512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45512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45512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45512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45512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45512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45512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45512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45512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45512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45512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45512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45512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45512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45512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45512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45512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45512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45512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45512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45512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45512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45512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45512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45512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45512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45512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45512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45512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45512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45512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45512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45512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45512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45512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45512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45512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45512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45512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45512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45512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45512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45512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45512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45512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45512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45512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45512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45512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45512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45512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45512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45512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45512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45512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45512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45512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45512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45512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45512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45512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45512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45512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45512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45512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45512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45512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45512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45512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45512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45512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45512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45512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45512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45512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45512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45512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45512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45512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45512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45512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45512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45512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45512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45512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45512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45512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45512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45512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45512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45512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45512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45512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45512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45512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45512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45512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45512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45512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45512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45512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45512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45512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45512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45512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45512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45512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45512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45512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45512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45512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45512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45512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45512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45512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45512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45512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45512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45512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45512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45512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45512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45512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45512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45512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45512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45512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45512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45512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45512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45512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45512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45512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45512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45512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45512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45512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45512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45512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45512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45512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45512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45512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45512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45512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45512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45512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45512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45512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45512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45512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45512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45512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45512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45512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45512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45512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45512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45512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45512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45512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45512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45512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45512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45512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45512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45512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45512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45512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45512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45512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45512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45512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45512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45512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45512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45512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45512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45512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45512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45512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45512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45512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45512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45512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45512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45512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45512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45512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45512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45512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45512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45512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45512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45512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45512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45512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45512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45512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45512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45512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45512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45512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45512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45512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45512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45512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45512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45512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45512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45512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45512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45512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45512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45512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45512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45512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45512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45512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45512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45512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45512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45512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45512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45512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45512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45512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45512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45512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45512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45512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45512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45512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45512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45512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45512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45512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45512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45512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45512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45512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45512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45512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45512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45512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45512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45512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45512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45512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45512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45512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45512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45512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45512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45512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45512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45512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45512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45512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45512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45512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45512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45512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45512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45512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45512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45512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45512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45512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45512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45512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45512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45512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45512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45512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45512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45512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45512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45512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45512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45512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45512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45512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45512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45512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45512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45512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45512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45512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45512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45512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45512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45512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45512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45512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45512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45512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45512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45512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45512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45512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45512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45512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45512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45512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45512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45512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45512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45512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45512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45512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45512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45512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45512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45512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45512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45512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45512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45512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45512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45512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45512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45512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45512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45512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45512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45512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45512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45512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45512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45512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45512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45512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45512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45512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45512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45512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45512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45512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45512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45512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45512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45512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45512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45512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45512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45512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45512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45512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45512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45512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45512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45512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45512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45512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45512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45512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45512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45512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45512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45512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45512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45512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45512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45512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45512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45512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45512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45512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45512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45512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45512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45512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45512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45512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45512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45512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45512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45512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45512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45512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45512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45512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45512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45512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45512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45512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45512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45512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45512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45512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45512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45512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45512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45512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45512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45512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45512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45512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45512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45512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45512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45512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45512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45512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45512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45512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45512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45512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45512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45512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45512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45512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45512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45512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45512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45512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45512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45512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45512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45512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45512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45512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45512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45512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45512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45512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45512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45512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45512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45512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45512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45512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45512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45512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45512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45512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45512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45512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45512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45512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45512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45512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45512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45512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45512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45512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45512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45512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45512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45512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45512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45512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45512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45512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45512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45512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45512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45512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45512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45512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45512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45512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45512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45512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45512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45512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45512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45512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45512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45512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45512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45512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45512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45512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45512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45512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45512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45512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45512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45512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45512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45512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45512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45512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45512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45512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45512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45512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45512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45512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45512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45512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45512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45512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45512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45512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45512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45512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45512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45512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45512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45512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45512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45512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45512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45512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45512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45512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45512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45512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45512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45512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45512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45512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45512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45512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45512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45512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45512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45512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45512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45512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45512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45512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45512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45512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45512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45512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45512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45512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45512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45512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45512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45512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45512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45512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45512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45512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45512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45512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45512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45512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45512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45512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45512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45512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45512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45512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45512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45512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45512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45512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45512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45512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45512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45512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45512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45512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45512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45512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45512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45512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45512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45512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45512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45512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45512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45512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45512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45512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45512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45512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45512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45512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45512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45512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45512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45512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45512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45512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45512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45512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45512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45512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45512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45512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45512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45512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45512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45512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45512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45512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45512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45512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45512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45512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45512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45512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45512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45512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45512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45512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45512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45512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45512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45512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45512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45512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45512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45512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45512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45512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45512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45512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45512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45512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45512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45512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45512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45512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45512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45512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45512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45512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45512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45512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45512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45512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45512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45512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45512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45512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45512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45512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45512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45512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45512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45512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45512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45512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45512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45512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45512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45512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45512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45512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45512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45512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45512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45512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45512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45512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45512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45512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45512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45512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45512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45512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45512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45512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45512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45512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45512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45512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45512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45512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45512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45512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45512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45512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45512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45512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45512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45512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45512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45512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45512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45512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45512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45512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45512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45512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45512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45512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45512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45512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45512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45512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45512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45512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45512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45512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45512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45512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45512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45512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45512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45512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45512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45512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45512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45512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45512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45512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45512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45512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45512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45512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45512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45512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45512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45512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45512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45512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45512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45512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45512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45512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45512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45512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45512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45512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45512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45512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45512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45512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45512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45512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45512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45512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45512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45512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45512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45512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45512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45512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45512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45512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45512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45512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45512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45512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45512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45512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45512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45512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45512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45512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45512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45512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45512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45512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45512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45512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45512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45512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45512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45512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45512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45512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45512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45512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45512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45512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45512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45512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45512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45512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45512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45512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45512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45512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45512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45512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45512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45512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45512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45512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45512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45512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45512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45512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45512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45512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45512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45512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45512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45512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45512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45512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45512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45512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45512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45512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45512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45512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45512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45512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45512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45512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45512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45512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45512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45512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45512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45512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45512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45512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45512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45512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45512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45512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45512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45512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45512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45512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45512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45512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45512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45512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45512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45512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45512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45512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45512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45512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45512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45512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45512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45512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45512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45512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45512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45512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45512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45512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45512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45512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45512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45512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45512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45512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45512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45512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45512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45512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45512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45512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45512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45512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45512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45512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45512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45512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45512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45512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45512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45512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45512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45512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45512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45512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45512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45512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45512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45512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45512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45512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45512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45512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45512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45512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45512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45512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45512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45512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45512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45512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45512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45512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45512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45512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45512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45512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45512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45512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45512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45512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45512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45512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45512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45512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45512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45512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45512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45512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45512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45512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45512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45512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45512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45512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45512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45512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45512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45512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45512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45512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45512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45512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45512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45512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45512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45512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45512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45512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45512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45512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45512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45512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45512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45512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45512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45512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45512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45512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45512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45512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45512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45512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45512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45512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45512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45512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45512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45512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45512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45512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45512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45512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45512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45512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45512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45512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45512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45512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45512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45512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45512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45512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45512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45512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45512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45512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45512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45512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45512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45512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45512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45512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45512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45512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45512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45512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45512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45512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45512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45512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45512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45512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45512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45512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45512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45512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45512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45512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45512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45512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45512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45512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45512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45512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45512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45512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45512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45512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45512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45512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45512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45512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45512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45512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45512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45512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45512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45512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45512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45512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45512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45512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45512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45512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45512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45512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45512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45512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45512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45512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45512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45512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45512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45512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45512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45512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45512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45512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45512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45512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45512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45512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45512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45512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45512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45512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45512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45512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45512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45512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45512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45512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45512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45512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45512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45512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45512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45512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45512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45512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45512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45512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45512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45512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45512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45512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45512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45512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45512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45512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45512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45512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45512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45512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45512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45512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45512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45512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45512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45512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45512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45512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45512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45512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45512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45512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45512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45512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45512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45512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45512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45512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45512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45512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45512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45512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45512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45512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45512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45512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45512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45512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45512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45512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45512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45512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45512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45512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45512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45512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45512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45512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45512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45512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45512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45512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45512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45512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45512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45512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45512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45512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45512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45512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45512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45512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45512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45512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45512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45512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45512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45512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45512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45512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45512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45512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45512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45512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45512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45512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45512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45512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45512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45512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45512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45512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45512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45512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45512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45512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45512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45512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45512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45512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45512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45512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45512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45512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45512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45512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45512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45512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45512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45512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45512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45512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45512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45512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45512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45512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45512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45512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45512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45512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45512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45512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45512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45512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45512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45512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45512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45512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45512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45512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45512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45512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45512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45512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45512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45512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45512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45512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45512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45512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45512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45512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45512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45512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45512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45512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45512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45512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45512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45512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45512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45512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45512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45512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45512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45512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45512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45512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45512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45512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45512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45512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45512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45512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45512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45512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45512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45512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45512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45512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45512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45512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45512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45512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45512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45512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45512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45512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45512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45512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45512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45512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45512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45512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45512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45512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45512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45512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45512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45512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45512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45512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45512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45512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45512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45512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45512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45512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45512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45512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45512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45512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45512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45512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45512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45512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45512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45512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45512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45512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45512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45512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45512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45512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45512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45512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45512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45512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45512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45512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45512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45512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45512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45512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45512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45512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45512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45512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45512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45512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45512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45512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45512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45512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45512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45512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45512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45512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45512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45512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45512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45512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45512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45512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45512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45512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45512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45512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45512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45512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45512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45512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45512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45512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45512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45512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45512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45512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45512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45512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45512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45512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45512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45512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45512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45512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45512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45512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45512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45512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45512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45512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45512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45512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45512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45512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45512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45512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45512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45512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45512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45512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45512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45512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45512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45512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45512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45512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45512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45512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45512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45512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45512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45512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45512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45512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45512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45512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45512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45512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45512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45512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45512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45512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45512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45512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45512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45512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45512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45512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45512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45512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45512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45512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45512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45512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45512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45512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45512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45512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45512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45512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45512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45512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45512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45512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45512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45512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45512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45512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45512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45512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45512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45512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45512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45512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45512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45512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45512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45512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45512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45512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45512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45512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45512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45512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45512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45512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45512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45512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45512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45512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45512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45512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45512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45512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45512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45512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45512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45512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45512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45512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45512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45512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45512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45512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45512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45512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45512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45512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45512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45512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45512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45512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45512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45512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45512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45512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45512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45512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45512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45512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45512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45512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45512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45512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45512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45512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45512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45512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45512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45512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45512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45512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45512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45512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45512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45512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45512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45512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45512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45512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45512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45512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45512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45512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45512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45512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45512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45512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45512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45512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45512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45512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45512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45512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45512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45512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45512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45512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45512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45512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45512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45512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45512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45512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45512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45512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45512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45512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45512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45512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45512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45512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45512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45512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45512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45512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45512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45512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45512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45512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45512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45512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45512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45512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45512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45512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45512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45512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45512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45512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45512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45512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45512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45512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45512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45512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45512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45512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45512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45512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45512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45512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45512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45512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45512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45512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45512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45512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45512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45512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45512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45512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45512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45512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45512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45512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45512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45512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45512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45512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45512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45512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45512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45512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45512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45512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45512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45512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45512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45512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45512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45512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45512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45512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45512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45512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45512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45512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45512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45512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45512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45512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45512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45512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45512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45512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45512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45512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45512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45512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45512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45512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45512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45512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45512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45512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45512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45512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45512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45512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45512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45512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45512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45512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45512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45512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45512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45512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45512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45512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45512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45512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45512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45512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45512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45512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45512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45512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45512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45512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45512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45512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45512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45512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45512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45512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45512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45512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45512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45512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45512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45512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45512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45512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45512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45512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45512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45512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45512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45512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45512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45512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45512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45512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45512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45512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45512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45512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45512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45512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45512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45512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45512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45512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45512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45512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45512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45512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45512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45512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45512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45512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45512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45512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45512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45512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45512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45512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45512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45512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45512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45512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45512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45512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45512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45512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45512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45512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45512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45512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45512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45512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45512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45512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45512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45512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45512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45512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45512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45512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45512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45512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45512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45512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45512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45512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45512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45512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45512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45512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45512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45512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45512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45512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45512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45512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45512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45512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45512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45512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45512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45512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45512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45512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45512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45512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45512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45512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45512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45512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45512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45512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45512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45512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45512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45512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45512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45512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45512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45512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45512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45512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45512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45512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45512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45512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45512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45512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45512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45512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45512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45512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45512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45512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45512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45512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45512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45512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45512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45512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45512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45512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45512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45512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45512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45512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45512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45512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45512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45512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45512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45512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45512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45512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45512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45512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45512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45512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45512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45512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45512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45512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45512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45512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45512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45512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45512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45512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45512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45512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45512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45512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45512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45512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45512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45512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45512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45512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45512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45512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45512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45512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45512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45512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45512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45512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45512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45512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45512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45512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45512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45512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45512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45512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45512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45512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45512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45512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45512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45512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45512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45512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45512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45512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45512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45512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45512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45512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45512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45512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45512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45512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45512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45512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45512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45512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45512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45512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45512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45512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45512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45512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45512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45512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45512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45512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45512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45512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45512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45512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45512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45512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45512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45512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45512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45512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45512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45512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45512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45512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45512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45512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45512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45512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45512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45512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45512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45512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45512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45512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45512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45512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45512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45512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45512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45512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45512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45512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45512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45512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45512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45512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45512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45512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45512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45512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45512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45512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45512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45512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45512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45512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45512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45512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45512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45512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45512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45512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45512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45512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45512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45512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45512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45512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45512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45512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45512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45512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45512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45512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45512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45512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45512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45512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45512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45512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45512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45512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45512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45512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45512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45512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45512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45512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45512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45512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45512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45512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45512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45512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45512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45512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45512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45512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45512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45512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45512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45512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45512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45512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45512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45512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45512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45512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45512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45512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45512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45512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45512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45512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45512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45512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45512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45512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45512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45512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45512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45512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45512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45512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45512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45512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45512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45512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45512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45512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45512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45512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45512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45512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45512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45512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45512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45512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45512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45512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45512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45512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45512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45512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45512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45512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45512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45512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45512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45512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45512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45512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45512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45512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45512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45512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45512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45512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45512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45512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45512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45512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45512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45512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45512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45512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45512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45512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45512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45512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45512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45512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45512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45512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45512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45512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45512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45512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45512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45512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45512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45512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45512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45512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45512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45512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45512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45512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45512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45512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45512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45512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45512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45512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45512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45512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45512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45512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45512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45512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45512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45512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45512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45512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45512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45512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45512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45512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45512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45512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45512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45512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45512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45512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45512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45512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45512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45512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45512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45512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45512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45512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45512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45512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45512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45512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45512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45512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45512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45512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45512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45512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45512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45512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45512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45512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45512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45512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45512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45512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45512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45512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45512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45512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45512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45512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45512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45512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45512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45512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45512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45512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45512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45512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45512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45512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45512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45512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45512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45512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45512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45512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45512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45512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45512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45512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45512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45512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45512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45512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45512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45512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45512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45512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45512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45512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45512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45512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45512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45512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45512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45512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45512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45512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45512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45512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45512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45512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45512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45512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45512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45512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45512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45512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45512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45512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45512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45512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45512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45512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45512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45512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45512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45512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45512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45512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45512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45512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45512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45512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45512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45512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45512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45512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45512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45512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45512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45512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45512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45512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45512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45512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45512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45512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45512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45512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45512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45512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45512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45512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45512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45512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45512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45512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45512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45512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45512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45512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45512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45512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45512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45512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45512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45512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45512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45512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45512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45512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45512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45512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45512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45512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45512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45512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45512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45512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45512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45512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45512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45512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45512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45512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45512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45512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45512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45512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45512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45512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45512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45512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45512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45512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45512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45512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45512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45512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45512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45512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45512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45512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45512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45512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45512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45512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45512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45512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45512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45512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45512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45512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45512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45512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45512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45512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45512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45512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45512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45512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45512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45512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45512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45512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45512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45512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45512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45512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45512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45512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45512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45512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45512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45512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45512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45512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45512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45512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45512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45512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45512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45512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45512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45512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45512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45512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45512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45512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45512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45512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45512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45512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45512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45512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45512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45512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45512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45512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45512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45512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45512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45512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45512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45512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45512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45512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45512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45512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45512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45512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45512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45512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45512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45512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45512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45512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45512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45512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45512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45512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45512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45512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45512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45512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45512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45512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45512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45512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45512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45512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45512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45512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45512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45512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45512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45512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45512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45512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45512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45512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45512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45512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45512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45512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45512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45512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45512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45512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45512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45512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45512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45512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45512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45512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45512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45512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45512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45512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45512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45512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45512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45512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45512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45512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45512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45512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45512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45512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45512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45512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45512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45512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45512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45512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45512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45512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45512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45512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45512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45512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45512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45512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45512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45512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45512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45512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45512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45512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45512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45512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45512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45512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45512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45512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45512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45512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45512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45512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45512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45512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45512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45512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45512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45512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45512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45512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45512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45512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45512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45512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45512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45512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45512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45512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45512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45512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45512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45512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45512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45512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45512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45512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45512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45512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45512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45512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45512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45512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45512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45512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45512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45512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45512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45512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45512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45512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45512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45512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45512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45512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45512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45512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45512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45512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45512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45512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45512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45512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45512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45512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45512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45512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45512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45512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45512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45512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45512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45512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45512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45512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45512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45512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45512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45512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45512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45512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45512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45512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45512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45512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45512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45512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45512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45512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45512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45512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45512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45512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45512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45512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45512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45512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45512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45512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45512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45512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45512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45512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45512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45512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45512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45512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45512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45512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45512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45512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45512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45512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45512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45512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45512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45512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45512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45512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45512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45512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45512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45512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45512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45512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45512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45512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45512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45512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45512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45512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45512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45512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45512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45512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45512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45512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45512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45512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45512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45512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45512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45512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45512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45512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45512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45512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45512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45512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45512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45512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45512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45512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45512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45512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45512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45512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45512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45512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45512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45512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45512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45512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45512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45512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45512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45512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45512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45512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45512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45512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45512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45512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45512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45512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45512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45512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45512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45512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45512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45512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45512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45512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45512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45512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45512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45512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45512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45512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45512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45512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45512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45512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45512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45512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45512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45512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45512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45512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45512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45512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45512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45512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45512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45512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45512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45512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45512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45512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45512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45512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45512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45512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45512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45512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45512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45512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45512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45512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45512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45512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45512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45512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45512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45512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45512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45512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45512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45512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45512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45512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45512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45512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45512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45512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45512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45512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45512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45512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45512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45512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45512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45512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45512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45512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45512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45512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45512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45512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45512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45512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45512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45512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45512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45512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45512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45512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45512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45512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45512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45512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45512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45512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45512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45512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45512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45512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45512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45512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45512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45512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45512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45512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45512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45512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45512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45512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45512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45512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45512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45512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45512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45512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45512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45512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45512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45512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45512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45512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45512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45512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45512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45512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45512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45512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45512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45512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45512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45512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45512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45512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45512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45512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45512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45512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45512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45512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45512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45512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45512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45512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45512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45512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45512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45512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45512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45512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45512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45512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45512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45512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45512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45512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45512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45512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45512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45512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45512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45512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45512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45512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45512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45512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45512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45512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45512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45512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45512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45512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45512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45512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45512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45512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45512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45512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45512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45512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45512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45512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45512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45512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45512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45512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45512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45512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45512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45512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45512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45512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45512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45512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45512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45512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45512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45512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45512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45512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45512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45512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45512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45512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45512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45512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45512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29044-2024</t>
        </is>
      </c>
      <c r="B9624" s="1" t="n">
        <v>45481</v>
      </c>
      <c r="C9624" s="1" t="n">
        <v>45512</v>
      </c>
      <c r="D9624" t="inlineStr">
        <is>
          <t>ÖSTERGÖTLANDS LÄN</t>
        </is>
      </c>
      <c r="E9624" t="inlineStr">
        <is>
          <t>VALDEMARSVIK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29047-2024</t>
        </is>
      </c>
      <c r="B9625" s="1" t="n">
        <v>45481</v>
      </c>
      <c r="C9625" s="1" t="n">
        <v>45512</v>
      </c>
      <c r="D9625" t="inlineStr">
        <is>
          <t>ÖSTERGÖTLANDS LÄN</t>
        </is>
      </c>
      <c r="E9625" t="inlineStr">
        <is>
          <t>SÖDERKÖPING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29041-2024</t>
        </is>
      </c>
      <c r="B9626" s="1" t="n">
        <v>45481</v>
      </c>
      <c r="C9626" s="1" t="n">
        <v>45512</v>
      </c>
      <c r="D9626" t="inlineStr">
        <is>
          <t>ÖSTERGÖTLANDS LÄN</t>
        </is>
      </c>
      <c r="E9626" t="inlineStr">
        <is>
          <t>VALDEMARSVIK</t>
        </is>
      </c>
      <c r="G9626" t="n">
        <v>3.9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28994-2024</t>
        </is>
      </c>
      <c r="B9627" s="1" t="n">
        <v>45481</v>
      </c>
      <c r="C9627" s="1" t="n">
        <v>45512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29050-2024</t>
        </is>
      </c>
      <c r="B9628" s="1" t="n">
        <v>45481</v>
      </c>
      <c r="C9628" s="1" t="n">
        <v>45512</v>
      </c>
      <c r="D9628" t="inlineStr">
        <is>
          <t>ÖSTERGÖTLANDS LÄN</t>
        </is>
      </c>
      <c r="E9628" t="inlineStr">
        <is>
          <t>KINDA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28967-2024</t>
        </is>
      </c>
      <c r="B9629" s="1" t="n">
        <v>45481</v>
      </c>
      <c r="C9629" s="1" t="n">
        <v>45512</v>
      </c>
      <c r="D9629" t="inlineStr">
        <is>
          <t>ÖSTERGÖTLANDS LÄN</t>
        </is>
      </c>
      <c r="E9629" t="inlineStr">
        <is>
          <t>KINDA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45512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29226-2024</t>
        </is>
      </c>
      <c r="B9631" s="1" t="n">
        <v>45482</v>
      </c>
      <c r="C9631" s="1" t="n">
        <v>45512</v>
      </c>
      <c r="D9631" t="inlineStr">
        <is>
          <t>ÖSTERGÖTLANDS LÄN</t>
        </is>
      </c>
      <c r="E9631" t="inlineStr">
        <is>
          <t>MOTALA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29222-2024</t>
        </is>
      </c>
      <c r="B9632" s="1" t="n">
        <v>45482</v>
      </c>
      <c r="C9632" s="1" t="n">
        <v>45512</v>
      </c>
      <c r="D9632" t="inlineStr">
        <is>
          <t>ÖSTERGÖTLANDS LÄN</t>
        </is>
      </c>
      <c r="E9632" t="inlineStr">
        <is>
          <t>MOTALA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45512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29309-2024</t>
        </is>
      </c>
      <c r="B9634" s="1" t="n">
        <v>45483</v>
      </c>
      <c r="C9634" s="1" t="n">
        <v>45512</v>
      </c>
      <c r="D9634" t="inlineStr">
        <is>
          <t>ÖSTERGÖTLANDS LÄN</t>
        </is>
      </c>
      <c r="E9634" t="inlineStr">
        <is>
          <t>LINKÖPING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29325-2024</t>
        </is>
      </c>
      <c r="B9635" s="1" t="n">
        <v>45483</v>
      </c>
      <c r="C9635" s="1" t="n">
        <v>45512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5.9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29303-2024</t>
        </is>
      </c>
      <c r="B9636" s="1" t="n">
        <v>45483</v>
      </c>
      <c r="C9636" s="1" t="n">
        <v>45512</v>
      </c>
      <c r="D9636" t="inlineStr">
        <is>
          <t>ÖSTERGÖTLANDS LÄN</t>
        </is>
      </c>
      <c r="E9636" t="inlineStr">
        <is>
          <t>LINKÖPING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29307-2024</t>
        </is>
      </c>
      <c r="B9637" s="1" t="n">
        <v>45483</v>
      </c>
      <c r="C9637" s="1" t="n">
        <v>45512</v>
      </c>
      <c r="D9637" t="inlineStr">
        <is>
          <t>ÖSTERGÖTLANDS LÄN</t>
        </is>
      </c>
      <c r="E9637" t="inlineStr">
        <is>
          <t>LINKÖPING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29349-2024</t>
        </is>
      </c>
      <c r="B9638" s="1" t="n">
        <v>45483</v>
      </c>
      <c r="C9638" s="1" t="n">
        <v>45512</v>
      </c>
      <c r="D9638" t="inlineStr">
        <is>
          <t>ÖSTERGÖTLANDS LÄN</t>
        </is>
      </c>
      <c r="E9638" t="inlineStr">
        <is>
          <t>ÅTVIDABERG</t>
        </is>
      </c>
      <c r="G9638" t="n">
        <v>2.8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29312-2024</t>
        </is>
      </c>
      <c r="B9639" s="1" t="n">
        <v>45483</v>
      </c>
      <c r="C9639" s="1" t="n">
        <v>45512</v>
      </c>
      <c r="D9639" t="inlineStr">
        <is>
          <t>ÖSTERGÖTLANDS LÄN</t>
        </is>
      </c>
      <c r="E9639" t="inlineStr">
        <is>
          <t>LINKÖPING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29443-2024</t>
        </is>
      </c>
      <c r="B9640" s="1" t="n">
        <v>45483</v>
      </c>
      <c r="C9640" s="1" t="n">
        <v>45512</v>
      </c>
      <c r="D9640" t="inlineStr">
        <is>
          <t>ÖSTERGÖTLANDS LÄN</t>
        </is>
      </c>
      <c r="E9640" t="inlineStr">
        <is>
          <t>KINDA</t>
        </is>
      </c>
      <c r="G9640" t="n">
        <v>5.4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29447-2024</t>
        </is>
      </c>
      <c r="B9641" s="1" t="n">
        <v>45483</v>
      </c>
      <c r="C9641" s="1" t="n">
        <v>45512</v>
      </c>
      <c r="D9641" t="inlineStr">
        <is>
          <t>ÖSTERGÖTLANDS LÄN</t>
        </is>
      </c>
      <c r="E9641" t="inlineStr">
        <is>
          <t>KINDA</t>
        </is>
      </c>
      <c r="G9641" t="n">
        <v>2.5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29445-2024</t>
        </is>
      </c>
      <c r="B9642" s="1" t="n">
        <v>45483</v>
      </c>
      <c r="C9642" s="1" t="n">
        <v>45512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29324-2024</t>
        </is>
      </c>
      <c r="B9643" s="1" t="n">
        <v>45483</v>
      </c>
      <c r="C9643" s="1" t="n">
        <v>45512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5.4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29442-2024</t>
        </is>
      </c>
      <c r="B9644" s="1" t="n">
        <v>45483</v>
      </c>
      <c r="C9644" s="1" t="n">
        <v>45512</v>
      </c>
      <c r="D9644" t="inlineStr">
        <is>
          <t>ÖSTERGÖTLANDS LÄN</t>
        </is>
      </c>
      <c r="E9644" t="inlineStr">
        <is>
          <t>KINDA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29446-2024</t>
        </is>
      </c>
      <c r="B9645" s="1" t="n">
        <v>45483</v>
      </c>
      <c r="C9645" s="1" t="n">
        <v>45512</v>
      </c>
      <c r="D9645" t="inlineStr">
        <is>
          <t>ÖSTERGÖTLANDS LÄN</t>
        </is>
      </c>
      <c r="E9645" t="inlineStr">
        <is>
          <t>KINDA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29525-2024</t>
        </is>
      </c>
      <c r="B9646" s="1" t="n">
        <v>45484</v>
      </c>
      <c r="C9646" s="1" t="n">
        <v>45512</v>
      </c>
      <c r="D9646" t="inlineStr">
        <is>
          <t>ÖSTERGÖTLANDS LÄN</t>
        </is>
      </c>
      <c r="E9646" t="inlineStr">
        <is>
          <t>MOTALA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29507-2024</t>
        </is>
      </c>
      <c r="B9647" s="1" t="n">
        <v>45484</v>
      </c>
      <c r="C9647" s="1" t="n">
        <v>45512</v>
      </c>
      <c r="D9647" t="inlineStr">
        <is>
          <t>ÖSTERGÖTLANDS LÄN</t>
        </is>
      </c>
      <c r="E9647" t="inlineStr">
        <is>
          <t>KINDA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29523-2024</t>
        </is>
      </c>
      <c r="B9648" s="1" t="n">
        <v>45484</v>
      </c>
      <c r="C9648" s="1" t="n">
        <v>45512</v>
      </c>
      <c r="D9648" t="inlineStr">
        <is>
          <t>ÖSTERGÖTLANDS LÄN</t>
        </is>
      </c>
      <c r="E9648" t="inlineStr">
        <is>
          <t>MOTALA</t>
        </is>
      </c>
      <c r="G9648" t="n">
        <v>4.8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29516-2024</t>
        </is>
      </c>
      <c r="B9649" s="1" t="n">
        <v>45484</v>
      </c>
      <c r="C9649" s="1" t="n">
        <v>45512</v>
      </c>
      <c r="D9649" t="inlineStr">
        <is>
          <t>ÖSTERGÖTLANDS LÄN</t>
        </is>
      </c>
      <c r="E9649" t="inlineStr">
        <is>
          <t>KINDA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29605-2024</t>
        </is>
      </c>
      <c r="B9650" s="1" t="n">
        <v>45484</v>
      </c>
      <c r="C9650" s="1" t="n">
        <v>45512</v>
      </c>
      <c r="D9650" t="inlineStr">
        <is>
          <t>ÖSTERGÖTLANDS LÄN</t>
        </is>
      </c>
      <c r="E9650" t="inlineStr">
        <is>
          <t>YDRE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29607-2024</t>
        </is>
      </c>
      <c r="B9651" s="1" t="n">
        <v>45484</v>
      </c>
      <c r="C9651" s="1" t="n">
        <v>45512</v>
      </c>
      <c r="D9651" t="inlineStr">
        <is>
          <t>ÖSTERGÖTLANDS LÄN</t>
        </is>
      </c>
      <c r="E9651" t="inlineStr">
        <is>
          <t>YDRE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29615-2024</t>
        </is>
      </c>
      <c r="B9652" s="1" t="n">
        <v>45484</v>
      </c>
      <c r="C9652" s="1" t="n">
        <v>45512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Holmen skog AB</t>
        </is>
      </c>
      <c r="G9652" t="n">
        <v>7.3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45512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29703-2024</t>
        </is>
      </c>
      <c r="B9654" s="1" t="n">
        <v>45485</v>
      </c>
      <c r="C9654" s="1" t="n">
        <v>45512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29727-2024</t>
        </is>
      </c>
      <c r="B9655" s="1" t="n">
        <v>45485</v>
      </c>
      <c r="C9655" s="1" t="n">
        <v>45512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5.2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29741-2024</t>
        </is>
      </c>
      <c r="B9656" s="1" t="n">
        <v>45485</v>
      </c>
      <c r="C9656" s="1" t="n">
        <v>45512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Holmen skog AB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29777-2024</t>
        </is>
      </c>
      <c r="B9657" s="1" t="n">
        <v>45485</v>
      </c>
      <c r="C9657" s="1" t="n">
        <v>45512</v>
      </c>
      <c r="D9657" t="inlineStr">
        <is>
          <t>ÖSTERGÖTLANDS LÄN</t>
        </is>
      </c>
      <c r="E9657" t="inlineStr">
        <is>
          <t>VALDEMARSVIK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29825-2024</t>
        </is>
      </c>
      <c r="B9658" s="1" t="n">
        <v>45485</v>
      </c>
      <c r="C9658" s="1" t="n">
        <v>45512</v>
      </c>
      <c r="D9658" t="inlineStr">
        <is>
          <t>ÖSTERGÖTLANDS LÄN</t>
        </is>
      </c>
      <c r="E9658" t="inlineStr">
        <is>
          <t>ÅTVIDABERG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29794-2024</t>
        </is>
      </c>
      <c r="B9659" s="1" t="n">
        <v>45485</v>
      </c>
      <c r="C9659" s="1" t="n">
        <v>45512</v>
      </c>
      <c r="D9659" t="inlineStr">
        <is>
          <t>ÖSTERGÖTLANDS LÄN</t>
        </is>
      </c>
      <c r="E9659" t="inlineStr">
        <is>
          <t>KINDA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29806-2024</t>
        </is>
      </c>
      <c r="B9660" s="1" t="n">
        <v>45485</v>
      </c>
      <c r="C9660" s="1" t="n">
        <v>45512</v>
      </c>
      <c r="D9660" t="inlineStr">
        <is>
          <t>ÖSTERGÖTLANDS LÄN</t>
        </is>
      </c>
      <c r="E9660" t="inlineStr">
        <is>
          <t>NORRKÖPING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29822-2024</t>
        </is>
      </c>
      <c r="B9661" s="1" t="n">
        <v>45485</v>
      </c>
      <c r="C9661" s="1" t="n">
        <v>45512</v>
      </c>
      <c r="D9661" t="inlineStr">
        <is>
          <t>ÖSTERGÖTLANDS LÄN</t>
        </is>
      </c>
      <c r="E9661" t="inlineStr">
        <is>
          <t>ÅTVIDABERG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29826-2024</t>
        </is>
      </c>
      <c r="B9662" s="1" t="n">
        <v>45485</v>
      </c>
      <c r="C9662" s="1" t="n">
        <v>45512</v>
      </c>
      <c r="D9662" t="inlineStr">
        <is>
          <t>ÖSTERGÖTLANDS LÄN</t>
        </is>
      </c>
      <c r="E9662" t="inlineStr">
        <is>
          <t>ÅTVIDABERG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29846-2024</t>
        </is>
      </c>
      <c r="B9663" s="1" t="n">
        <v>45485</v>
      </c>
      <c r="C9663" s="1" t="n">
        <v>45512</v>
      </c>
      <c r="D9663" t="inlineStr">
        <is>
          <t>ÖSTERGÖTLANDS LÄN</t>
        </is>
      </c>
      <c r="E9663" t="inlineStr">
        <is>
          <t>NORRKÖPING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29716-2024</t>
        </is>
      </c>
      <c r="B9664" s="1" t="n">
        <v>45485</v>
      </c>
      <c r="C9664" s="1" t="n">
        <v>45512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11.4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29776-2024</t>
        </is>
      </c>
      <c r="B9665" s="1" t="n">
        <v>45485</v>
      </c>
      <c r="C9665" s="1" t="n">
        <v>45512</v>
      </c>
      <c r="D9665" t="inlineStr">
        <is>
          <t>ÖSTERGÖTLANDS LÄN</t>
        </is>
      </c>
      <c r="E9665" t="inlineStr">
        <is>
          <t>VALDEMARSVIK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29792-2024</t>
        </is>
      </c>
      <c r="B9666" s="1" t="n">
        <v>45485</v>
      </c>
      <c r="C9666" s="1" t="n">
        <v>45512</v>
      </c>
      <c r="D9666" t="inlineStr">
        <is>
          <t>ÖSTERGÖTLANDS LÄN</t>
        </is>
      </c>
      <c r="E9666" t="inlineStr">
        <is>
          <t>KINDA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29857-2024</t>
        </is>
      </c>
      <c r="B9667" s="1" t="n">
        <v>45485</v>
      </c>
      <c r="C9667" s="1" t="n">
        <v>45512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Kommuner</t>
        </is>
      </c>
      <c r="G9667" t="n">
        <v>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29858-2024</t>
        </is>
      </c>
      <c r="B9668" s="1" t="n">
        <v>45485</v>
      </c>
      <c r="C9668" s="1" t="n">
        <v>45512</v>
      </c>
      <c r="D9668" t="inlineStr">
        <is>
          <t>ÖSTERGÖTLANDS LÄN</t>
        </is>
      </c>
      <c r="E9668" t="inlineStr">
        <is>
          <t>LINKÖPING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29859-2024</t>
        </is>
      </c>
      <c r="B9669" s="1" t="n">
        <v>45485</v>
      </c>
      <c r="C9669" s="1" t="n">
        <v>45512</v>
      </c>
      <c r="D9669" t="inlineStr">
        <is>
          <t>ÖSTERGÖTLANDS LÄN</t>
        </is>
      </c>
      <c r="E9669" t="inlineStr">
        <is>
          <t>LINKÖPING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30084-2024</t>
        </is>
      </c>
      <c r="B9670" s="1" t="n">
        <v>45485</v>
      </c>
      <c r="C9670" s="1" t="n">
        <v>45512</v>
      </c>
      <c r="D9670" t="inlineStr">
        <is>
          <t>ÖSTERGÖTLANDS LÄN</t>
        </is>
      </c>
      <c r="E9670" t="inlineStr">
        <is>
          <t>YDRE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30085-2024</t>
        </is>
      </c>
      <c r="B9671" s="1" t="n">
        <v>45485</v>
      </c>
      <c r="C9671" s="1" t="n">
        <v>45512</v>
      </c>
      <c r="D9671" t="inlineStr">
        <is>
          <t>ÖSTERGÖTLANDS LÄN</t>
        </is>
      </c>
      <c r="E9671" t="inlineStr">
        <is>
          <t>YDRE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30088-2024</t>
        </is>
      </c>
      <c r="B9672" s="1" t="n">
        <v>45485</v>
      </c>
      <c r="C9672" s="1" t="n">
        <v>45512</v>
      </c>
      <c r="D9672" t="inlineStr">
        <is>
          <t>ÖSTERGÖTLANDS LÄN</t>
        </is>
      </c>
      <c r="E9672" t="inlineStr">
        <is>
          <t>YDRE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45512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45512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30114-2024</t>
        </is>
      </c>
      <c r="B9675" s="1" t="n">
        <v>45489</v>
      </c>
      <c r="C9675" s="1" t="n">
        <v>45512</v>
      </c>
      <c r="D9675" t="inlineStr">
        <is>
          <t>ÖSTERGÖTLANDS LÄN</t>
        </is>
      </c>
      <c r="E9675" t="inlineStr">
        <is>
          <t>SÖDERKÖPING</t>
        </is>
      </c>
      <c r="G9675" t="n">
        <v>0.3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30169-2024</t>
        </is>
      </c>
      <c r="B9676" s="1" t="n">
        <v>45489</v>
      </c>
      <c r="C9676" s="1" t="n">
        <v>45512</v>
      </c>
      <c r="D9676" t="inlineStr">
        <is>
          <t>ÖSTERGÖTLANDS LÄN</t>
        </is>
      </c>
      <c r="E9676" t="inlineStr">
        <is>
          <t>MOTALA</t>
        </is>
      </c>
      <c r="G9676" t="n">
        <v>3.8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30111-2024</t>
        </is>
      </c>
      <c r="B9677" s="1" t="n">
        <v>45489</v>
      </c>
      <c r="C9677" s="1" t="n">
        <v>45512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30119-2024</t>
        </is>
      </c>
      <c r="B9678" s="1" t="n">
        <v>45489</v>
      </c>
      <c r="C9678" s="1" t="n">
        <v>45512</v>
      </c>
      <c r="D9678" t="inlineStr">
        <is>
          <t>ÖSTERGÖTLANDS LÄN</t>
        </is>
      </c>
      <c r="E9678" t="inlineStr">
        <is>
          <t>LINKÖPING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30315-2024</t>
        </is>
      </c>
      <c r="B9679" s="1" t="n">
        <v>45490</v>
      </c>
      <c r="C9679" s="1" t="n">
        <v>45512</v>
      </c>
      <c r="D9679" t="inlineStr">
        <is>
          <t>ÖSTERGÖTLANDS LÄN</t>
        </is>
      </c>
      <c r="E9679" t="inlineStr">
        <is>
          <t>NORRKÖPING</t>
        </is>
      </c>
      <c r="G9679" t="n">
        <v>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30210-2024</t>
        </is>
      </c>
      <c r="B9680" s="1" t="n">
        <v>45490</v>
      </c>
      <c r="C9680" s="1" t="n">
        <v>45512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30324-2024</t>
        </is>
      </c>
      <c r="B9681" s="1" t="n">
        <v>45491</v>
      </c>
      <c r="C9681" s="1" t="n">
        <v>45512</v>
      </c>
      <c r="D9681" t="inlineStr">
        <is>
          <t>ÖSTERGÖTLANDS LÄN</t>
        </is>
      </c>
      <c r="E9681" t="inlineStr">
        <is>
          <t>SÖDERKÖPING</t>
        </is>
      </c>
      <c r="G9681" t="n">
        <v>10.9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30322-2024</t>
        </is>
      </c>
      <c r="B9682" s="1" t="n">
        <v>45490</v>
      </c>
      <c r="C9682" s="1" t="n">
        <v>45512</v>
      </c>
      <c r="D9682" t="inlineStr">
        <is>
          <t>ÖSTERGÖTLANDS LÄN</t>
        </is>
      </c>
      <c r="E9682" t="inlineStr">
        <is>
          <t>SÖDERKÖPING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30388-2024</t>
        </is>
      </c>
      <c r="B9683" s="1" t="n">
        <v>45491</v>
      </c>
      <c r="C9683" s="1" t="n">
        <v>45512</v>
      </c>
      <c r="D9683" t="inlineStr">
        <is>
          <t>ÖSTERGÖTLANDS LÄN</t>
        </is>
      </c>
      <c r="E9683" t="inlineStr">
        <is>
          <t>ÖDESHÖG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30389-2024</t>
        </is>
      </c>
      <c r="B9684" s="1" t="n">
        <v>45491</v>
      </c>
      <c r="C9684" s="1" t="n">
        <v>45512</v>
      </c>
      <c r="D9684" t="inlineStr">
        <is>
          <t>ÖSTERGÖTLANDS LÄN</t>
        </is>
      </c>
      <c r="E9684" t="inlineStr">
        <is>
          <t>ÖDESHÖG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30432-2024</t>
        </is>
      </c>
      <c r="B9685" s="1" t="n">
        <v>45491</v>
      </c>
      <c r="C9685" s="1" t="n">
        <v>45512</v>
      </c>
      <c r="D9685" t="inlineStr">
        <is>
          <t>ÖSTERGÖTLANDS LÄN</t>
        </is>
      </c>
      <c r="E9685" t="inlineStr">
        <is>
          <t>LINKÖPING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30434-2024</t>
        </is>
      </c>
      <c r="B9686" s="1" t="n">
        <v>45491</v>
      </c>
      <c r="C9686" s="1" t="n">
        <v>45512</v>
      </c>
      <c r="D9686" t="inlineStr">
        <is>
          <t>ÖSTERGÖTLANDS LÄN</t>
        </is>
      </c>
      <c r="E9686" t="inlineStr">
        <is>
          <t>LINKÖPING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30429-2024</t>
        </is>
      </c>
      <c r="B9687" s="1" t="n">
        <v>45491</v>
      </c>
      <c r="C9687" s="1" t="n">
        <v>45512</v>
      </c>
      <c r="D9687" t="inlineStr">
        <is>
          <t>ÖSTERGÖTLANDS LÄN</t>
        </is>
      </c>
      <c r="E9687" t="inlineStr">
        <is>
          <t>LINKÖPING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30433-2024</t>
        </is>
      </c>
      <c r="B9688" s="1" t="n">
        <v>45491</v>
      </c>
      <c r="C9688" s="1" t="n">
        <v>45512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30435-2024</t>
        </is>
      </c>
      <c r="B9689" s="1" t="n">
        <v>45491</v>
      </c>
      <c r="C9689" s="1" t="n">
        <v>45512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30518-2024</t>
        </is>
      </c>
      <c r="B9690" s="1" t="n">
        <v>45492</v>
      </c>
      <c r="C9690" s="1" t="n">
        <v>45512</v>
      </c>
      <c r="D9690" t="inlineStr">
        <is>
          <t>ÖSTERGÖTLANDS LÄN</t>
        </is>
      </c>
      <c r="E9690" t="inlineStr">
        <is>
          <t>LINKÖPING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30554-2024</t>
        </is>
      </c>
      <c r="B9691" s="1" t="n">
        <v>45492</v>
      </c>
      <c r="C9691" s="1" t="n">
        <v>45512</v>
      </c>
      <c r="D9691" t="inlineStr">
        <is>
          <t>ÖSTERGÖTLANDS LÄN</t>
        </is>
      </c>
      <c r="E9691" t="inlineStr">
        <is>
          <t>YDRE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30517-2024</t>
        </is>
      </c>
      <c r="B9692" s="1" t="n">
        <v>45492</v>
      </c>
      <c r="C9692" s="1" t="n">
        <v>45512</v>
      </c>
      <c r="D9692" t="inlineStr">
        <is>
          <t>ÖSTERGÖTLANDS LÄN</t>
        </is>
      </c>
      <c r="E9692" t="inlineStr">
        <is>
          <t>LINKÖPING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30521-2024</t>
        </is>
      </c>
      <c r="B9693" s="1" t="n">
        <v>45492</v>
      </c>
      <c r="C9693" s="1" t="n">
        <v>45512</v>
      </c>
      <c r="D9693" t="inlineStr">
        <is>
          <t>ÖSTERGÖTLANDS LÄN</t>
        </is>
      </c>
      <c r="E9693" t="inlineStr">
        <is>
          <t>LINKÖPING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30516-2024</t>
        </is>
      </c>
      <c r="B9694" s="1" t="n">
        <v>45492</v>
      </c>
      <c r="C9694" s="1" t="n">
        <v>45512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30519-2024</t>
        </is>
      </c>
      <c r="B9695" s="1" t="n">
        <v>45492</v>
      </c>
      <c r="C9695" s="1" t="n">
        <v>45512</v>
      </c>
      <c r="D9695" t="inlineStr">
        <is>
          <t>ÖSTERGÖTLANDS LÄN</t>
        </is>
      </c>
      <c r="E9695" t="inlineStr">
        <is>
          <t>LINKÖPING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30673-2024</t>
        </is>
      </c>
      <c r="B9696" s="1" t="n">
        <v>45495</v>
      </c>
      <c r="C9696" s="1" t="n">
        <v>45512</v>
      </c>
      <c r="D9696" t="inlineStr">
        <is>
          <t>ÖSTERGÖTLANDS LÄN</t>
        </is>
      </c>
      <c r="E9696" t="inlineStr">
        <is>
          <t>VALDEMARSVIK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30678-2024</t>
        </is>
      </c>
      <c r="B9697" s="1" t="n">
        <v>45495</v>
      </c>
      <c r="C9697" s="1" t="n">
        <v>45512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45512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45512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30930-2024</t>
        </is>
      </c>
      <c r="B9700" s="1" t="n">
        <v>45498</v>
      </c>
      <c r="C9700" s="1" t="n">
        <v>45512</v>
      </c>
      <c r="D9700" t="inlineStr">
        <is>
          <t>ÖSTERGÖTLANDS LÄN</t>
        </is>
      </c>
      <c r="E9700" t="inlineStr">
        <is>
          <t>FINSPÅNG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30929-2024</t>
        </is>
      </c>
      <c r="B9701" s="1" t="n">
        <v>45498</v>
      </c>
      <c r="C9701" s="1" t="n">
        <v>45512</v>
      </c>
      <c r="D9701" t="inlineStr">
        <is>
          <t>ÖSTERGÖTLANDS LÄN</t>
        </is>
      </c>
      <c r="E9701" t="inlineStr">
        <is>
          <t>FINSPÅNG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30932-2024</t>
        </is>
      </c>
      <c r="B9702" s="1" t="n">
        <v>45498</v>
      </c>
      <c r="C9702" s="1" t="n">
        <v>45512</v>
      </c>
      <c r="D9702" t="inlineStr">
        <is>
          <t>ÖSTERGÖTLANDS LÄN</t>
        </is>
      </c>
      <c r="E9702" t="inlineStr">
        <is>
          <t>FINSPÅNG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31042-2024</t>
        </is>
      </c>
      <c r="B9703" s="1" t="n">
        <v>45502</v>
      </c>
      <c r="C9703" s="1" t="n">
        <v>45512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31062-2024</t>
        </is>
      </c>
      <c r="B9704" s="1" t="n">
        <v>45502</v>
      </c>
      <c r="C9704" s="1" t="n">
        <v>45512</v>
      </c>
      <c r="D9704" t="inlineStr">
        <is>
          <t>ÖSTERGÖTLANDS LÄN</t>
        </is>
      </c>
      <c r="E9704" t="inlineStr">
        <is>
          <t>YDRE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31055-2024</t>
        </is>
      </c>
      <c r="B9705" s="1" t="n">
        <v>45502</v>
      </c>
      <c r="C9705" s="1" t="n">
        <v>45512</v>
      </c>
      <c r="D9705" t="inlineStr">
        <is>
          <t>ÖSTERGÖTLANDS LÄN</t>
        </is>
      </c>
      <c r="E9705" t="inlineStr">
        <is>
          <t>YDRE</t>
        </is>
      </c>
      <c r="G9705" t="n">
        <v>2.3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31315-2024</t>
        </is>
      </c>
      <c r="B9706" s="1" t="n">
        <v>45504</v>
      </c>
      <c r="C9706" s="1" t="n">
        <v>45512</v>
      </c>
      <c r="D9706" t="inlineStr">
        <is>
          <t>ÖSTERGÖTLANDS LÄN</t>
        </is>
      </c>
      <c r="E9706" t="inlineStr">
        <is>
          <t>SÖDERKÖPING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31308-2024</t>
        </is>
      </c>
      <c r="B9707" s="1" t="n">
        <v>45504</v>
      </c>
      <c r="C9707" s="1" t="n">
        <v>45512</v>
      </c>
      <c r="D9707" t="inlineStr">
        <is>
          <t>ÖSTERGÖTLANDS LÄN</t>
        </is>
      </c>
      <c r="E9707" t="inlineStr">
        <is>
          <t>SÖDERKÖPING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31312-2024</t>
        </is>
      </c>
      <c r="B9708" s="1" t="n">
        <v>45504</v>
      </c>
      <c r="C9708" s="1" t="n">
        <v>45512</v>
      </c>
      <c r="D9708" t="inlineStr">
        <is>
          <t>ÖSTERGÖTLANDS LÄN</t>
        </is>
      </c>
      <c r="E9708" t="inlineStr">
        <is>
          <t>SÖDERKÖPING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31342-2024</t>
        </is>
      </c>
      <c r="B9709" s="1" t="n">
        <v>45504</v>
      </c>
      <c r="C9709" s="1" t="n">
        <v>45512</v>
      </c>
      <c r="D9709" t="inlineStr">
        <is>
          <t>ÖSTERGÖTLANDS LÄN</t>
        </is>
      </c>
      <c r="E9709" t="inlineStr">
        <is>
          <t>NORRKÖPING</t>
        </is>
      </c>
      <c r="G9709" t="n">
        <v>3.3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31313-2024</t>
        </is>
      </c>
      <c r="B9710" s="1" t="n">
        <v>45504</v>
      </c>
      <c r="C9710" s="1" t="n">
        <v>45512</v>
      </c>
      <c r="D9710" t="inlineStr">
        <is>
          <t>ÖSTERGÖTLANDS LÄN</t>
        </is>
      </c>
      <c r="E9710" t="inlineStr">
        <is>
          <t>SÖDERKÖPING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31305-2024</t>
        </is>
      </c>
      <c r="B9711" s="1" t="n">
        <v>45504</v>
      </c>
      <c r="C9711" s="1" t="n">
        <v>45512</v>
      </c>
      <c r="D9711" t="inlineStr">
        <is>
          <t>ÖSTERGÖTLANDS LÄN</t>
        </is>
      </c>
      <c r="E9711" t="inlineStr">
        <is>
          <t>SÖDERKÖPING</t>
        </is>
      </c>
      <c r="G9711" t="n">
        <v>5.3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31310-2024</t>
        </is>
      </c>
      <c r="B9712" s="1" t="n">
        <v>45504</v>
      </c>
      <c r="C9712" s="1" t="n">
        <v>45512</v>
      </c>
      <c r="D9712" t="inlineStr">
        <is>
          <t>ÖSTERGÖTLANDS LÄN</t>
        </is>
      </c>
      <c r="E9712" t="inlineStr">
        <is>
          <t>SÖDERKÖPING</t>
        </is>
      </c>
      <c r="G9712" t="n">
        <v>4.2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31314-2024</t>
        </is>
      </c>
      <c r="B9713" s="1" t="n">
        <v>45504</v>
      </c>
      <c r="C9713" s="1" t="n">
        <v>45512</v>
      </c>
      <c r="D9713" t="inlineStr">
        <is>
          <t>ÖSTERGÖTLANDS LÄN</t>
        </is>
      </c>
      <c r="E9713" t="inlineStr">
        <is>
          <t>SÖDERKÖPING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31706-2024</t>
        </is>
      </c>
      <c r="B9714" s="1" t="n">
        <v>45508</v>
      </c>
      <c r="C9714" s="1" t="n">
        <v>45512</v>
      </c>
      <c r="D9714" t="inlineStr">
        <is>
          <t>ÖSTERGÖTLANDS LÄN</t>
        </is>
      </c>
      <c r="E9714" t="inlineStr">
        <is>
          <t>LINKÖPING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31832-2024</t>
        </is>
      </c>
      <c r="B9715" s="1" t="n">
        <v>45509</v>
      </c>
      <c r="C9715" s="1" t="n">
        <v>45512</v>
      </c>
      <c r="D9715" t="inlineStr">
        <is>
          <t>ÖSTERGÖTLANDS LÄN</t>
        </is>
      </c>
      <c r="E9715" t="inlineStr">
        <is>
          <t>MJÖLBY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31801-2024</t>
        </is>
      </c>
      <c r="B9716" s="1" t="n">
        <v>45509</v>
      </c>
      <c r="C9716" s="1" t="n">
        <v>45512</v>
      </c>
      <c r="D9716" t="inlineStr">
        <is>
          <t>ÖSTERGÖTLANDS LÄN</t>
        </is>
      </c>
      <c r="E9716" t="inlineStr">
        <is>
          <t>NORRKÖPING</t>
        </is>
      </c>
      <c r="G9716" t="n">
        <v>3.6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31831-2024</t>
        </is>
      </c>
      <c r="B9717" s="1" t="n">
        <v>45509</v>
      </c>
      <c r="C9717" s="1" t="n">
        <v>45512</v>
      </c>
      <c r="D9717" t="inlineStr">
        <is>
          <t>ÖSTERGÖTLANDS LÄN</t>
        </is>
      </c>
      <c r="E9717" t="inlineStr">
        <is>
          <t>MJÖLBY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32016-2024</t>
        </is>
      </c>
      <c r="B9718" s="1" t="n">
        <v>45510</v>
      </c>
      <c r="C9718" s="1" t="n">
        <v>45512</v>
      </c>
      <c r="D9718" t="inlineStr">
        <is>
          <t>ÖSTERGÖTLANDS LÄN</t>
        </is>
      </c>
      <c r="E9718" t="inlineStr">
        <is>
          <t>YDRE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32133-2024</t>
        </is>
      </c>
      <c r="B9719" s="1" t="n">
        <v>45511</v>
      </c>
      <c r="C9719" s="1" t="n">
        <v>45512</v>
      </c>
      <c r="D9719" t="inlineStr">
        <is>
          <t>ÖSTERGÖTLANDS LÄN</t>
        </is>
      </c>
      <c r="E9719" t="inlineStr">
        <is>
          <t>YDRE</t>
        </is>
      </c>
      <c r="G9719" t="n">
        <v>4.1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32089-2024</t>
        </is>
      </c>
      <c r="B9720" s="1" t="n">
        <v>45511</v>
      </c>
      <c r="C9720" s="1" t="n">
        <v>45512</v>
      </c>
      <c r="D9720" t="inlineStr">
        <is>
          <t>ÖSTERGÖTLANDS LÄN</t>
        </is>
      </c>
      <c r="E9720" t="inlineStr">
        <is>
          <t>BOXHOLM</t>
        </is>
      </c>
      <c r="G9720" t="n">
        <v>4.3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>
      <c r="A9721" t="inlineStr">
        <is>
          <t>A 32151-2024</t>
        </is>
      </c>
      <c r="B9721" s="1" t="n">
        <v>45511</v>
      </c>
      <c r="C9721" s="1" t="n">
        <v>45512</v>
      </c>
      <c r="D9721" t="inlineStr">
        <is>
          <t>ÖSTERGÖTLANDS LÄN</t>
        </is>
      </c>
      <c r="E9721" t="inlineStr">
        <is>
          <t>MJÖLBY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2024-08-08T10:05:30Z</dcterms:created>
  <dcterms:modified xmlns:dcterms="http://purl.org/dc/terms/" xmlns:xsi="http://www.w3.org/2001/XMLSchema-instance" xsi:type="dcterms:W3CDTF">2024-08-08T10:05:38Z</dcterms:modified>
</cp:coreProperties>
</file>